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119"/>
  <workbookPr defaultThemeVersion="124226"/>
  <mc:AlternateContent xmlns:mc="http://schemas.openxmlformats.org/markup-compatibility/2006">
    <mc:Choice Requires="x15">
      <x15ac:absPath xmlns:x15ac="http://schemas.microsoft.com/office/spreadsheetml/2010/11/ac" url="/Users/mushtaqali/Desktop/"/>
    </mc:Choice>
  </mc:AlternateContent>
  <xr:revisionPtr revIDLastSave="0" documentId="13_ncr:1_{9B843843-B674-8349-B75C-3DE49B859C24}" xr6:coauthVersionLast="47" xr6:coauthVersionMax="47" xr10:uidLastSave="{00000000-0000-0000-0000-000000000000}"/>
  <bookViews>
    <workbookView xWindow="4820" yWindow="500" windowWidth="18660" windowHeight="12640" tabRatio="903" activeTab="1" xr2:uid="{00000000-000D-0000-FFFF-FFFF00000000}"/>
  </bookViews>
  <sheets>
    <sheet name="SET1 and SET2" sheetId="40" r:id="rId1"/>
    <sheet name="ASTU" sheetId="1" r:id="rId2"/>
    <sheet name="RFSP_A" sheetId="9" r:id="rId3"/>
    <sheet name="RFSP_B" sheetId="10" r:id="rId4"/>
    <sheet name="JMSA_A" sheetId="37" r:id="rId5"/>
    <sheet name="JMSA_B" sheetId="38" r:id="rId6"/>
    <sheet name="JMSA_C" sheetId="39" r:id="rId7"/>
    <sheet name="YUMPU_A" sheetId="11" r:id="rId8"/>
    <sheet name="YUMPU_B" sheetId="12" r:id="rId9"/>
    <sheet name="HPSU_A" sheetId="13" r:id="rId10"/>
    <sheet name="HPSU_B" sheetId="14" r:id="rId11"/>
    <sheet name="YTACU" sheetId="8" r:id="rId12"/>
    <sheet name="FLWMU" sheetId="7" r:id="rId13"/>
    <sheet name="ASLL_A" sheetId="4" r:id="rId14"/>
    <sheet name="ASLL_B" sheetId="5" r:id="rId15"/>
    <sheet name="ASLL_C" sheetId="6" r:id="rId16"/>
    <sheet name="PMSA_A" sheetId="15" r:id="rId17"/>
    <sheet name="PMSA_B" sheetId="16" r:id="rId18"/>
    <sheet name="PMSA_C" sheetId="17" r:id="rId19"/>
    <sheet name="UMUT_A" sheetId="18" r:id="rId20"/>
    <sheet name="UMUT_B" sheetId="19" r:id="rId21"/>
    <sheet name="UMUT_C" sheetId="20" r:id="rId22"/>
    <sheet name="JCSU_A" sheetId="21" r:id="rId23"/>
    <sheet name="JCSU_B" sheetId="22" r:id="rId24"/>
    <sheet name="SGURV" sheetId="23" r:id="rId25"/>
    <sheet name="MLKC_A" sheetId="24" r:id="rId26"/>
    <sheet name="MLKC_B" sheetId="25" r:id="rId27"/>
    <sheet name="MLKC_C" sheetId="26" r:id="rId28"/>
    <sheet name="MCSMD" sheetId="27" r:id="rId29"/>
    <sheet name="XWUC_A" sheetId="28" r:id="rId30"/>
    <sheet name="XWUC_B" sheetId="29" r:id="rId31"/>
    <sheet name="TDIPG" sheetId="30" r:id="rId32"/>
    <sheet name="KSMIT" sheetId="31" r:id="rId33"/>
    <sheet name="NMUPI" sheetId="32" r:id="rId34"/>
    <sheet name="JHTNY" sheetId="33" r:id="rId35"/>
    <sheet name="JHUNC_A" sheetId="34" r:id="rId36"/>
    <sheet name="JHUNC_B" sheetId="35" r:id="rId37"/>
    <sheet name="JHUNC_C" sheetId="36" r:id="rId38"/>
  </sheets>
  <definedNames>
    <definedName name="_xlnm.Print_Area" localSheetId="20">#REF!</definedName>
    <definedName name="_xlnm.Sheet_Title" localSheetId="20">"Sheet1"</definedName>
    <definedName name="Sol_challenge2_models" localSheetId="2">RFSP_A!$W$22:$Z$161</definedName>
    <definedName name="Sol_challenge2_models" localSheetId="3">RFSP_B!$W$22:$Z$161</definedName>
    <definedName name="Sol_challenge2_models_1" localSheetId="3">RFSP_B!$V$22:$Y$160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163" i="39" l="1"/>
  <c r="D162" i="39"/>
  <c r="D161" i="39"/>
  <c r="H160" i="39"/>
  <c r="H159" i="39"/>
  <c r="H158" i="39"/>
  <c r="H157" i="39"/>
  <c r="H156" i="39"/>
  <c r="H155" i="39"/>
  <c r="H154" i="39"/>
  <c r="H153" i="39"/>
  <c r="H152" i="39"/>
  <c r="J151" i="39"/>
  <c r="H151" i="39"/>
  <c r="H150" i="39"/>
  <c r="H149" i="39"/>
  <c r="H148" i="39"/>
  <c r="H147" i="39"/>
  <c r="H146" i="39"/>
  <c r="H145" i="39"/>
  <c r="H144" i="39"/>
  <c r="H143" i="39"/>
  <c r="H142" i="39"/>
  <c r="H141" i="39"/>
  <c r="H140" i="39"/>
  <c r="H139" i="39"/>
  <c r="H138" i="39"/>
  <c r="H137" i="39"/>
  <c r="H136" i="39"/>
  <c r="H135" i="39"/>
  <c r="H134" i="39"/>
  <c r="H133" i="39"/>
  <c r="H132" i="39"/>
  <c r="H131" i="39"/>
  <c r="H130" i="39"/>
  <c r="H129" i="39"/>
  <c r="D125" i="39"/>
  <c r="D124" i="39"/>
  <c r="D123" i="39"/>
  <c r="H122" i="39"/>
  <c r="H121" i="39"/>
  <c r="H120" i="39"/>
  <c r="H119" i="39"/>
  <c r="H118" i="39"/>
  <c r="H117" i="39"/>
  <c r="H116" i="39"/>
  <c r="H115" i="39"/>
  <c r="H114" i="39"/>
  <c r="H113" i="39"/>
  <c r="H112" i="39"/>
  <c r="H111" i="39"/>
  <c r="H110" i="39"/>
  <c r="H109" i="39"/>
  <c r="H108" i="39"/>
  <c r="H107" i="39"/>
  <c r="H106" i="39"/>
  <c r="H105" i="39"/>
  <c r="H104" i="39"/>
  <c r="H103" i="39"/>
  <c r="H102" i="39"/>
  <c r="H101" i="39"/>
  <c r="H100" i="39"/>
  <c r="H99" i="39"/>
  <c r="H98" i="39"/>
  <c r="H97" i="39"/>
  <c r="H96" i="39"/>
  <c r="H95" i="39"/>
  <c r="H94" i="39"/>
  <c r="H93" i="39"/>
  <c r="H92" i="39"/>
  <c r="H91" i="39"/>
  <c r="H90" i="39"/>
  <c r="H89" i="39"/>
  <c r="H88" i="39"/>
  <c r="H87" i="39"/>
  <c r="H86" i="39"/>
  <c r="H85" i="39"/>
  <c r="H84" i="39"/>
  <c r="H83" i="39"/>
  <c r="H82" i="39"/>
  <c r="H81" i="39"/>
  <c r="H80" i="39"/>
  <c r="H79" i="39"/>
  <c r="H78" i="39"/>
  <c r="H77" i="39"/>
  <c r="H76" i="39"/>
  <c r="H75" i="39"/>
  <c r="H74" i="39"/>
  <c r="H73" i="39"/>
  <c r="H72" i="39"/>
  <c r="H71" i="39"/>
  <c r="H70" i="39"/>
  <c r="H69" i="39"/>
  <c r="H68" i="39"/>
  <c r="H67" i="39"/>
  <c r="H66" i="39"/>
  <c r="H65" i="39"/>
  <c r="H64" i="39"/>
  <c r="H63" i="39"/>
  <c r="H62" i="39"/>
  <c r="J61" i="39"/>
  <c r="H61" i="39"/>
  <c r="H60" i="39"/>
  <c r="H59" i="39"/>
  <c r="H58" i="39"/>
  <c r="H57" i="39"/>
  <c r="H56" i="39"/>
  <c r="H55" i="39"/>
  <c r="H54" i="39"/>
  <c r="H53" i="39"/>
  <c r="H52" i="39"/>
  <c r="H51" i="39"/>
  <c r="H50" i="39"/>
  <c r="H49" i="39"/>
  <c r="H48" i="39"/>
  <c r="H47" i="39"/>
  <c r="H46" i="39"/>
  <c r="H45" i="39"/>
  <c r="H44" i="39"/>
  <c r="H43" i="39"/>
  <c r="H42" i="39"/>
  <c r="H41" i="39"/>
  <c r="H40" i="39"/>
  <c r="H39" i="39"/>
  <c r="H38" i="39"/>
  <c r="H37" i="39"/>
  <c r="H36" i="39"/>
  <c r="H35" i="39"/>
  <c r="H34" i="39"/>
  <c r="H33" i="39"/>
  <c r="H32" i="39"/>
  <c r="H31" i="39"/>
  <c r="H30" i="39"/>
  <c r="H29" i="39"/>
  <c r="H28" i="39"/>
  <c r="H27" i="39"/>
  <c r="H26" i="39"/>
  <c r="H25" i="39"/>
  <c r="H24" i="39"/>
  <c r="H23" i="39"/>
  <c r="D163" i="38" l="1"/>
  <c r="D162" i="38"/>
  <c r="D161" i="38"/>
  <c r="H160" i="38"/>
  <c r="H159" i="38"/>
  <c r="H158" i="38"/>
  <c r="H157" i="38"/>
  <c r="H156" i="38"/>
  <c r="H155" i="38"/>
  <c r="H154" i="38"/>
  <c r="H153" i="38"/>
  <c r="H152" i="38"/>
  <c r="J151" i="38"/>
  <c r="H151" i="38"/>
  <c r="H150" i="38"/>
  <c r="H149" i="38"/>
  <c r="H148" i="38"/>
  <c r="H147" i="38"/>
  <c r="H146" i="38"/>
  <c r="H145" i="38"/>
  <c r="H144" i="38"/>
  <c r="H143" i="38"/>
  <c r="H142" i="38"/>
  <c r="H141" i="38"/>
  <c r="H140" i="38"/>
  <c r="H139" i="38"/>
  <c r="H138" i="38"/>
  <c r="H137" i="38"/>
  <c r="H136" i="38"/>
  <c r="H135" i="38"/>
  <c r="H134" i="38"/>
  <c r="H133" i="38"/>
  <c r="H132" i="38"/>
  <c r="H131" i="38"/>
  <c r="H130" i="38"/>
  <c r="H129" i="38"/>
  <c r="D125" i="38"/>
  <c r="D124" i="38"/>
  <c r="D123" i="38"/>
  <c r="H122" i="38"/>
  <c r="H121" i="38"/>
  <c r="H120" i="38"/>
  <c r="H119" i="38"/>
  <c r="H118" i="38"/>
  <c r="H117" i="38"/>
  <c r="H116" i="38"/>
  <c r="H115" i="38"/>
  <c r="H114" i="38"/>
  <c r="H113" i="38"/>
  <c r="H112" i="38"/>
  <c r="H111" i="38"/>
  <c r="H110" i="38"/>
  <c r="H109" i="38"/>
  <c r="H108" i="38"/>
  <c r="H107" i="38"/>
  <c r="H106" i="38"/>
  <c r="H105" i="38"/>
  <c r="H104" i="38"/>
  <c r="H103" i="38"/>
  <c r="H102" i="38"/>
  <c r="H101" i="38"/>
  <c r="H100" i="38"/>
  <c r="H99" i="38"/>
  <c r="H98" i="38"/>
  <c r="H97" i="38"/>
  <c r="H96" i="38"/>
  <c r="H95" i="38"/>
  <c r="H94" i="38"/>
  <c r="H93" i="38"/>
  <c r="H92" i="38"/>
  <c r="H91" i="38"/>
  <c r="H90" i="38"/>
  <c r="H89" i="38"/>
  <c r="H88" i="38"/>
  <c r="H87" i="38"/>
  <c r="H86" i="38"/>
  <c r="H85" i="38"/>
  <c r="H84" i="38"/>
  <c r="H83" i="38"/>
  <c r="H82" i="38"/>
  <c r="H81" i="38"/>
  <c r="H80" i="38"/>
  <c r="H79" i="38"/>
  <c r="H78" i="38"/>
  <c r="H77" i="38"/>
  <c r="H76" i="38"/>
  <c r="H75" i="38"/>
  <c r="H74" i="38"/>
  <c r="H73" i="38"/>
  <c r="H72" i="38"/>
  <c r="H71" i="38"/>
  <c r="H70" i="38"/>
  <c r="H69" i="38"/>
  <c r="H68" i="38"/>
  <c r="H67" i="38"/>
  <c r="H66" i="38"/>
  <c r="H65" i="38"/>
  <c r="H64" i="38"/>
  <c r="H63" i="38"/>
  <c r="H62" i="38"/>
  <c r="J61" i="38"/>
  <c r="H61" i="38"/>
  <c r="H60" i="38"/>
  <c r="H59" i="38"/>
  <c r="H58" i="38"/>
  <c r="H57" i="38"/>
  <c r="H56" i="38"/>
  <c r="H55" i="38"/>
  <c r="H54" i="38"/>
  <c r="H53" i="38"/>
  <c r="H52" i="38"/>
  <c r="H51" i="38"/>
  <c r="H50" i="38"/>
  <c r="H49" i="38"/>
  <c r="H48" i="38"/>
  <c r="H47" i="38"/>
  <c r="H46" i="38"/>
  <c r="H45" i="38"/>
  <c r="H44" i="38"/>
  <c r="H43" i="38"/>
  <c r="H42" i="38"/>
  <c r="H41" i="38"/>
  <c r="H40" i="38"/>
  <c r="H39" i="38"/>
  <c r="H38" i="38"/>
  <c r="H37" i="38"/>
  <c r="H36" i="38"/>
  <c r="H35" i="38"/>
  <c r="H34" i="38"/>
  <c r="H33" i="38"/>
  <c r="H32" i="38"/>
  <c r="H31" i="38"/>
  <c r="H30" i="38"/>
  <c r="H29" i="38"/>
  <c r="H28" i="38"/>
  <c r="H27" i="38"/>
  <c r="H26" i="38"/>
  <c r="H25" i="38"/>
  <c r="H24" i="38"/>
  <c r="H23" i="38"/>
  <c r="D163" i="37" l="1"/>
  <c r="D162" i="37"/>
  <c r="D161" i="37"/>
  <c r="H160" i="37"/>
  <c r="H159" i="37"/>
  <c r="H158" i="37"/>
  <c r="H157" i="37"/>
  <c r="H156" i="37"/>
  <c r="H155" i="37"/>
  <c r="H154" i="37"/>
  <c r="H153" i="37"/>
  <c r="H152" i="37"/>
  <c r="J151" i="37"/>
  <c r="H151" i="37"/>
  <c r="H150" i="37"/>
  <c r="H149" i="37"/>
  <c r="H148" i="37"/>
  <c r="H147" i="37"/>
  <c r="H146" i="37"/>
  <c r="H145" i="37"/>
  <c r="H144" i="37"/>
  <c r="H143" i="37"/>
  <c r="H142" i="37"/>
  <c r="H141" i="37"/>
  <c r="H140" i="37"/>
  <c r="H139" i="37"/>
  <c r="H138" i="37"/>
  <c r="H137" i="37"/>
  <c r="H136" i="37"/>
  <c r="H135" i="37"/>
  <c r="H134" i="37"/>
  <c r="H133" i="37"/>
  <c r="H132" i="37"/>
  <c r="H131" i="37"/>
  <c r="H130" i="37"/>
  <c r="H129" i="37"/>
  <c r="D125" i="37"/>
  <c r="D124" i="37"/>
  <c r="D123" i="37"/>
  <c r="H122" i="37"/>
  <c r="H121" i="37"/>
  <c r="H120" i="37"/>
  <c r="H119" i="37"/>
  <c r="H118" i="37"/>
  <c r="H117" i="37"/>
  <c r="H116" i="37"/>
  <c r="H115" i="37"/>
  <c r="H114" i="37"/>
  <c r="H113" i="37"/>
  <c r="H112" i="37"/>
  <c r="H111" i="37"/>
  <c r="H110" i="37"/>
  <c r="H109" i="37"/>
  <c r="H108" i="37"/>
  <c r="H107" i="37"/>
  <c r="H106" i="37"/>
  <c r="H105" i="37"/>
  <c r="H104" i="37"/>
  <c r="H103" i="37"/>
  <c r="H102" i="37"/>
  <c r="H101" i="37"/>
  <c r="H100" i="37"/>
  <c r="H99" i="37"/>
  <c r="H98" i="37"/>
  <c r="H97" i="37"/>
  <c r="H96" i="37"/>
  <c r="H95" i="37"/>
  <c r="H94" i="37"/>
  <c r="H93" i="37"/>
  <c r="H92" i="37"/>
  <c r="H91" i="37"/>
  <c r="H90" i="37"/>
  <c r="H89" i="37"/>
  <c r="H88" i="37"/>
  <c r="H87" i="37"/>
  <c r="H86" i="37"/>
  <c r="H85" i="37"/>
  <c r="H84" i="37"/>
  <c r="H83" i="37"/>
  <c r="H82" i="37"/>
  <c r="H81" i="37"/>
  <c r="H80" i="37"/>
  <c r="H79" i="37"/>
  <c r="H78" i="37"/>
  <c r="H77" i="37"/>
  <c r="H76" i="37"/>
  <c r="H75" i="37"/>
  <c r="H74" i="37"/>
  <c r="H73" i="37"/>
  <c r="H72" i="37"/>
  <c r="H71" i="37"/>
  <c r="H70" i="37"/>
  <c r="H69" i="37"/>
  <c r="H68" i="37"/>
  <c r="H67" i="37"/>
  <c r="H66" i="37"/>
  <c r="H65" i="37"/>
  <c r="H64" i="37"/>
  <c r="H63" i="37"/>
  <c r="H62" i="37"/>
  <c r="J61" i="37"/>
  <c r="H61" i="37"/>
  <c r="H60" i="37"/>
  <c r="H59" i="37"/>
  <c r="H58" i="37"/>
  <c r="H57" i="37"/>
  <c r="H56" i="37"/>
  <c r="H55" i="37"/>
  <c r="H54" i="37"/>
  <c r="H53" i="37"/>
  <c r="H52" i="37"/>
  <c r="H51" i="37"/>
  <c r="H50" i="37"/>
  <c r="H49" i="37"/>
  <c r="H48" i="37"/>
  <c r="H47" i="37"/>
  <c r="H46" i="37"/>
  <c r="H45" i="37"/>
  <c r="H44" i="37"/>
  <c r="H43" i="37"/>
  <c r="H42" i="37"/>
  <c r="H41" i="37"/>
  <c r="H40" i="37"/>
  <c r="H39" i="37"/>
  <c r="H38" i="37"/>
  <c r="H37" i="37"/>
  <c r="H36" i="37"/>
  <c r="H35" i="37"/>
  <c r="H34" i="37"/>
  <c r="H33" i="37"/>
  <c r="H32" i="37"/>
  <c r="H31" i="37"/>
  <c r="H30" i="37"/>
  <c r="H29" i="37"/>
  <c r="H28" i="37"/>
  <c r="H27" i="37"/>
  <c r="H26" i="37"/>
  <c r="H25" i="37"/>
  <c r="H24" i="37"/>
  <c r="H23" i="37"/>
  <c r="D163" i="36" l="1"/>
  <c r="D162" i="36"/>
  <c r="D161" i="36"/>
  <c r="H160" i="36"/>
  <c r="H159" i="36"/>
  <c r="H158" i="36"/>
  <c r="H157" i="36"/>
  <c r="H156" i="36"/>
  <c r="H155" i="36"/>
  <c r="H154" i="36"/>
  <c r="H153" i="36"/>
  <c r="H152" i="36"/>
  <c r="J151" i="36"/>
  <c r="H151" i="36"/>
  <c r="H150" i="36"/>
  <c r="H149" i="36"/>
  <c r="H148" i="36"/>
  <c r="H147" i="36"/>
  <c r="H146" i="36"/>
  <c r="H145" i="36"/>
  <c r="H144" i="36"/>
  <c r="H143" i="36"/>
  <c r="H142" i="36"/>
  <c r="H141" i="36"/>
  <c r="H140" i="36"/>
  <c r="H139" i="36"/>
  <c r="H138" i="36"/>
  <c r="H137" i="36"/>
  <c r="H136" i="36"/>
  <c r="H135" i="36"/>
  <c r="H134" i="36"/>
  <c r="H133" i="36"/>
  <c r="H132" i="36"/>
  <c r="H131" i="36"/>
  <c r="H130" i="36"/>
  <c r="H129" i="36"/>
  <c r="D125" i="36"/>
  <c r="D124" i="36"/>
  <c r="D123" i="36"/>
  <c r="H122" i="36"/>
  <c r="H121" i="36"/>
  <c r="H120" i="36"/>
  <c r="H119" i="36"/>
  <c r="H118" i="36"/>
  <c r="H117" i="36"/>
  <c r="H116" i="36"/>
  <c r="H115" i="36"/>
  <c r="H114" i="36"/>
  <c r="H113" i="36"/>
  <c r="H112" i="36"/>
  <c r="H111" i="36"/>
  <c r="H110" i="36"/>
  <c r="H109" i="36"/>
  <c r="H108" i="36"/>
  <c r="H107" i="36"/>
  <c r="H106" i="36"/>
  <c r="H105" i="36"/>
  <c r="H104" i="36"/>
  <c r="H103" i="36"/>
  <c r="H102" i="36"/>
  <c r="H101" i="36"/>
  <c r="H100" i="36"/>
  <c r="H99" i="36"/>
  <c r="H98" i="36"/>
  <c r="H97" i="36"/>
  <c r="H96" i="36"/>
  <c r="H95" i="36"/>
  <c r="H94" i="36"/>
  <c r="H93" i="36"/>
  <c r="H92" i="36"/>
  <c r="H91" i="36"/>
  <c r="H90" i="36"/>
  <c r="H89" i="36"/>
  <c r="H88" i="36"/>
  <c r="H87" i="36"/>
  <c r="H86" i="36"/>
  <c r="H85" i="36"/>
  <c r="H84" i="36"/>
  <c r="H83" i="36"/>
  <c r="H82" i="36"/>
  <c r="H81" i="36"/>
  <c r="H80" i="36"/>
  <c r="H79" i="36"/>
  <c r="H78" i="36"/>
  <c r="H77" i="36"/>
  <c r="H76" i="36"/>
  <c r="H75" i="36"/>
  <c r="H74" i="36"/>
  <c r="H73" i="36"/>
  <c r="H72" i="36"/>
  <c r="H71" i="36"/>
  <c r="H70" i="36"/>
  <c r="H69" i="36"/>
  <c r="H68" i="36"/>
  <c r="H67" i="36"/>
  <c r="H66" i="36"/>
  <c r="H65" i="36"/>
  <c r="H64" i="36"/>
  <c r="H63" i="36"/>
  <c r="H62" i="36"/>
  <c r="J61" i="36"/>
  <c r="H61" i="36"/>
  <c r="H60" i="36"/>
  <c r="H59" i="36"/>
  <c r="H58" i="36"/>
  <c r="H57" i="36"/>
  <c r="H56" i="36"/>
  <c r="H55" i="36"/>
  <c r="H54" i="36"/>
  <c r="H53" i="36"/>
  <c r="H52" i="36"/>
  <c r="H51" i="36"/>
  <c r="H50" i="36"/>
  <c r="H49" i="36"/>
  <c r="H48" i="36"/>
  <c r="H47" i="36"/>
  <c r="H46" i="36"/>
  <c r="H45" i="36"/>
  <c r="H44" i="36"/>
  <c r="H43" i="36"/>
  <c r="H42" i="36"/>
  <c r="H41" i="36"/>
  <c r="H40" i="36"/>
  <c r="H39" i="36"/>
  <c r="H38" i="36"/>
  <c r="H37" i="36"/>
  <c r="H36" i="36"/>
  <c r="H35" i="36"/>
  <c r="H34" i="36"/>
  <c r="H33" i="36"/>
  <c r="H32" i="36"/>
  <c r="H31" i="36"/>
  <c r="H30" i="36"/>
  <c r="H29" i="36"/>
  <c r="H28" i="36"/>
  <c r="H27" i="36"/>
  <c r="H26" i="36"/>
  <c r="H25" i="36"/>
  <c r="H24" i="36"/>
  <c r="H23" i="36"/>
  <c r="D163" i="35"/>
  <c r="D162" i="35"/>
  <c r="D161" i="35"/>
  <c r="H160" i="35"/>
  <c r="H159" i="35"/>
  <c r="H158" i="35"/>
  <c r="H157" i="35"/>
  <c r="H156" i="35"/>
  <c r="H155" i="35"/>
  <c r="H154" i="35"/>
  <c r="H153" i="35"/>
  <c r="H152" i="35"/>
  <c r="J151" i="35"/>
  <c r="H151" i="35"/>
  <c r="H150" i="35"/>
  <c r="H149" i="35"/>
  <c r="H148" i="35"/>
  <c r="H147" i="35"/>
  <c r="H146" i="35"/>
  <c r="H145" i="35"/>
  <c r="H144" i="35"/>
  <c r="H143" i="35"/>
  <c r="H142" i="35"/>
  <c r="H141" i="35"/>
  <c r="H140" i="35"/>
  <c r="H139" i="35"/>
  <c r="H138" i="35"/>
  <c r="H137" i="35"/>
  <c r="H136" i="35"/>
  <c r="H135" i="35"/>
  <c r="H134" i="35"/>
  <c r="H133" i="35"/>
  <c r="H132" i="35"/>
  <c r="H131" i="35"/>
  <c r="H130" i="35"/>
  <c r="H129" i="35"/>
  <c r="D125" i="35"/>
  <c r="D124" i="35"/>
  <c r="D123" i="35"/>
  <c r="H122" i="35"/>
  <c r="H121" i="35"/>
  <c r="H120" i="35"/>
  <c r="H119" i="35"/>
  <c r="H118" i="35"/>
  <c r="H117" i="35"/>
  <c r="H116" i="35"/>
  <c r="H115" i="35"/>
  <c r="H114" i="35"/>
  <c r="H113" i="35"/>
  <c r="H112" i="35"/>
  <c r="H111" i="35"/>
  <c r="H110" i="35"/>
  <c r="H109" i="35"/>
  <c r="H108" i="35"/>
  <c r="H107" i="35"/>
  <c r="H106" i="35"/>
  <c r="H105" i="35"/>
  <c r="H104" i="35"/>
  <c r="H103" i="35"/>
  <c r="H102" i="35"/>
  <c r="H101" i="35"/>
  <c r="H100" i="35"/>
  <c r="H99" i="35"/>
  <c r="H98" i="35"/>
  <c r="H97" i="35"/>
  <c r="H96" i="35"/>
  <c r="H95" i="35"/>
  <c r="H94" i="35"/>
  <c r="H93" i="35"/>
  <c r="H92" i="35"/>
  <c r="H91" i="35"/>
  <c r="H90" i="35"/>
  <c r="H89" i="35"/>
  <c r="H88" i="35"/>
  <c r="H87" i="35"/>
  <c r="H86" i="35"/>
  <c r="H85" i="35"/>
  <c r="H84" i="35"/>
  <c r="H83" i="35"/>
  <c r="H82" i="35"/>
  <c r="H81" i="35"/>
  <c r="H80" i="35"/>
  <c r="H79" i="35"/>
  <c r="H78" i="35"/>
  <c r="H77" i="35"/>
  <c r="H76" i="35"/>
  <c r="H75" i="35"/>
  <c r="H74" i="35"/>
  <c r="H73" i="35"/>
  <c r="H72" i="35"/>
  <c r="H71" i="35"/>
  <c r="H70" i="35"/>
  <c r="H69" i="35"/>
  <c r="H68" i="35"/>
  <c r="H67" i="35"/>
  <c r="H66" i="35"/>
  <c r="H65" i="35"/>
  <c r="H64" i="35"/>
  <c r="H63" i="35"/>
  <c r="H62" i="35"/>
  <c r="J61" i="35"/>
  <c r="H61" i="35"/>
  <c r="H60" i="35"/>
  <c r="H59" i="35"/>
  <c r="H58" i="35"/>
  <c r="H57" i="35"/>
  <c r="H56" i="35"/>
  <c r="H55" i="35"/>
  <c r="H54" i="35"/>
  <c r="H53" i="35"/>
  <c r="H52" i="35"/>
  <c r="H51" i="35"/>
  <c r="H50" i="35"/>
  <c r="H49" i="35"/>
  <c r="H48" i="35"/>
  <c r="H47" i="35"/>
  <c r="H46" i="35"/>
  <c r="H45" i="35"/>
  <c r="H44" i="35"/>
  <c r="H43" i="35"/>
  <c r="H42" i="35"/>
  <c r="H41" i="35"/>
  <c r="H40" i="35"/>
  <c r="H39" i="35"/>
  <c r="H38" i="35"/>
  <c r="H37" i="35"/>
  <c r="H36" i="35"/>
  <c r="H35" i="35"/>
  <c r="H34" i="35"/>
  <c r="H33" i="35"/>
  <c r="H32" i="35"/>
  <c r="H31" i="35"/>
  <c r="H30" i="35"/>
  <c r="H29" i="35"/>
  <c r="H28" i="35"/>
  <c r="H27" i="35"/>
  <c r="H26" i="35"/>
  <c r="H25" i="35"/>
  <c r="H24" i="35"/>
  <c r="H23" i="35"/>
  <c r="D163" i="34"/>
  <c r="D162" i="34"/>
  <c r="D161" i="34"/>
  <c r="H160" i="34"/>
  <c r="H159" i="34"/>
  <c r="H158" i="34"/>
  <c r="H157" i="34"/>
  <c r="H156" i="34"/>
  <c r="H155" i="34"/>
  <c r="H154" i="34"/>
  <c r="H153" i="34"/>
  <c r="H152" i="34"/>
  <c r="J151" i="34"/>
  <c r="H151" i="34"/>
  <c r="H150" i="34"/>
  <c r="H149" i="34"/>
  <c r="H148" i="34"/>
  <c r="H147" i="34"/>
  <c r="H146" i="34"/>
  <c r="H145" i="34"/>
  <c r="H144" i="34"/>
  <c r="H143" i="34"/>
  <c r="H142" i="34"/>
  <c r="H141" i="34"/>
  <c r="H140" i="34"/>
  <c r="H139" i="34"/>
  <c r="H138" i="34"/>
  <c r="H137" i="34"/>
  <c r="H136" i="34"/>
  <c r="H135" i="34"/>
  <c r="H134" i="34"/>
  <c r="H133" i="34"/>
  <c r="H132" i="34"/>
  <c r="H131" i="34"/>
  <c r="H130" i="34"/>
  <c r="H129" i="34"/>
  <c r="D125" i="34"/>
  <c r="D124" i="34"/>
  <c r="D123" i="34"/>
  <c r="H122" i="34"/>
  <c r="H121" i="34"/>
  <c r="H120" i="34"/>
  <c r="H119" i="34"/>
  <c r="H118" i="34"/>
  <c r="H117" i="34"/>
  <c r="H116" i="34"/>
  <c r="H115" i="34"/>
  <c r="H114" i="34"/>
  <c r="H113" i="34"/>
  <c r="H112" i="34"/>
  <c r="H111" i="34"/>
  <c r="H110" i="34"/>
  <c r="H109" i="34"/>
  <c r="H108" i="34"/>
  <c r="H107" i="34"/>
  <c r="H106" i="34"/>
  <c r="H105" i="34"/>
  <c r="H104" i="34"/>
  <c r="H103" i="34"/>
  <c r="H102" i="34"/>
  <c r="H101" i="34"/>
  <c r="H100" i="34"/>
  <c r="H99" i="34"/>
  <c r="H98" i="34"/>
  <c r="H97" i="34"/>
  <c r="H96" i="34"/>
  <c r="H95" i="34"/>
  <c r="H94" i="34"/>
  <c r="H93" i="34"/>
  <c r="H92" i="34"/>
  <c r="H91" i="34"/>
  <c r="H90" i="34"/>
  <c r="H89" i="34"/>
  <c r="H88" i="34"/>
  <c r="H87" i="34"/>
  <c r="H86" i="34"/>
  <c r="H85" i="34"/>
  <c r="H84" i="34"/>
  <c r="H83" i="34"/>
  <c r="H82" i="34"/>
  <c r="H81" i="34"/>
  <c r="H80" i="34"/>
  <c r="H79" i="34"/>
  <c r="H78" i="34"/>
  <c r="H77" i="34"/>
  <c r="H76" i="34"/>
  <c r="H75" i="34"/>
  <c r="H74" i="34"/>
  <c r="H73" i="34"/>
  <c r="H72" i="34"/>
  <c r="H71" i="34"/>
  <c r="H70" i="34"/>
  <c r="H69" i="34"/>
  <c r="H68" i="34"/>
  <c r="H67" i="34"/>
  <c r="H66" i="34"/>
  <c r="H65" i="34"/>
  <c r="H64" i="34"/>
  <c r="H63" i="34"/>
  <c r="H62" i="34"/>
  <c r="J61" i="34"/>
  <c r="H61" i="34"/>
  <c r="H60" i="34"/>
  <c r="H59" i="34"/>
  <c r="H58" i="34"/>
  <c r="H57" i="34"/>
  <c r="H56" i="34"/>
  <c r="H55" i="34"/>
  <c r="H54" i="34"/>
  <c r="H53" i="34"/>
  <c r="H52" i="34"/>
  <c r="H51" i="34"/>
  <c r="H50" i="34"/>
  <c r="H49" i="34"/>
  <c r="H48" i="34"/>
  <c r="H47" i="34"/>
  <c r="H46" i="34"/>
  <c r="H45" i="34"/>
  <c r="H44" i="34"/>
  <c r="H43" i="34"/>
  <c r="H42" i="34"/>
  <c r="H41" i="34"/>
  <c r="H40" i="34"/>
  <c r="H39" i="34"/>
  <c r="H38" i="34"/>
  <c r="H37" i="34"/>
  <c r="H36" i="34"/>
  <c r="H35" i="34"/>
  <c r="H34" i="34"/>
  <c r="H33" i="34"/>
  <c r="H32" i="34"/>
  <c r="H31" i="34"/>
  <c r="H30" i="34"/>
  <c r="H29" i="34"/>
  <c r="H28" i="34"/>
  <c r="H27" i="34"/>
  <c r="H26" i="34"/>
  <c r="H25" i="34"/>
  <c r="H24" i="34"/>
  <c r="H23" i="34"/>
  <c r="D163" i="33"/>
  <c r="D162" i="33"/>
  <c r="D161" i="33"/>
  <c r="H160" i="33"/>
  <c r="H159" i="33"/>
  <c r="H158" i="33"/>
  <c r="H157" i="33"/>
  <c r="H156" i="33"/>
  <c r="H155" i="33"/>
  <c r="H154" i="33"/>
  <c r="H153" i="33"/>
  <c r="H152" i="33"/>
  <c r="J151" i="33"/>
  <c r="H151" i="33"/>
  <c r="H150" i="33"/>
  <c r="H149" i="33"/>
  <c r="H148" i="33"/>
  <c r="H147" i="33"/>
  <c r="H146" i="33"/>
  <c r="H145" i="33"/>
  <c r="H144" i="33"/>
  <c r="H143" i="33"/>
  <c r="H142" i="33"/>
  <c r="H141" i="33"/>
  <c r="H140" i="33"/>
  <c r="H139" i="33"/>
  <c r="H138" i="33"/>
  <c r="H137" i="33"/>
  <c r="H136" i="33"/>
  <c r="H135" i="33"/>
  <c r="H134" i="33"/>
  <c r="H133" i="33"/>
  <c r="H132" i="33"/>
  <c r="H131" i="33"/>
  <c r="H130" i="33"/>
  <c r="H129" i="33"/>
  <c r="D125" i="33"/>
  <c r="D124" i="33"/>
  <c r="D123" i="33"/>
  <c r="H122" i="33"/>
  <c r="H121" i="33"/>
  <c r="H120" i="33"/>
  <c r="H119" i="33"/>
  <c r="H118" i="33"/>
  <c r="H117" i="33"/>
  <c r="H116" i="33"/>
  <c r="H115" i="33"/>
  <c r="H114" i="33"/>
  <c r="H113" i="33"/>
  <c r="H112" i="33"/>
  <c r="H111" i="33"/>
  <c r="H110" i="33"/>
  <c r="H109" i="33"/>
  <c r="H108" i="33"/>
  <c r="H107" i="33"/>
  <c r="H106" i="33"/>
  <c r="H105" i="33"/>
  <c r="H104" i="33"/>
  <c r="H103" i="33"/>
  <c r="H102" i="33"/>
  <c r="H101" i="33"/>
  <c r="H100" i="33"/>
  <c r="H99" i="33"/>
  <c r="H98" i="33"/>
  <c r="H97" i="33"/>
  <c r="H96" i="33"/>
  <c r="H95" i="33"/>
  <c r="H94" i="33"/>
  <c r="H93" i="33"/>
  <c r="H92" i="33"/>
  <c r="H91" i="33"/>
  <c r="H90" i="33"/>
  <c r="H89" i="33"/>
  <c r="H88" i="33"/>
  <c r="H87" i="33"/>
  <c r="H86" i="33"/>
  <c r="H85" i="33"/>
  <c r="H84" i="33"/>
  <c r="H83" i="33"/>
  <c r="H82" i="33"/>
  <c r="H81" i="33"/>
  <c r="H80" i="33"/>
  <c r="H79" i="33"/>
  <c r="H78" i="33"/>
  <c r="H77" i="33"/>
  <c r="H76" i="33"/>
  <c r="H75" i="33"/>
  <c r="H74" i="33"/>
  <c r="H73" i="33"/>
  <c r="H72" i="33"/>
  <c r="H71" i="33"/>
  <c r="H70" i="33"/>
  <c r="H69" i="33"/>
  <c r="H68" i="33"/>
  <c r="H67" i="33"/>
  <c r="H66" i="33"/>
  <c r="H65" i="33"/>
  <c r="H64" i="33"/>
  <c r="H63" i="33"/>
  <c r="H62" i="33"/>
  <c r="J61" i="33"/>
  <c r="H61" i="33"/>
  <c r="H60" i="33"/>
  <c r="H59" i="33"/>
  <c r="H58" i="33"/>
  <c r="H57" i="33"/>
  <c r="H56" i="33"/>
  <c r="H55" i="33"/>
  <c r="H54" i="33"/>
  <c r="H53" i="33"/>
  <c r="H52" i="33"/>
  <c r="H51" i="33"/>
  <c r="H50" i="33"/>
  <c r="H49" i="33"/>
  <c r="H48" i="33"/>
  <c r="H47" i="33"/>
  <c r="H46" i="33"/>
  <c r="H45" i="33"/>
  <c r="H44" i="33"/>
  <c r="H43" i="33"/>
  <c r="H42" i="33"/>
  <c r="H41" i="33"/>
  <c r="H40" i="33"/>
  <c r="H39" i="33"/>
  <c r="H38" i="33"/>
  <c r="H37" i="33"/>
  <c r="H36" i="33"/>
  <c r="H35" i="33"/>
  <c r="H34" i="33"/>
  <c r="H33" i="33"/>
  <c r="H32" i="33"/>
  <c r="H31" i="33"/>
  <c r="H30" i="33"/>
  <c r="H29" i="33"/>
  <c r="H28" i="33"/>
  <c r="H27" i="33"/>
  <c r="H26" i="33"/>
  <c r="H25" i="33"/>
  <c r="H24" i="33"/>
  <c r="H23" i="33"/>
  <c r="D163" i="32"/>
  <c r="D162" i="32"/>
  <c r="D161" i="32"/>
  <c r="H160" i="32"/>
  <c r="H159" i="32"/>
  <c r="H158" i="32"/>
  <c r="H157" i="32"/>
  <c r="H156" i="32"/>
  <c r="H155" i="32"/>
  <c r="H154" i="32"/>
  <c r="H153" i="32"/>
  <c r="H152" i="32"/>
  <c r="J151"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D125" i="32"/>
  <c r="D124" i="32"/>
  <c r="D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J61"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D163" i="31" l="1"/>
  <c r="D162" i="31"/>
  <c r="D161" i="31"/>
  <c r="H160" i="31"/>
  <c r="H159" i="31"/>
  <c r="H158" i="31"/>
  <c r="H157" i="31"/>
  <c r="H156" i="31"/>
  <c r="H155" i="31"/>
  <c r="H154" i="31"/>
  <c r="H153" i="31"/>
  <c r="H152" i="31"/>
  <c r="J151" i="31"/>
  <c r="H151" i="31"/>
  <c r="H150" i="31"/>
  <c r="H149" i="31"/>
  <c r="H148" i="31"/>
  <c r="H147" i="31"/>
  <c r="H146" i="31"/>
  <c r="H145" i="31"/>
  <c r="H144" i="31"/>
  <c r="H143" i="31"/>
  <c r="H142" i="31"/>
  <c r="H141" i="31"/>
  <c r="H140" i="31"/>
  <c r="H139" i="31"/>
  <c r="H138" i="31"/>
  <c r="H137" i="31"/>
  <c r="H136" i="31"/>
  <c r="H135" i="31"/>
  <c r="H134" i="31"/>
  <c r="H133" i="31"/>
  <c r="H132" i="31"/>
  <c r="H131" i="31"/>
  <c r="H130" i="31"/>
  <c r="H129" i="31"/>
  <c r="D125" i="31"/>
  <c r="D124" i="31"/>
  <c r="D123" i="31"/>
  <c r="H122" i="31"/>
  <c r="H121" i="31"/>
  <c r="H120" i="31"/>
  <c r="H119" i="31"/>
  <c r="H118" i="31"/>
  <c r="H117" i="31"/>
  <c r="H116" i="31"/>
  <c r="H115" i="31"/>
  <c r="H114" i="31"/>
  <c r="H113" i="31"/>
  <c r="H112" i="31"/>
  <c r="H111" i="31"/>
  <c r="H110" i="31"/>
  <c r="H109" i="31"/>
  <c r="H108" i="31"/>
  <c r="H107" i="31"/>
  <c r="H106" i="31"/>
  <c r="H105" i="31"/>
  <c r="H104" i="31"/>
  <c r="H103" i="31"/>
  <c r="H102" i="31"/>
  <c r="H101" i="31"/>
  <c r="H100" i="31"/>
  <c r="H99" i="31"/>
  <c r="H98" i="31"/>
  <c r="H97" i="31"/>
  <c r="H96" i="31"/>
  <c r="H95" i="31"/>
  <c r="H94" i="31"/>
  <c r="H93" i="31"/>
  <c r="H92" i="31"/>
  <c r="H91" i="31"/>
  <c r="H90" i="31"/>
  <c r="H89" i="31"/>
  <c r="H88" i="31"/>
  <c r="H87" i="31"/>
  <c r="H86" i="31"/>
  <c r="H85" i="31"/>
  <c r="H84" i="31"/>
  <c r="H83" i="31"/>
  <c r="H82" i="31"/>
  <c r="H81" i="31"/>
  <c r="H80" i="31"/>
  <c r="H79" i="31"/>
  <c r="H78" i="31"/>
  <c r="H77" i="31"/>
  <c r="H76" i="31"/>
  <c r="H75" i="31"/>
  <c r="H74" i="31"/>
  <c r="H73" i="31"/>
  <c r="H72" i="31"/>
  <c r="H71" i="31"/>
  <c r="H70" i="31"/>
  <c r="H69" i="31"/>
  <c r="H68" i="31"/>
  <c r="H67" i="31"/>
  <c r="H66" i="31"/>
  <c r="H65" i="31"/>
  <c r="H64" i="31"/>
  <c r="H63" i="31"/>
  <c r="H62" i="31"/>
  <c r="J61" i="31"/>
  <c r="H61" i="31"/>
  <c r="H60" i="31"/>
  <c r="H59" i="31"/>
  <c r="H58" i="31"/>
  <c r="H57" i="31"/>
  <c r="H56" i="31"/>
  <c r="H55" i="31"/>
  <c r="H54" i="31"/>
  <c r="H53" i="31"/>
  <c r="H52" i="31"/>
  <c r="H51" i="31"/>
  <c r="H50" i="31"/>
  <c r="H49" i="31"/>
  <c r="H48" i="31"/>
  <c r="H47" i="31"/>
  <c r="H46" i="31"/>
  <c r="H45" i="31"/>
  <c r="H44" i="31"/>
  <c r="H43" i="31"/>
  <c r="H42" i="31"/>
  <c r="H41" i="31"/>
  <c r="H40" i="31"/>
  <c r="H39" i="31"/>
  <c r="H38" i="31"/>
  <c r="H37" i="31"/>
  <c r="H36" i="31"/>
  <c r="H35" i="31"/>
  <c r="H34" i="31"/>
  <c r="H33" i="31"/>
  <c r="H32" i="31"/>
  <c r="H31" i="31"/>
  <c r="H30" i="31"/>
  <c r="H29" i="31"/>
  <c r="H28" i="31"/>
  <c r="H27" i="31"/>
  <c r="H26" i="31"/>
  <c r="H25" i="31"/>
  <c r="H24" i="31"/>
  <c r="H23" i="31"/>
  <c r="D163" i="30"/>
  <c r="D162" i="30"/>
  <c r="D161" i="30"/>
  <c r="H160" i="30"/>
  <c r="H159" i="30"/>
  <c r="H158" i="30"/>
  <c r="H157" i="30"/>
  <c r="H156" i="30"/>
  <c r="H155" i="30"/>
  <c r="H154" i="30"/>
  <c r="H153" i="30"/>
  <c r="H152" i="30"/>
  <c r="J151" i="30"/>
  <c r="H151" i="30"/>
  <c r="H150" i="30"/>
  <c r="H149" i="30"/>
  <c r="H148" i="30"/>
  <c r="H147" i="30"/>
  <c r="H146" i="30"/>
  <c r="H145" i="30"/>
  <c r="H144" i="30"/>
  <c r="H143" i="30"/>
  <c r="H142" i="30"/>
  <c r="H141" i="30"/>
  <c r="H140" i="30"/>
  <c r="H139" i="30"/>
  <c r="H138" i="30"/>
  <c r="H137" i="30"/>
  <c r="H136" i="30"/>
  <c r="H135" i="30"/>
  <c r="H134" i="30"/>
  <c r="H133" i="30"/>
  <c r="H132" i="30"/>
  <c r="H131" i="30"/>
  <c r="H130" i="30"/>
  <c r="H129" i="30"/>
  <c r="D125" i="30"/>
  <c r="D124" i="30"/>
  <c r="D123" i="30"/>
  <c r="H122" i="30"/>
  <c r="H121" i="30"/>
  <c r="H120" i="30"/>
  <c r="H119" i="30"/>
  <c r="H118" i="30"/>
  <c r="H117" i="30"/>
  <c r="H116" i="30"/>
  <c r="H115" i="30"/>
  <c r="H114" i="30"/>
  <c r="H113" i="30"/>
  <c r="H112" i="30"/>
  <c r="H111" i="30"/>
  <c r="H110" i="30"/>
  <c r="H109" i="30"/>
  <c r="H108" i="30"/>
  <c r="H107" i="30"/>
  <c r="H106" i="30"/>
  <c r="H105" i="30"/>
  <c r="H104" i="30"/>
  <c r="H103" i="30"/>
  <c r="H102" i="30"/>
  <c r="H101" i="30"/>
  <c r="H100" i="30"/>
  <c r="H99" i="30"/>
  <c r="H98" i="30"/>
  <c r="H97" i="30"/>
  <c r="H96" i="30"/>
  <c r="H95" i="30"/>
  <c r="H94" i="30"/>
  <c r="H93" i="30"/>
  <c r="H92" i="30"/>
  <c r="H91" i="30"/>
  <c r="H90" i="30"/>
  <c r="H89" i="30"/>
  <c r="H88" i="30"/>
  <c r="H87" i="30"/>
  <c r="H86" i="30"/>
  <c r="H85" i="30"/>
  <c r="H84" i="30"/>
  <c r="H83" i="30"/>
  <c r="H82" i="30"/>
  <c r="H81" i="30"/>
  <c r="H80" i="30"/>
  <c r="H79" i="30"/>
  <c r="H78" i="30"/>
  <c r="H77" i="30"/>
  <c r="H76" i="30"/>
  <c r="H75" i="30"/>
  <c r="H74" i="30"/>
  <c r="H73" i="30"/>
  <c r="H72" i="30"/>
  <c r="H71" i="30"/>
  <c r="H70" i="30"/>
  <c r="H69" i="30"/>
  <c r="H68" i="30"/>
  <c r="H67" i="30"/>
  <c r="H66" i="30"/>
  <c r="H65" i="30"/>
  <c r="H64" i="30"/>
  <c r="H63" i="30"/>
  <c r="H62" i="30"/>
  <c r="J61" i="30"/>
  <c r="H61" i="30"/>
  <c r="H60" i="30"/>
  <c r="H59" i="30"/>
  <c r="H58" i="30"/>
  <c r="H57" i="30"/>
  <c r="H56" i="30"/>
  <c r="H55" i="30"/>
  <c r="H54" i="30"/>
  <c r="H53" i="30"/>
  <c r="H52" i="30"/>
  <c r="H51" i="30"/>
  <c r="H50" i="30"/>
  <c r="H49" i="30"/>
  <c r="H48" i="30"/>
  <c r="H47" i="30"/>
  <c r="H46" i="30"/>
  <c r="H45" i="30"/>
  <c r="H44" i="30"/>
  <c r="H43" i="30"/>
  <c r="H42" i="30"/>
  <c r="H41" i="30"/>
  <c r="H40" i="30"/>
  <c r="H39" i="30"/>
  <c r="H38" i="30"/>
  <c r="H37" i="30"/>
  <c r="H36" i="30"/>
  <c r="H35" i="30"/>
  <c r="H34" i="30"/>
  <c r="H33" i="30"/>
  <c r="H32" i="30"/>
  <c r="H31" i="30"/>
  <c r="H30" i="30"/>
  <c r="H29" i="30"/>
  <c r="H28" i="30"/>
  <c r="H27" i="30"/>
  <c r="H26" i="30"/>
  <c r="H25" i="30"/>
  <c r="H24" i="30"/>
  <c r="H23" i="30"/>
  <c r="D163" i="29" l="1"/>
  <c r="D162" i="29"/>
  <c r="D161" i="29"/>
  <c r="H160" i="29"/>
  <c r="H159" i="29"/>
  <c r="H158" i="29"/>
  <c r="H157" i="29"/>
  <c r="H156" i="29"/>
  <c r="H155" i="29"/>
  <c r="H154" i="29"/>
  <c r="H153" i="29"/>
  <c r="H152" i="29"/>
  <c r="J151" i="29"/>
  <c r="H151" i="29"/>
  <c r="H150" i="29"/>
  <c r="H149" i="29"/>
  <c r="H148" i="29"/>
  <c r="H147" i="29"/>
  <c r="H146" i="29"/>
  <c r="H145" i="29"/>
  <c r="H144" i="29"/>
  <c r="H143" i="29"/>
  <c r="H142" i="29"/>
  <c r="H141" i="29"/>
  <c r="H140" i="29"/>
  <c r="H139" i="29"/>
  <c r="H138" i="29"/>
  <c r="H137" i="29"/>
  <c r="H136" i="29"/>
  <c r="H135" i="29"/>
  <c r="H134" i="29"/>
  <c r="H133" i="29"/>
  <c r="H132" i="29"/>
  <c r="H131" i="29"/>
  <c r="H130" i="29"/>
  <c r="H129" i="29"/>
  <c r="D125" i="29"/>
  <c r="D124" i="29"/>
  <c r="D123" i="29"/>
  <c r="H122" i="29"/>
  <c r="H121" i="29"/>
  <c r="H120" i="29"/>
  <c r="H119" i="29"/>
  <c r="H118" i="29"/>
  <c r="H117" i="29"/>
  <c r="H116" i="29"/>
  <c r="H115" i="29"/>
  <c r="H114" i="29"/>
  <c r="H113" i="29"/>
  <c r="H112" i="29"/>
  <c r="H111" i="29"/>
  <c r="H110" i="29"/>
  <c r="H109" i="29"/>
  <c r="H108" i="29"/>
  <c r="H107" i="29"/>
  <c r="H106" i="29"/>
  <c r="H105" i="29"/>
  <c r="H104" i="29"/>
  <c r="H103" i="29"/>
  <c r="H102" i="29"/>
  <c r="H101" i="29"/>
  <c r="H100" i="29"/>
  <c r="H99" i="29"/>
  <c r="H98" i="29"/>
  <c r="H97" i="29"/>
  <c r="H96" i="29"/>
  <c r="H95" i="29"/>
  <c r="H94" i="29"/>
  <c r="H93" i="29"/>
  <c r="H92" i="29"/>
  <c r="H91" i="29"/>
  <c r="H90" i="29"/>
  <c r="H89" i="29"/>
  <c r="H88" i="29"/>
  <c r="H87" i="29"/>
  <c r="H86" i="29"/>
  <c r="H85" i="29"/>
  <c r="H84" i="29"/>
  <c r="H83" i="29"/>
  <c r="H82" i="29"/>
  <c r="H81" i="29"/>
  <c r="H80" i="29"/>
  <c r="H79" i="29"/>
  <c r="H78" i="29"/>
  <c r="H77" i="29"/>
  <c r="H76" i="29"/>
  <c r="H75" i="29"/>
  <c r="H74" i="29"/>
  <c r="H73" i="29"/>
  <c r="H72" i="29"/>
  <c r="H71" i="29"/>
  <c r="H70" i="29"/>
  <c r="H69" i="29"/>
  <c r="H68" i="29"/>
  <c r="H67" i="29"/>
  <c r="H66" i="29"/>
  <c r="H65" i="29"/>
  <c r="H64" i="29"/>
  <c r="H63" i="29"/>
  <c r="H62" i="29"/>
  <c r="J61" i="29"/>
  <c r="H61" i="29"/>
  <c r="H60" i="29"/>
  <c r="H59" i="29"/>
  <c r="H58" i="29"/>
  <c r="H57" i="29"/>
  <c r="H56" i="29"/>
  <c r="H55" i="29"/>
  <c r="H54" i="29"/>
  <c r="H53" i="29"/>
  <c r="H52" i="29"/>
  <c r="H51" i="29"/>
  <c r="H50" i="29"/>
  <c r="H49" i="29"/>
  <c r="H48" i="29"/>
  <c r="H47" i="29"/>
  <c r="H46" i="29"/>
  <c r="H45" i="29"/>
  <c r="H44" i="29"/>
  <c r="H43" i="29"/>
  <c r="H42" i="29"/>
  <c r="H41" i="29"/>
  <c r="H40" i="29"/>
  <c r="H39" i="29"/>
  <c r="H38" i="29"/>
  <c r="H37" i="29"/>
  <c r="H36" i="29"/>
  <c r="H35" i="29"/>
  <c r="H34" i="29"/>
  <c r="H33" i="29"/>
  <c r="H32" i="29"/>
  <c r="H31" i="29"/>
  <c r="H30" i="29"/>
  <c r="H29" i="29"/>
  <c r="H28" i="29"/>
  <c r="H27" i="29"/>
  <c r="H26" i="29"/>
  <c r="H25" i="29"/>
  <c r="H24" i="29"/>
  <c r="H23" i="29"/>
  <c r="D163" i="28"/>
  <c r="D162" i="28"/>
  <c r="D161" i="28"/>
  <c r="H160" i="28"/>
  <c r="H159" i="28"/>
  <c r="H158" i="28"/>
  <c r="H157" i="28"/>
  <c r="H156" i="28"/>
  <c r="H155" i="28"/>
  <c r="H154" i="28"/>
  <c r="H153" i="28"/>
  <c r="H152" i="28"/>
  <c r="J151" i="28"/>
  <c r="H151" i="28"/>
  <c r="H150" i="28"/>
  <c r="H149" i="28"/>
  <c r="H148" i="28"/>
  <c r="H147" i="28"/>
  <c r="H146" i="28"/>
  <c r="H145" i="28"/>
  <c r="H144" i="28"/>
  <c r="H143" i="28"/>
  <c r="H142" i="28"/>
  <c r="H141" i="28"/>
  <c r="H140" i="28"/>
  <c r="H139" i="28"/>
  <c r="H138" i="28"/>
  <c r="H137" i="28"/>
  <c r="H136" i="28"/>
  <c r="H135" i="28"/>
  <c r="H134" i="28"/>
  <c r="H133" i="28"/>
  <c r="H132" i="28"/>
  <c r="H131" i="28"/>
  <c r="H130" i="28"/>
  <c r="H129" i="28"/>
  <c r="D125" i="28"/>
  <c r="D124" i="28"/>
  <c r="D123" i="28"/>
  <c r="H122" i="28"/>
  <c r="H121" i="28"/>
  <c r="H120" i="28"/>
  <c r="H119" i="28"/>
  <c r="H118" i="28"/>
  <c r="H117" i="28"/>
  <c r="H116" i="28"/>
  <c r="H115" i="28"/>
  <c r="H114" i="28"/>
  <c r="H113" i="28"/>
  <c r="H112" i="28"/>
  <c r="H111" i="28"/>
  <c r="H110" i="28"/>
  <c r="H109" i="28"/>
  <c r="H108" i="28"/>
  <c r="H107" i="28"/>
  <c r="H106" i="28"/>
  <c r="H105" i="28"/>
  <c r="H104" i="28"/>
  <c r="H103" i="28"/>
  <c r="H102" i="28"/>
  <c r="H101" i="28"/>
  <c r="H100" i="28"/>
  <c r="H99" i="28"/>
  <c r="H98" i="28"/>
  <c r="H97" i="28"/>
  <c r="H96" i="28"/>
  <c r="H95" i="28"/>
  <c r="H94" i="28"/>
  <c r="H93" i="28"/>
  <c r="H92" i="28"/>
  <c r="H91" i="28"/>
  <c r="H90" i="28"/>
  <c r="H89" i="28"/>
  <c r="H88" i="28"/>
  <c r="H87" i="28"/>
  <c r="H86" i="28"/>
  <c r="H85" i="28"/>
  <c r="H84" i="28"/>
  <c r="H83" i="28"/>
  <c r="H82" i="28"/>
  <c r="H81" i="28"/>
  <c r="H80" i="28"/>
  <c r="H79" i="28"/>
  <c r="H78" i="28"/>
  <c r="H77" i="28"/>
  <c r="H76" i="28"/>
  <c r="H75" i="28"/>
  <c r="H74" i="28"/>
  <c r="H73" i="28"/>
  <c r="H72" i="28"/>
  <c r="H71" i="28"/>
  <c r="H70" i="28"/>
  <c r="H69" i="28"/>
  <c r="H68" i="28"/>
  <c r="H67" i="28"/>
  <c r="H66" i="28"/>
  <c r="H65" i="28"/>
  <c r="H64" i="28"/>
  <c r="H63" i="28"/>
  <c r="H62" i="28"/>
  <c r="J61" i="28"/>
  <c r="H61" i="28"/>
  <c r="H60" i="28"/>
  <c r="H59" i="28"/>
  <c r="H58" i="28"/>
  <c r="H57" i="28"/>
  <c r="H56" i="28"/>
  <c r="H55" i="28"/>
  <c r="H54" i="28"/>
  <c r="H53" i="28"/>
  <c r="H52" i="28"/>
  <c r="H51" i="28"/>
  <c r="H50" i="28"/>
  <c r="H49" i="28"/>
  <c r="H48" i="28"/>
  <c r="H47" i="28"/>
  <c r="H46" i="28"/>
  <c r="H45" i="28"/>
  <c r="H44" i="28"/>
  <c r="H43" i="28"/>
  <c r="H42" i="28"/>
  <c r="H41" i="28"/>
  <c r="H40" i="28"/>
  <c r="H39" i="28"/>
  <c r="H38" i="28"/>
  <c r="H37" i="28"/>
  <c r="H36" i="28"/>
  <c r="H35" i="28"/>
  <c r="H34" i="28"/>
  <c r="H33" i="28"/>
  <c r="H32" i="28"/>
  <c r="H31" i="28"/>
  <c r="H30" i="28"/>
  <c r="H29" i="28"/>
  <c r="H28" i="28"/>
  <c r="H27" i="28"/>
  <c r="H26" i="28"/>
  <c r="H25" i="28"/>
  <c r="H24" i="28"/>
  <c r="H23" i="28"/>
  <c r="D163" i="27"/>
  <c r="D162" i="27"/>
  <c r="D161" i="27"/>
  <c r="H160" i="27"/>
  <c r="H159" i="27"/>
  <c r="H158" i="27"/>
  <c r="H157" i="27"/>
  <c r="H156" i="27"/>
  <c r="H155" i="27"/>
  <c r="H154" i="27"/>
  <c r="H153" i="27"/>
  <c r="H152" i="27"/>
  <c r="J151" i="27"/>
  <c r="H151" i="27"/>
  <c r="H150" i="27"/>
  <c r="H149" i="27"/>
  <c r="H148" i="27"/>
  <c r="H147" i="27"/>
  <c r="H146" i="27"/>
  <c r="H145" i="27"/>
  <c r="H144" i="27"/>
  <c r="H143" i="27"/>
  <c r="H142" i="27"/>
  <c r="H141" i="27"/>
  <c r="H140" i="27"/>
  <c r="H139" i="27"/>
  <c r="H138" i="27"/>
  <c r="H137" i="27"/>
  <c r="H136" i="27"/>
  <c r="H135" i="27"/>
  <c r="H134" i="27"/>
  <c r="H133" i="27"/>
  <c r="H132" i="27"/>
  <c r="H131" i="27"/>
  <c r="H130" i="27"/>
  <c r="H129" i="27"/>
  <c r="D125" i="27"/>
  <c r="D124" i="27"/>
  <c r="D123" i="27"/>
  <c r="H122" i="27"/>
  <c r="H121" i="27"/>
  <c r="H120" i="27"/>
  <c r="H119" i="27"/>
  <c r="H118" i="27"/>
  <c r="H117" i="27"/>
  <c r="H116" i="27"/>
  <c r="H115" i="27"/>
  <c r="H114" i="27"/>
  <c r="H113" i="27"/>
  <c r="H112" i="27"/>
  <c r="H111" i="27"/>
  <c r="H110" i="27"/>
  <c r="H109" i="27"/>
  <c r="H108" i="27"/>
  <c r="H107" i="27"/>
  <c r="H106" i="27"/>
  <c r="H105" i="27"/>
  <c r="H104" i="27"/>
  <c r="H103" i="27"/>
  <c r="H102" i="27"/>
  <c r="H101" i="27"/>
  <c r="H100" i="27"/>
  <c r="H99" i="27"/>
  <c r="H98" i="27"/>
  <c r="H97" i="27"/>
  <c r="H96" i="27"/>
  <c r="H95" i="27"/>
  <c r="H94" i="27"/>
  <c r="H93" i="27"/>
  <c r="H92" i="27"/>
  <c r="H91" i="27"/>
  <c r="H90" i="27"/>
  <c r="H89" i="27"/>
  <c r="H88" i="27"/>
  <c r="H87" i="27"/>
  <c r="H86" i="27"/>
  <c r="H85" i="27"/>
  <c r="H84" i="27"/>
  <c r="H83" i="27"/>
  <c r="H82" i="27"/>
  <c r="H81" i="27"/>
  <c r="H80" i="27"/>
  <c r="H79" i="27"/>
  <c r="H78" i="27"/>
  <c r="H77" i="27"/>
  <c r="H76" i="27"/>
  <c r="H75" i="27"/>
  <c r="H74" i="27"/>
  <c r="H73" i="27"/>
  <c r="H72" i="27"/>
  <c r="H71" i="27"/>
  <c r="H70" i="27"/>
  <c r="H69" i="27"/>
  <c r="H68" i="27"/>
  <c r="H67" i="27"/>
  <c r="H66" i="27"/>
  <c r="H65" i="27"/>
  <c r="H64" i="27"/>
  <c r="H63" i="27"/>
  <c r="H62" i="27"/>
  <c r="J61" i="27"/>
  <c r="H61" i="27"/>
  <c r="H60" i="27"/>
  <c r="H59" i="27"/>
  <c r="H58" i="27"/>
  <c r="H57" i="27"/>
  <c r="H56" i="27"/>
  <c r="H55" i="27"/>
  <c r="H54" i="27"/>
  <c r="H53" i="27"/>
  <c r="H52" i="27"/>
  <c r="H51" i="27"/>
  <c r="H50" i="27"/>
  <c r="H49" i="27"/>
  <c r="H48" i="27"/>
  <c r="H47" i="27"/>
  <c r="H46" i="27"/>
  <c r="H45" i="27"/>
  <c r="H44" i="27"/>
  <c r="H43" i="27"/>
  <c r="H42" i="27"/>
  <c r="H41" i="27"/>
  <c r="H40" i="27"/>
  <c r="H39" i="27"/>
  <c r="H38" i="27"/>
  <c r="H37" i="27"/>
  <c r="H36" i="27"/>
  <c r="H35" i="27"/>
  <c r="H34" i="27"/>
  <c r="H33" i="27"/>
  <c r="H32" i="27"/>
  <c r="H31" i="27"/>
  <c r="H30" i="27"/>
  <c r="H29" i="27"/>
  <c r="H28" i="27"/>
  <c r="H27" i="27"/>
  <c r="H26" i="27"/>
  <c r="H25" i="27"/>
  <c r="H24" i="27"/>
  <c r="H23" i="27"/>
  <c r="D163" i="26" l="1"/>
  <c r="D162" i="26"/>
  <c r="D161" i="26"/>
  <c r="H160" i="26"/>
  <c r="H159" i="26"/>
  <c r="H158" i="26"/>
  <c r="H157" i="26"/>
  <c r="H156" i="26"/>
  <c r="H155" i="26"/>
  <c r="J154" i="26"/>
  <c r="H154" i="26"/>
  <c r="H153" i="26"/>
  <c r="H152" i="26"/>
  <c r="H151" i="26"/>
  <c r="H150" i="26"/>
  <c r="H149" i="26"/>
  <c r="H148" i="26"/>
  <c r="H147" i="26"/>
  <c r="H146" i="26"/>
  <c r="H145" i="26"/>
  <c r="H144" i="26"/>
  <c r="H143" i="26"/>
  <c r="H142" i="26"/>
  <c r="H141" i="26"/>
  <c r="H140" i="26"/>
  <c r="H139" i="26"/>
  <c r="H138" i="26"/>
  <c r="H137" i="26"/>
  <c r="H136" i="26"/>
  <c r="H135" i="26"/>
  <c r="H134" i="26"/>
  <c r="H133" i="26"/>
  <c r="H132" i="26"/>
  <c r="H131" i="26"/>
  <c r="H130" i="26"/>
  <c r="H129" i="26"/>
  <c r="D125" i="26"/>
  <c r="D124" i="26"/>
  <c r="D123" i="26"/>
  <c r="H122" i="26"/>
  <c r="H121" i="26"/>
  <c r="H120" i="26"/>
  <c r="H119" i="26"/>
  <c r="H118" i="26"/>
  <c r="H117" i="26"/>
  <c r="H116" i="26"/>
  <c r="H115" i="26"/>
  <c r="H114" i="26"/>
  <c r="H113" i="26"/>
  <c r="H112" i="26"/>
  <c r="H111" i="26"/>
  <c r="H110" i="26"/>
  <c r="H109" i="26"/>
  <c r="H108" i="26"/>
  <c r="H107" i="26"/>
  <c r="H106" i="26"/>
  <c r="H105" i="26"/>
  <c r="H104" i="26"/>
  <c r="H103" i="26"/>
  <c r="H102" i="26"/>
  <c r="H101" i="26"/>
  <c r="H100" i="26"/>
  <c r="H99" i="26"/>
  <c r="H98" i="26"/>
  <c r="H97" i="26"/>
  <c r="H96" i="26"/>
  <c r="H95" i="26"/>
  <c r="H94" i="26"/>
  <c r="H93" i="26"/>
  <c r="H92" i="26"/>
  <c r="H91" i="26"/>
  <c r="H90" i="26"/>
  <c r="H89" i="26"/>
  <c r="H88" i="26"/>
  <c r="H87" i="26"/>
  <c r="H86" i="26"/>
  <c r="H85" i="26"/>
  <c r="H84" i="26"/>
  <c r="H83" i="26"/>
  <c r="H82" i="26"/>
  <c r="H81" i="26"/>
  <c r="H80" i="26"/>
  <c r="H79" i="26"/>
  <c r="H78" i="26"/>
  <c r="H77" i="26"/>
  <c r="H76" i="26"/>
  <c r="H75" i="26"/>
  <c r="H74" i="26"/>
  <c r="H73" i="26"/>
  <c r="H72" i="26"/>
  <c r="H71" i="26"/>
  <c r="H70" i="26"/>
  <c r="H69" i="26"/>
  <c r="H68" i="26"/>
  <c r="H67" i="26"/>
  <c r="H66" i="26"/>
  <c r="H65" i="26"/>
  <c r="H64" i="26"/>
  <c r="H63" i="26"/>
  <c r="H62" i="26"/>
  <c r="H61" i="26"/>
  <c r="H60" i="26"/>
  <c r="H59" i="26"/>
  <c r="H58" i="26"/>
  <c r="H57" i="26"/>
  <c r="H56" i="26"/>
  <c r="H55" i="26"/>
  <c r="H54" i="26"/>
  <c r="H53" i="26"/>
  <c r="H52" i="26"/>
  <c r="H51" i="26"/>
  <c r="H50" i="26"/>
  <c r="H49" i="26"/>
  <c r="J48" i="26"/>
  <c r="H48" i="26"/>
  <c r="H47" i="26"/>
  <c r="H46" i="26"/>
  <c r="H45" i="26"/>
  <c r="H44" i="26"/>
  <c r="H43" i="26"/>
  <c r="H42" i="26"/>
  <c r="H41" i="26"/>
  <c r="H40" i="26"/>
  <c r="H39" i="26"/>
  <c r="H38" i="26"/>
  <c r="H37" i="26"/>
  <c r="H36" i="26"/>
  <c r="H35" i="26"/>
  <c r="H34" i="26"/>
  <c r="H33" i="26"/>
  <c r="H32" i="26"/>
  <c r="H31" i="26"/>
  <c r="H30" i="26"/>
  <c r="H29" i="26"/>
  <c r="H28" i="26"/>
  <c r="H27" i="26"/>
  <c r="H26" i="26"/>
  <c r="H25" i="26"/>
  <c r="H24" i="26"/>
  <c r="H23" i="26"/>
  <c r="D163" i="25" l="1"/>
  <c r="D162" i="25"/>
  <c r="D161" i="25"/>
  <c r="H160" i="25"/>
  <c r="H159" i="25"/>
  <c r="H158" i="25"/>
  <c r="H157" i="25"/>
  <c r="H156" i="25"/>
  <c r="H155" i="25"/>
  <c r="J154" i="25"/>
  <c r="H154" i="25"/>
  <c r="H153" i="25"/>
  <c r="H152" i="25"/>
  <c r="H151" i="25"/>
  <c r="H150" i="25"/>
  <c r="H149" i="25"/>
  <c r="H148" i="25"/>
  <c r="H147" i="25"/>
  <c r="H146" i="25"/>
  <c r="H145" i="25"/>
  <c r="H144" i="25"/>
  <c r="H143" i="25"/>
  <c r="H142" i="25"/>
  <c r="H141" i="25"/>
  <c r="H140" i="25"/>
  <c r="H139" i="25"/>
  <c r="H138" i="25"/>
  <c r="H137" i="25"/>
  <c r="H136" i="25"/>
  <c r="H135" i="25"/>
  <c r="H134" i="25"/>
  <c r="H133" i="25"/>
  <c r="H132" i="25"/>
  <c r="H131" i="25"/>
  <c r="H130" i="25"/>
  <c r="H129" i="25"/>
  <c r="D125" i="25"/>
  <c r="D124" i="25"/>
  <c r="D123" i="25"/>
  <c r="H122" i="25"/>
  <c r="H121" i="25"/>
  <c r="H120" i="25"/>
  <c r="H119" i="25"/>
  <c r="H118" i="25"/>
  <c r="H117" i="25"/>
  <c r="H116" i="25"/>
  <c r="H115" i="25"/>
  <c r="H114" i="25"/>
  <c r="H113" i="25"/>
  <c r="H112" i="25"/>
  <c r="H111" i="25"/>
  <c r="H110" i="25"/>
  <c r="H109" i="25"/>
  <c r="H108" i="25"/>
  <c r="H107" i="25"/>
  <c r="H106" i="25"/>
  <c r="H105" i="25"/>
  <c r="H104" i="25"/>
  <c r="H103" i="25"/>
  <c r="H102" i="25"/>
  <c r="H101" i="25"/>
  <c r="H100" i="25"/>
  <c r="H99" i="25"/>
  <c r="H98" i="25"/>
  <c r="H97" i="25"/>
  <c r="H96" i="25"/>
  <c r="H95" i="25"/>
  <c r="H94" i="25"/>
  <c r="H93" i="25"/>
  <c r="H92" i="25"/>
  <c r="H91" i="25"/>
  <c r="H90" i="25"/>
  <c r="H89" i="25"/>
  <c r="H88" i="25"/>
  <c r="H87" i="25"/>
  <c r="H86" i="25"/>
  <c r="H85" i="25"/>
  <c r="H84" i="25"/>
  <c r="H83" i="25"/>
  <c r="H82" i="25"/>
  <c r="H81" i="25"/>
  <c r="H80" i="25"/>
  <c r="H79" i="25"/>
  <c r="H78" i="25"/>
  <c r="H77" i="25"/>
  <c r="H76" i="25"/>
  <c r="H75" i="25"/>
  <c r="H74" i="25"/>
  <c r="H73" i="25"/>
  <c r="H72" i="25"/>
  <c r="H71" i="25"/>
  <c r="H70" i="25"/>
  <c r="H69" i="25"/>
  <c r="H68" i="25"/>
  <c r="H67" i="25"/>
  <c r="H66" i="25"/>
  <c r="H65" i="25"/>
  <c r="H64" i="25"/>
  <c r="H63" i="25"/>
  <c r="H62" i="25"/>
  <c r="H61" i="25"/>
  <c r="H60" i="25"/>
  <c r="H59" i="25"/>
  <c r="H58" i="25"/>
  <c r="H57" i="25"/>
  <c r="H56" i="25"/>
  <c r="H55" i="25"/>
  <c r="H54" i="25"/>
  <c r="H53" i="25"/>
  <c r="H52" i="25"/>
  <c r="H51" i="25"/>
  <c r="H50" i="25"/>
  <c r="H49" i="25"/>
  <c r="J48" i="25"/>
  <c r="H48" i="25"/>
  <c r="H47" i="25"/>
  <c r="H46" i="25"/>
  <c r="H45" i="25"/>
  <c r="H44" i="25"/>
  <c r="H43" i="25"/>
  <c r="H42" i="25"/>
  <c r="H41" i="25"/>
  <c r="H40" i="25"/>
  <c r="H39" i="25"/>
  <c r="H38" i="25"/>
  <c r="H37" i="25"/>
  <c r="H36" i="25"/>
  <c r="H35" i="25"/>
  <c r="H34" i="25"/>
  <c r="H33" i="25"/>
  <c r="H32" i="25"/>
  <c r="H31" i="25"/>
  <c r="H30" i="25"/>
  <c r="H29" i="25"/>
  <c r="H28" i="25"/>
  <c r="H27" i="25"/>
  <c r="H26" i="25"/>
  <c r="H25" i="25"/>
  <c r="H24" i="25"/>
  <c r="H23" i="25"/>
  <c r="D163" i="24" l="1"/>
  <c r="D162" i="24"/>
  <c r="D161" i="24"/>
  <c r="H160" i="24"/>
  <c r="H159" i="24"/>
  <c r="H158" i="24"/>
  <c r="H157" i="24"/>
  <c r="H156" i="24"/>
  <c r="H155" i="24"/>
  <c r="J154" i="24"/>
  <c r="H154" i="24"/>
  <c r="H153" i="24"/>
  <c r="H152" i="24"/>
  <c r="H151" i="24"/>
  <c r="H150" i="24"/>
  <c r="H149" i="24"/>
  <c r="H148" i="24"/>
  <c r="H147" i="24"/>
  <c r="H146" i="24"/>
  <c r="H145" i="24"/>
  <c r="H144" i="24"/>
  <c r="H143" i="24"/>
  <c r="H142" i="24"/>
  <c r="H141" i="24"/>
  <c r="H140" i="24"/>
  <c r="H139" i="24"/>
  <c r="H138" i="24"/>
  <c r="H137" i="24"/>
  <c r="H136" i="24"/>
  <c r="H135" i="24"/>
  <c r="H134" i="24"/>
  <c r="H133" i="24"/>
  <c r="H132" i="24"/>
  <c r="H131" i="24"/>
  <c r="H130" i="24"/>
  <c r="H129" i="24"/>
  <c r="D125" i="24"/>
  <c r="D124" i="24"/>
  <c r="D123" i="24"/>
  <c r="H122" i="24"/>
  <c r="H121" i="24"/>
  <c r="H120" i="24"/>
  <c r="H119" i="24"/>
  <c r="H118" i="24"/>
  <c r="H117" i="24"/>
  <c r="H116" i="24"/>
  <c r="H115" i="24"/>
  <c r="H114" i="24"/>
  <c r="H113" i="24"/>
  <c r="H112" i="24"/>
  <c r="H111" i="24"/>
  <c r="H110" i="24"/>
  <c r="H109" i="24"/>
  <c r="H108" i="24"/>
  <c r="H107" i="24"/>
  <c r="H106" i="24"/>
  <c r="H105" i="24"/>
  <c r="H104" i="24"/>
  <c r="H103" i="24"/>
  <c r="H102" i="24"/>
  <c r="H101" i="24"/>
  <c r="H100" i="24"/>
  <c r="H99" i="24"/>
  <c r="H98" i="24"/>
  <c r="H97" i="24"/>
  <c r="H96" i="24"/>
  <c r="H95" i="24"/>
  <c r="H94" i="24"/>
  <c r="H93" i="24"/>
  <c r="H92" i="24"/>
  <c r="H91" i="24"/>
  <c r="H90" i="24"/>
  <c r="H89" i="24"/>
  <c r="H88" i="24"/>
  <c r="H87" i="24"/>
  <c r="H86" i="24"/>
  <c r="H85" i="24"/>
  <c r="H84" i="24"/>
  <c r="H83" i="24"/>
  <c r="H82" i="24"/>
  <c r="H81" i="24"/>
  <c r="H80" i="24"/>
  <c r="H79" i="24"/>
  <c r="H78" i="24"/>
  <c r="H77" i="24"/>
  <c r="H76" i="24"/>
  <c r="H75" i="24"/>
  <c r="H74" i="24"/>
  <c r="H73" i="24"/>
  <c r="H72" i="24"/>
  <c r="H71" i="24"/>
  <c r="H70" i="24"/>
  <c r="H69" i="24"/>
  <c r="H68" i="24"/>
  <c r="H67" i="24"/>
  <c r="H66" i="24"/>
  <c r="H65" i="24"/>
  <c r="H64" i="24"/>
  <c r="H63" i="24"/>
  <c r="H62" i="24"/>
  <c r="H61" i="24"/>
  <c r="H60" i="24"/>
  <c r="H59" i="24"/>
  <c r="H58" i="24"/>
  <c r="H57" i="24"/>
  <c r="H56" i="24"/>
  <c r="H55" i="24"/>
  <c r="H54" i="24"/>
  <c r="H53" i="24"/>
  <c r="H52" i="24"/>
  <c r="H51" i="24"/>
  <c r="H50" i="24"/>
  <c r="H49" i="24"/>
  <c r="J48" i="24"/>
  <c r="H48" i="24"/>
  <c r="H47" i="24"/>
  <c r="H46" i="24"/>
  <c r="H45" i="24"/>
  <c r="H44" i="24"/>
  <c r="H43" i="24"/>
  <c r="H42" i="24"/>
  <c r="H41" i="24"/>
  <c r="H40" i="24"/>
  <c r="H39" i="24"/>
  <c r="H38" i="24"/>
  <c r="H37" i="24"/>
  <c r="H36" i="24"/>
  <c r="H35" i="24"/>
  <c r="H34" i="24"/>
  <c r="H33" i="24"/>
  <c r="H32" i="24"/>
  <c r="H31" i="24"/>
  <c r="H30" i="24"/>
  <c r="H29" i="24"/>
  <c r="H28" i="24"/>
  <c r="H27" i="24"/>
  <c r="H26" i="24"/>
  <c r="H25" i="24"/>
  <c r="H24" i="24"/>
  <c r="H23" i="24"/>
  <c r="D163" i="23" l="1"/>
  <c r="D162" i="23"/>
  <c r="D161" i="23"/>
  <c r="H160" i="23"/>
  <c r="H159" i="23"/>
  <c r="H158" i="23"/>
  <c r="H157" i="23"/>
  <c r="H156" i="23"/>
  <c r="H155" i="23"/>
  <c r="H154" i="23"/>
  <c r="H153" i="23"/>
  <c r="H152" i="23"/>
  <c r="J151" i="23"/>
  <c r="H151" i="23"/>
  <c r="H150" i="23"/>
  <c r="H149" i="23"/>
  <c r="H148" i="23"/>
  <c r="H147" i="23"/>
  <c r="H146" i="23"/>
  <c r="H145" i="23"/>
  <c r="H144" i="23"/>
  <c r="H143" i="23"/>
  <c r="H142" i="23"/>
  <c r="H141" i="23"/>
  <c r="H140" i="23"/>
  <c r="H139" i="23"/>
  <c r="H138" i="23"/>
  <c r="H137" i="23"/>
  <c r="H136" i="23"/>
  <c r="H135" i="23"/>
  <c r="H134" i="23"/>
  <c r="H133" i="23"/>
  <c r="H132" i="23"/>
  <c r="H131" i="23"/>
  <c r="H130" i="23"/>
  <c r="H129" i="23"/>
  <c r="D125" i="23"/>
  <c r="D124" i="23"/>
  <c r="D123" i="23"/>
  <c r="H122" i="23"/>
  <c r="H121" i="23"/>
  <c r="H120" i="23"/>
  <c r="H119" i="23"/>
  <c r="H118" i="23"/>
  <c r="H117" i="23"/>
  <c r="H116" i="23"/>
  <c r="H115" i="23"/>
  <c r="H114" i="23"/>
  <c r="H113" i="23"/>
  <c r="H112" i="23"/>
  <c r="H111" i="23"/>
  <c r="H110" i="23"/>
  <c r="H109" i="23"/>
  <c r="H108" i="23"/>
  <c r="H107" i="23"/>
  <c r="H106" i="23"/>
  <c r="H105" i="23"/>
  <c r="H104" i="23"/>
  <c r="H103" i="23"/>
  <c r="H102" i="23"/>
  <c r="H101" i="23"/>
  <c r="H100" i="23"/>
  <c r="H99" i="23"/>
  <c r="H98" i="23"/>
  <c r="H97" i="23"/>
  <c r="H96" i="23"/>
  <c r="H95" i="23"/>
  <c r="H94" i="23"/>
  <c r="H93" i="23"/>
  <c r="H92" i="23"/>
  <c r="H91" i="23"/>
  <c r="H90" i="23"/>
  <c r="H89" i="23"/>
  <c r="H88" i="23"/>
  <c r="H87" i="23"/>
  <c r="H86" i="23"/>
  <c r="H85" i="23"/>
  <c r="H84" i="23"/>
  <c r="H83" i="23"/>
  <c r="H82" i="23"/>
  <c r="H81" i="23"/>
  <c r="H80" i="23"/>
  <c r="H79" i="23"/>
  <c r="H78" i="23"/>
  <c r="H77" i="23"/>
  <c r="H76" i="23"/>
  <c r="H75" i="23"/>
  <c r="H74" i="23"/>
  <c r="H73" i="23"/>
  <c r="H72" i="23"/>
  <c r="H71" i="23"/>
  <c r="H70" i="23"/>
  <c r="H69" i="23"/>
  <c r="H68" i="23"/>
  <c r="H67" i="23"/>
  <c r="H66" i="23"/>
  <c r="H65" i="23"/>
  <c r="H64" i="23"/>
  <c r="H63" i="23"/>
  <c r="H62" i="23"/>
  <c r="J61" i="23"/>
  <c r="H61" i="23"/>
  <c r="H60" i="23"/>
  <c r="H59" i="23"/>
  <c r="H58" i="23"/>
  <c r="H57" i="23"/>
  <c r="H56" i="23"/>
  <c r="H55" i="23"/>
  <c r="H54" i="23"/>
  <c r="H53" i="23"/>
  <c r="H52" i="23"/>
  <c r="H51" i="23"/>
  <c r="H50" i="23"/>
  <c r="H49" i="23"/>
  <c r="H48" i="23"/>
  <c r="H47" i="23"/>
  <c r="H46" i="23"/>
  <c r="H45" i="23"/>
  <c r="H44" i="23"/>
  <c r="H43" i="23"/>
  <c r="H42" i="23"/>
  <c r="H41" i="23"/>
  <c r="H40" i="23"/>
  <c r="H39" i="23"/>
  <c r="H38" i="23"/>
  <c r="H37" i="23"/>
  <c r="H36" i="23"/>
  <c r="H35" i="23"/>
  <c r="H34" i="23"/>
  <c r="H33" i="23"/>
  <c r="H32" i="23"/>
  <c r="H31" i="23"/>
  <c r="H30" i="23"/>
  <c r="H29" i="23"/>
  <c r="H28" i="23"/>
  <c r="H27" i="23"/>
  <c r="H26" i="23"/>
  <c r="H25" i="23"/>
  <c r="H24" i="23"/>
  <c r="H23" i="23"/>
  <c r="D163" i="22"/>
  <c r="D162" i="22"/>
  <c r="D161" i="22"/>
  <c r="H160" i="22"/>
  <c r="H159" i="22"/>
  <c r="H158" i="22"/>
  <c r="H157" i="22"/>
  <c r="H156" i="22"/>
  <c r="H155" i="22"/>
  <c r="H154" i="22"/>
  <c r="H153" i="22"/>
  <c r="H152" i="22"/>
  <c r="J151" i="22"/>
  <c r="H151" i="22"/>
  <c r="H150" i="22"/>
  <c r="H149" i="22"/>
  <c r="H148" i="22"/>
  <c r="H147" i="22"/>
  <c r="H146" i="22"/>
  <c r="H145" i="22"/>
  <c r="H144" i="22"/>
  <c r="H143" i="22"/>
  <c r="H142" i="22"/>
  <c r="H141" i="22"/>
  <c r="H140" i="22"/>
  <c r="H139" i="22"/>
  <c r="H138" i="22"/>
  <c r="H137" i="22"/>
  <c r="H136" i="22"/>
  <c r="H135" i="22"/>
  <c r="H134" i="22"/>
  <c r="H133" i="22"/>
  <c r="H132" i="22"/>
  <c r="H131" i="22"/>
  <c r="H130" i="22"/>
  <c r="H129" i="22"/>
  <c r="D125" i="22"/>
  <c r="D124" i="22"/>
  <c r="D123" i="22"/>
  <c r="H122" i="22"/>
  <c r="H121" i="22"/>
  <c r="H120" i="22"/>
  <c r="H119" i="22"/>
  <c r="H118" i="22"/>
  <c r="H117" i="22"/>
  <c r="H116" i="22"/>
  <c r="H115" i="22"/>
  <c r="H114" i="22"/>
  <c r="H113" i="22"/>
  <c r="H112" i="22"/>
  <c r="H111" i="22"/>
  <c r="H110" i="22"/>
  <c r="H109" i="22"/>
  <c r="H108" i="22"/>
  <c r="H107" i="22"/>
  <c r="H106" i="22"/>
  <c r="H105" i="22"/>
  <c r="H104" i="22"/>
  <c r="H103" i="22"/>
  <c r="H102" i="22"/>
  <c r="H101" i="22"/>
  <c r="H100" i="22"/>
  <c r="H99" i="22"/>
  <c r="H98" i="22"/>
  <c r="H97" i="22"/>
  <c r="H96" i="22"/>
  <c r="H95" i="22"/>
  <c r="H94" i="22"/>
  <c r="H93" i="22"/>
  <c r="H92" i="22"/>
  <c r="H91" i="22"/>
  <c r="H90" i="22"/>
  <c r="H89" i="22"/>
  <c r="H88" i="22"/>
  <c r="H87" i="22"/>
  <c r="H86" i="22"/>
  <c r="H85" i="22"/>
  <c r="H84" i="22"/>
  <c r="H83" i="22"/>
  <c r="H82" i="22"/>
  <c r="H81" i="22"/>
  <c r="H80" i="22"/>
  <c r="H79" i="22"/>
  <c r="H78" i="22"/>
  <c r="H77" i="22"/>
  <c r="H76" i="22"/>
  <c r="H75" i="22"/>
  <c r="H74" i="22"/>
  <c r="H73" i="22"/>
  <c r="H72" i="22"/>
  <c r="H71" i="22"/>
  <c r="H70" i="22"/>
  <c r="H69" i="22"/>
  <c r="H68" i="22"/>
  <c r="H67" i="22"/>
  <c r="H66" i="22"/>
  <c r="H65" i="22"/>
  <c r="H64" i="22"/>
  <c r="H63" i="22"/>
  <c r="H62" i="22"/>
  <c r="J61" i="22"/>
  <c r="H61" i="22"/>
  <c r="H60" i="22"/>
  <c r="H59" i="22"/>
  <c r="H58" i="22"/>
  <c r="H57" i="22"/>
  <c r="H56" i="22"/>
  <c r="H55" i="22"/>
  <c r="H54" i="22"/>
  <c r="H53" i="22"/>
  <c r="H52" i="22"/>
  <c r="H51" i="22"/>
  <c r="H50" i="22"/>
  <c r="H49" i="22"/>
  <c r="H48" i="22"/>
  <c r="H47" i="22"/>
  <c r="H46" i="22"/>
  <c r="H45" i="22"/>
  <c r="H44" i="22"/>
  <c r="H43" i="22"/>
  <c r="H42" i="22"/>
  <c r="H41" i="22"/>
  <c r="H40" i="22"/>
  <c r="H39" i="22"/>
  <c r="H38" i="22"/>
  <c r="H37" i="22"/>
  <c r="H36" i="22"/>
  <c r="H35" i="22"/>
  <c r="H34" i="22"/>
  <c r="H33" i="22"/>
  <c r="H32" i="22"/>
  <c r="H31" i="22"/>
  <c r="H30" i="22"/>
  <c r="H29" i="22"/>
  <c r="H28" i="22"/>
  <c r="H27" i="22"/>
  <c r="H26" i="22"/>
  <c r="H25" i="22"/>
  <c r="H24" i="22"/>
  <c r="H23" i="22"/>
  <c r="D163" i="21" l="1"/>
  <c r="D162" i="21"/>
  <c r="D161" i="21"/>
  <c r="H160" i="21"/>
  <c r="H159" i="21"/>
  <c r="H158" i="21"/>
  <c r="H157" i="21"/>
  <c r="H156" i="21"/>
  <c r="H155" i="21"/>
  <c r="H154" i="21"/>
  <c r="H153" i="21"/>
  <c r="H152" i="21"/>
  <c r="J151" i="21"/>
  <c r="H151" i="21"/>
  <c r="H150" i="21"/>
  <c r="H149" i="21"/>
  <c r="H148" i="21"/>
  <c r="H147" i="21"/>
  <c r="H146" i="21"/>
  <c r="H145" i="21"/>
  <c r="H144" i="21"/>
  <c r="H143" i="21"/>
  <c r="H142" i="21"/>
  <c r="H141" i="21"/>
  <c r="H140" i="21"/>
  <c r="H139" i="21"/>
  <c r="H138" i="21"/>
  <c r="H137" i="21"/>
  <c r="H136" i="21"/>
  <c r="H135" i="21"/>
  <c r="H134" i="21"/>
  <c r="H133" i="21"/>
  <c r="H132" i="21"/>
  <c r="H131" i="21"/>
  <c r="H130" i="21"/>
  <c r="H129" i="21"/>
  <c r="D125" i="21"/>
  <c r="D124" i="21"/>
  <c r="D123" i="21"/>
  <c r="H122" i="21"/>
  <c r="H121" i="21"/>
  <c r="H120" i="21"/>
  <c r="H119" i="21"/>
  <c r="H118" i="21"/>
  <c r="H117" i="21"/>
  <c r="H116" i="21"/>
  <c r="H115" i="21"/>
  <c r="H114" i="21"/>
  <c r="H113" i="21"/>
  <c r="H112" i="21"/>
  <c r="H111" i="21"/>
  <c r="H110" i="21"/>
  <c r="H109" i="21"/>
  <c r="H108" i="21"/>
  <c r="H107" i="21"/>
  <c r="H106" i="21"/>
  <c r="H105" i="21"/>
  <c r="H104" i="21"/>
  <c r="H103" i="21"/>
  <c r="H102" i="21"/>
  <c r="H101" i="21"/>
  <c r="H100" i="21"/>
  <c r="H99" i="21"/>
  <c r="H98" i="21"/>
  <c r="H97" i="21"/>
  <c r="H96" i="21"/>
  <c r="H95" i="21"/>
  <c r="H94" i="21"/>
  <c r="H93" i="21"/>
  <c r="H92" i="21"/>
  <c r="H91" i="21"/>
  <c r="H90" i="21"/>
  <c r="H89" i="21"/>
  <c r="H88" i="21"/>
  <c r="H87" i="21"/>
  <c r="H86" i="21"/>
  <c r="H85" i="21"/>
  <c r="H84" i="21"/>
  <c r="H83" i="21"/>
  <c r="H82" i="21"/>
  <c r="H81" i="21"/>
  <c r="H80" i="21"/>
  <c r="H79" i="21"/>
  <c r="H78" i="21"/>
  <c r="H77" i="21"/>
  <c r="H76" i="21"/>
  <c r="H75" i="21"/>
  <c r="H74" i="21"/>
  <c r="H73" i="21"/>
  <c r="H72" i="21"/>
  <c r="H71" i="21"/>
  <c r="H70" i="21"/>
  <c r="H69" i="21"/>
  <c r="H68" i="21"/>
  <c r="H67" i="21"/>
  <c r="H66" i="21"/>
  <c r="H65" i="21"/>
  <c r="H64" i="21"/>
  <c r="H63" i="21"/>
  <c r="H62" i="21"/>
  <c r="J61" i="21"/>
  <c r="H61" i="21"/>
  <c r="H60" i="21"/>
  <c r="H59" i="21"/>
  <c r="H58" i="21"/>
  <c r="H57" i="21"/>
  <c r="H56" i="21"/>
  <c r="H55" i="21"/>
  <c r="H54" i="21"/>
  <c r="H53" i="21"/>
  <c r="H52" i="21"/>
  <c r="H51" i="21"/>
  <c r="H50" i="21"/>
  <c r="H49" i="21"/>
  <c r="H48" i="21"/>
  <c r="H47" i="21"/>
  <c r="H46" i="21"/>
  <c r="H45" i="21"/>
  <c r="H44" i="21"/>
  <c r="H43" i="21"/>
  <c r="H42" i="21"/>
  <c r="H41" i="21"/>
  <c r="H40" i="21"/>
  <c r="H39" i="21"/>
  <c r="H38" i="21"/>
  <c r="H37" i="21"/>
  <c r="H36" i="21"/>
  <c r="H35" i="21"/>
  <c r="H34" i="21"/>
  <c r="H33" i="21"/>
  <c r="H32" i="21"/>
  <c r="H31" i="21"/>
  <c r="H30" i="21"/>
  <c r="H29" i="21"/>
  <c r="H28" i="21"/>
  <c r="H27" i="21"/>
  <c r="H26" i="21"/>
  <c r="H25" i="21"/>
  <c r="H24" i="21"/>
  <c r="H23" i="21"/>
  <c r="H23" i="20" l="1"/>
  <c r="H24" i="20"/>
  <c r="H25" i="20"/>
  <c r="H26" i="20"/>
  <c r="H27" i="20"/>
  <c r="H28" i="20"/>
  <c r="H29" i="20"/>
  <c r="H30" i="20"/>
  <c r="H31" i="20"/>
  <c r="H32" i="20"/>
  <c r="H33" i="20"/>
  <c r="H34" i="20"/>
  <c r="H35" i="20"/>
  <c r="H36" i="20"/>
  <c r="H37" i="20"/>
  <c r="H38" i="20"/>
  <c r="H39" i="20"/>
  <c r="H40" i="20"/>
  <c r="H41" i="20"/>
  <c r="H42" i="20"/>
  <c r="H43" i="20"/>
  <c r="H44" i="20"/>
  <c r="H45" i="20"/>
  <c r="H46" i="20"/>
  <c r="H47" i="20"/>
  <c r="H48" i="20"/>
  <c r="H49" i="20"/>
  <c r="H50" i="20"/>
  <c r="H51" i="20"/>
  <c r="H52" i="20"/>
  <c r="H53" i="20"/>
  <c r="H54" i="20"/>
  <c r="H55" i="20"/>
  <c r="H56" i="20"/>
  <c r="H57" i="20"/>
  <c r="H58" i="20"/>
  <c r="H59" i="20"/>
  <c r="H60" i="20"/>
  <c r="H61" i="20"/>
  <c r="J61" i="20"/>
  <c r="H62" i="20"/>
  <c r="H63" i="20"/>
  <c r="H64" i="20"/>
  <c r="H65" i="20"/>
  <c r="H66" i="20"/>
  <c r="H67" i="20"/>
  <c r="H68" i="20"/>
  <c r="H69" i="20"/>
  <c r="H70" i="20"/>
  <c r="H71" i="20"/>
  <c r="H72" i="20"/>
  <c r="H73" i="20"/>
  <c r="H74" i="20"/>
  <c r="H75" i="20"/>
  <c r="H76" i="20"/>
  <c r="H77" i="20"/>
  <c r="H78" i="20"/>
  <c r="H79" i="20"/>
  <c r="H80" i="20"/>
  <c r="H81" i="20"/>
  <c r="H82" i="20"/>
  <c r="H83" i="20"/>
  <c r="H84" i="20"/>
  <c r="H85" i="20"/>
  <c r="H86" i="20"/>
  <c r="H87" i="20"/>
  <c r="H88" i="20"/>
  <c r="H89" i="20"/>
  <c r="H90" i="20"/>
  <c r="H91" i="20"/>
  <c r="H92" i="20"/>
  <c r="H93" i="20"/>
  <c r="H94" i="20"/>
  <c r="H95" i="20"/>
  <c r="H96" i="20"/>
  <c r="H97" i="20"/>
  <c r="H98" i="20"/>
  <c r="H99" i="20"/>
  <c r="H100" i="20"/>
  <c r="H101" i="20"/>
  <c r="H102" i="20"/>
  <c r="H103" i="20"/>
  <c r="H104" i="20"/>
  <c r="H105" i="20"/>
  <c r="H106" i="20"/>
  <c r="H107" i="20"/>
  <c r="H108" i="20"/>
  <c r="H109" i="20"/>
  <c r="H110" i="20"/>
  <c r="H111" i="20"/>
  <c r="H112" i="20"/>
  <c r="H113" i="20"/>
  <c r="H114" i="20"/>
  <c r="H115" i="20"/>
  <c r="H116" i="20"/>
  <c r="H117" i="20"/>
  <c r="H118" i="20"/>
  <c r="H119" i="20"/>
  <c r="H120" i="20"/>
  <c r="H121" i="20"/>
  <c r="H122" i="20"/>
  <c r="D123" i="20"/>
  <c r="D124" i="20"/>
  <c r="D125" i="20"/>
  <c r="H129" i="20"/>
  <c r="H130" i="20"/>
  <c r="H131" i="20"/>
  <c r="H132" i="20"/>
  <c r="H133" i="20"/>
  <c r="H134" i="20"/>
  <c r="H135" i="20"/>
  <c r="H136" i="20"/>
  <c r="H137" i="20"/>
  <c r="H138" i="20"/>
  <c r="H139" i="20"/>
  <c r="H140" i="20"/>
  <c r="H141" i="20"/>
  <c r="H142" i="20"/>
  <c r="H143" i="20"/>
  <c r="H144" i="20"/>
  <c r="H145" i="20"/>
  <c r="H146" i="20"/>
  <c r="H147" i="20"/>
  <c r="H148" i="20"/>
  <c r="H149" i="20"/>
  <c r="H150" i="20"/>
  <c r="H151" i="20"/>
  <c r="J151" i="20"/>
  <c r="H152" i="20"/>
  <c r="H153" i="20"/>
  <c r="H154" i="20"/>
  <c r="H155" i="20"/>
  <c r="H156" i="20"/>
  <c r="H157" i="20"/>
  <c r="H158" i="20"/>
  <c r="H159" i="20"/>
  <c r="H160" i="20"/>
  <c r="D161" i="20"/>
  <c r="D162" i="20"/>
  <c r="D163" i="20"/>
  <c r="D163" i="19" l="1"/>
  <c r="D162" i="19"/>
  <c r="D161" i="19"/>
  <c r="H160" i="19"/>
  <c r="H159" i="19"/>
  <c r="H158" i="19"/>
  <c r="H157" i="19"/>
  <c r="H156" i="19"/>
  <c r="H155" i="19"/>
  <c r="H154" i="19"/>
  <c r="H153" i="19"/>
  <c r="H152" i="19"/>
  <c r="J151" i="19"/>
  <c r="H151" i="19"/>
  <c r="H150" i="19"/>
  <c r="H149" i="19"/>
  <c r="H148" i="19"/>
  <c r="H147" i="19"/>
  <c r="H146" i="19"/>
  <c r="H145" i="19"/>
  <c r="H144" i="19"/>
  <c r="H143" i="19"/>
  <c r="H142" i="19"/>
  <c r="H141" i="19"/>
  <c r="H140" i="19"/>
  <c r="H139" i="19"/>
  <c r="H138" i="19"/>
  <c r="H137" i="19"/>
  <c r="H136" i="19"/>
  <c r="H135" i="19"/>
  <c r="H134" i="19"/>
  <c r="H133" i="19"/>
  <c r="H132" i="19"/>
  <c r="H131" i="19"/>
  <c r="H130" i="19"/>
  <c r="H129" i="19"/>
  <c r="D125" i="19"/>
  <c r="D124" i="19"/>
  <c r="D123" i="19"/>
  <c r="H122" i="19"/>
  <c r="H121" i="19"/>
  <c r="H120" i="19"/>
  <c r="H119" i="19"/>
  <c r="H118" i="19"/>
  <c r="H117" i="19"/>
  <c r="H116" i="19"/>
  <c r="H115" i="19"/>
  <c r="H114" i="19"/>
  <c r="H113" i="19"/>
  <c r="H112" i="19"/>
  <c r="H111" i="19"/>
  <c r="H110" i="19"/>
  <c r="H109" i="19"/>
  <c r="H108" i="19"/>
  <c r="H107" i="19"/>
  <c r="H106" i="19"/>
  <c r="H105" i="19"/>
  <c r="H104" i="19"/>
  <c r="H103" i="19"/>
  <c r="H102" i="19"/>
  <c r="H101" i="19"/>
  <c r="H100" i="19"/>
  <c r="H99" i="19"/>
  <c r="H98" i="19"/>
  <c r="H97" i="19"/>
  <c r="H96" i="19"/>
  <c r="H95" i="19"/>
  <c r="H94" i="19"/>
  <c r="H93" i="19"/>
  <c r="H92" i="19"/>
  <c r="H91" i="19"/>
  <c r="H90" i="19"/>
  <c r="H89" i="19"/>
  <c r="H88" i="19"/>
  <c r="H87" i="19"/>
  <c r="H86" i="19"/>
  <c r="H85" i="19"/>
  <c r="H84" i="19"/>
  <c r="H83" i="19"/>
  <c r="H82" i="19"/>
  <c r="H81" i="19"/>
  <c r="H80" i="19"/>
  <c r="H79" i="19"/>
  <c r="H78" i="19"/>
  <c r="H77" i="19"/>
  <c r="H76" i="19"/>
  <c r="H75" i="19"/>
  <c r="H74" i="19"/>
  <c r="H73" i="19"/>
  <c r="H72" i="19"/>
  <c r="H71" i="19"/>
  <c r="H70" i="19"/>
  <c r="H69" i="19"/>
  <c r="H68" i="19"/>
  <c r="H67" i="19"/>
  <c r="H66" i="19"/>
  <c r="H65" i="19"/>
  <c r="H64" i="19"/>
  <c r="H63" i="19"/>
  <c r="H62" i="19"/>
  <c r="J61" i="19"/>
  <c r="H61" i="19"/>
  <c r="H60" i="19"/>
  <c r="H59" i="19"/>
  <c r="H58" i="19"/>
  <c r="H57" i="19"/>
  <c r="H56" i="19"/>
  <c r="H55" i="19"/>
  <c r="H54" i="19"/>
  <c r="H53" i="19"/>
  <c r="H52" i="19"/>
  <c r="H51" i="19"/>
  <c r="H50" i="19"/>
  <c r="H49" i="19"/>
  <c r="H48" i="19"/>
  <c r="H47" i="19"/>
  <c r="H46" i="19"/>
  <c r="H45" i="19"/>
  <c r="H44" i="19"/>
  <c r="H43" i="19"/>
  <c r="H42" i="19"/>
  <c r="H41" i="19"/>
  <c r="H40" i="19"/>
  <c r="H39" i="19"/>
  <c r="H38" i="19"/>
  <c r="H37" i="19"/>
  <c r="H36" i="19"/>
  <c r="H35" i="19"/>
  <c r="H34" i="19"/>
  <c r="H33" i="19"/>
  <c r="H32" i="19"/>
  <c r="H31" i="19"/>
  <c r="H30" i="19"/>
  <c r="H29" i="19"/>
  <c r="H28" i="19"/>
  <c r="H27" i="19"/>
  <c r="H26" i="19"/>
  <c r="H25" i="19"/>
  <c r="H24" i="19"/>
  <c r="H23" i="19"/>
  <c r="D163" i="18" l="1"/>
  <c r="D162" i="18"/>
  <c r="D161" i="18"/>
  <c r="H160" i="18"/>
  <c r="H159" i="18"/>
  <c r="H158" i="18"/>
  <c r="H157" i="18"/>
  <c r="H156" i="18"/>
  <c r="H155" i="18"/>
  <c r="H154" i="18"/>
  <c r="H153" i="18"/>
  <c r="H152" i="18"/>
  <c r="J151" i="18"/>
  <c r="H151" i="18"/>
  <c r="H150" i="18"/>
  <c r="H149" i="18"/>
  <c r="H148" i="18"/>
  <c r="H147" i="18"/>
  <c r="H146" i="18"/>
  <c r="H145" i="18"/>
  <c r="H144" i="18"/>
  <c r="H143" i="18"/>
  <c r="H142" i="18"/>
  <c r="H141" i="18"/>
  <c r="H140" i="18"/>
  <c r="H139" i="18"/>
  <c r="H138" i="18"/>
  <c r="H137" i="18"/>
  <c r="H136" i="18"/>
  <c r="H135" i="18"/>
  <c r="H134" i="18"/>
  <c r="H133" i="18"/>
  <c r="H132" i="18"/>
  <c r="H131" i="18"/>
  <c r="H130" i="18"/>
  <c r="H129" i="18"/>
  <c r="D125" i="18"/>
  <c r="D124" i="18"/>
  <c r="D123" i="18"/>
  <c r="H122" i="18"/>
  <c r="H121" i="18"/>
  <c r="H120" i="18"/>
  <c r="H119" i="18"/>
  <c r="H118" i="18"/>
  <c r="H117" i="18"/>
  <c r="H116" i="18"/>
  <c r="H115" i="18"/>
  <c r="H114" i="18"/>
  <c r="H113" i="18"/>
  <c r="H112" i="18"/>
  <c r="H111" i="18"/>
  <c r="H110" i="18"/>
  <c r="H109" i="18"/>
  <c r="H108" i="18"/>
  <c r="H107" i="18"/>
  <c r="H106" i="18"/>
  <c r="H105" i="18"/>
  <c r="H104" i="18"/>
  <c r="H103" i="18"/>
  <c r="H102" i="18"/>
  <c r="H101" i="18"/>
  <c r="H100" i="18"/>
  <c r="H99" i="18"/>
  <c r="H98" i="18"/>
  <c r="H97" i="18"/>
  <c r="H96" i="18"/>
  <c r="H95" i="18"/>
  <c r="H94" i="18"/>
  <c r="H93" i="18"/>
  <c r="H92" i="18"/>
  <c r="H91" i="18"/>
  <c r="H90" i="18"/>
  <c r="H89" i="18"/>
  <c r="H88" i="18"/>
  <c r="H87" i="18"/>
  <c r="H86" i="18"/>
  <c r="H85" i="18"/>
  <c r="H84" i="18"/>
  <c r="H83" i="18"/>
  <c r="H82" i="18"/>
  <c r="H81" i="18"/>
  <c r="H80" i="18"/>
  <c r="H79" i="18"/>
  <c r="H78" i="18"/>
  <c r="H77" i="18"/>
  <c r="H76" i="18"/>
  <c r="H75" i="18"/>
  <c r="H74" i="18"/>
  <c r="H73" i="18"/>
  <c r="H72" i="18"/>
  <c r="H71" i="18"/>
  <c r="H70" i="18"/>
  <c r="H69" i="18"/>
  <c r="H68" i="18"/>
  <c r="H67" i="18"/>
  <c r="H66" i="18"/>
  <c r="H65" i="18"/>
  <c r="H64" i="18"/>
  <c r="H63" i="18"/>
  <c r="H62" i="18"/>
  <c r="J61" i="18"/>
  <c r="H61" i="18"/>
  <c r="H60" i="18"/>
  <c r="H59" i="18"/>
  <c r="H58" i="18"/>
  <c r="H57" i="18"/>
  <c r="H56" i="18"/>
  <c r="H55" i="18"/>
  <c r="H54" i="18"/>
  <c r="H53" i="18"/>
  <c r="H52" i="18"/>
  <c r="H51" i="18"/>
  <c r="H50" i="18"/>
  <c r="H49" i="18"/>
  <c r="H48" i="18"/>
  <c r="H47" i="18"/>
  <c r="H46" i="18"/>
  <c r="H45" i="18"/>
  <c r="H44" i="18"/>
  <c r="H43" i="18"/>
  <c r="H42" i="18"/>
  <c r="H41" i="18"/>
  <c r="H40" i="18"/>
  <c r="H39" i="18"/>
  <c r="H38" i="18"/>
  <c r="H37" i="18"/>
  <c r="H36" i="18"/>
  <c r="H35" i="18"/>
  <c r="H34" i="18"/>
  <c r="H33" i="18"/>
  <c r="H32" i="18"/>
  <c r="H31" i="18"/>
  <c r="H30" i="18"/>
  <c r="H29" i="18"/>
  <c r="H28" i="18"/>
  <c r="H27" i="18"/>
  <c r="H26" i="18"/>
  <c r="H25" i="18"/>
  <c r="H24" i="18"/>
  <c r="H23" i="18"/>
  <c r="D163" i="17" l="1"/>
  <c r="D162" i="17"/>
  <c r="D161" i="17"/>
  <c r="H160" i="17"/>
  <c r="H159" i="17"/>
  <c r="H158" i="17"/>
  <c r="H157" i="17"/>
  <c r="H156" i="17"/>
  <c r="H155" i="17"/>
  <c r="H154" i="17"/>
  <c r="H153" i="17"/>
  <c r="H152" i="17"/>
  <c r="J151" i="17"/>
  <c r="H151" i="17"/>
  <c r="H150" i="17"/>
  <c r="H149" i="17"/>
  <c r="H148" i="17"/>
  <c r="H147" i="17"/>
  <c r="H146" i="17"/>
  <c r="H145" i="17"/>
  <c r="H144" i="17"/>
  <c r="H143" i="17"/>
  <c r="H142" i="17"/>
  <c r="H141" i="17"/>
  <c r="H140" i="17"/>
  <c r="H139" i="17"/>
  <c r="H138" i="17"/>
  <c r="H137" i="17"/>
  <c r="H136" i="17"/>
  <c r="H135" i="17"/>
  <c r="H134" i="17"/>
  <c r="H133" i="17"/>
  <c r="H132" i="17"/>
  <c r="H131" i="17"/>
  <c r="H130" i="17"/>
  <c r="H129" i="17"/>
  <c r="D125" i="17"/>
  <c r="D124" i="17"/>
  <c r="D123" i="17"/>
  <c r="H122" i="17"/>
  <c r="H121" i="17"/>
  <c r="H120" i="17"/>
  <c r="H119" i="17"/>
  <c r="H118" i="17"/>
  <c r="H117" i="17"/>
  <c r="H116" i="17"/>
  <c r="H115" i="17"/>
  <c r="H114" i="17"/>
  <c r="H113" i="17"/>
  <c r="H112" i="17"/>
  <c r="H111" i="17"/>
  <c r="H110" i="17"/>
  <c r="H109" i="17"/>
  <c r="H108" i="17"/>
  <c r="H107" i="17"/>
  <c r="H106" i="17"/>
  <c r="H105" i="17"/>
  <c r="H104" i="17"/>
  <c r="H103" i="17"/>
  <c r="H102" i="17"/>
  <c r="H101" i="17"/>
  <c r="H100" i="17"/>
  <c r="H99" i="17"/>
  <c r="H98" i="17"/>
  <c r="H97" i="17"/>
  <c r="H96" i="17"/>
  <c r="H95" i="17"/>
  <c r="H94" i="17"/>
  <c r="H93" i="17"/>
  <c r="H92" i="17"/>
  <c r="H91" i="17"/>
  <c r="H90" i="17"/>
  <c r="H89" i="17"/>
  <c r="H88" i="17"/>
  <c r="H87" i="17"/>
  <c r="H86" i="17"/>
  <c r="H85" i="17"/>
  <c r="H84" i="17"/>
  <c r="H83" i="17"/>
  <c r="H82" i="17"/>
  <c r="H81" i="17"/>
  <c r="H80" i="17"/>
  <c r="H79" i="17"/>
  <c r="H78" i="17"/>
  <c r="H77" i="17"/>
  <c r="H76" i="17"/>
  <c r="H75" i="17"/>
  <c r="H74" i="17"/>
  <c r="H73" i="17"/>
  <c r="H72" i="17"/>
  <c r="H71" i="17"/>
  <c r="H70" i="17"/>
  <c r="H69" i="17"/>
  <c r="H68" i="17"/>
  <c r="H67" i="17"/>
  <c r="H66" i="17"/>
  <c r="H65" i="17"/>
  <c r="H64" i="17"/>
  <c r="H63" i="17"/>
  <c r="H62" i="17"/>
  <c r="J61" i="17"/>
  <c r="H61" i="17"/>
  <c r="H60" i="17"/>
  <c r="H59" i="17"/>
  <c r="H58" i="17"/>
  <c r="H57" i="17"/>
  <c r="H56" i="17"/>
  <c r="H55" i="17"/>
  <c r="H54" i="17"/>
  <c r="H53" i="17"/>
  <c r="H52" i="17"/>
  <c r="H51" i="17"/>
  <c r="H50" i="17"/>
  <c r="H49" i="17"/>
  <c r="H48" i="17"/>
  <c r="H47" i="17"/>
  <c r="H46" i="17"/>
  <c r="H45" i="17"/>
  <c r="H44" i="17"/>
  <c r="H43" i="17"/>
  <c r="H42" i="17"/>
  <c r="H41" i="17"/>
  <c r="H40" i="17"/>
  <c r="H39" i="17"/>
  <c r="H38" i="17"/>
  <c r="H37" i="17"/>
  <c r="H36" i="17"/>
  <c r="H35" i="17"/>
  <c r="H34" i="17"/>
  <c r="H33" i="17"/>
  <c r="H32" i="17"/>
  <c r="H31" i="17"/>
  <c r="H30" i="17"/>
  <c r="H29" i="17"/>
  <c r="H28" i="17"/>
  <c r="H27" i="17"/>
  <c r="H26" i="17"/>
  <c r="H25" i="17"/>
  <c r="H24" i="17"/>
  <c r="H23" i="17"/>
  <c r="D163" i="16" l="1"/>
  <c r="D162" i="16"/>
  <c r="D161" i="16"/>
  <c r="H160" i="16"/>
  <c r="H159" i="16"/>
  <c r="H158" i="16"/>
  <c r="H157" i="16"/>
  <c r="H156" i="16"/>
  <c r="H155" i="16"/>
  <c r="H154" i="16"/>
  <c r="H153" i="16"/>
  <c r="H152" i="16"/>
  <c r="J151" i="16"/>
  <c r="H151" i="16"/>
  <c r="H150" i="16"/>
  <c r="H149" i="16"/>
  <c r="H148" i="16"/>
  <c r="H147" i="16"/>
  <c r="H146" i="16"/>
  <c r="H145" i="16"/>
  <c r="H144" i="16"/>
  <c r="H143" i="16"/>
  <c r="H142" i="16"/>
  <c r="H141" i="16"/>
  <c r="H140" i="16"/>
  <c r="H139" i="16"/>
  <c r="H138" i="16"/>
  <c r="H137" i="16"/>
  <c r="H136" i="16"/>
  <c r="H135" i="16"/>
  <c r="H134" i="16"/>
  <c r="H133" i="16"/>
  <c r="H132" i="16"/>
  <c r="H131" i="16"/>
  <c r="H130" i="16"/>
  <c r="H129" i="16"/>
  <c r="D125" i="16"/>
  <c r="D124" i="16"/>
  <c r="D123" i="16"/>
  <c r="H122" i="16"/>
  <c r="H121" i="16"/>
  <c r="H120" i="16"/>
  <c r="H119" i="16"/>
  <c r="H118" i="16"/>
  <c r="H117" i="16"/>
  <c r="H116" i="16"/>
  <c r="H115" i="16"/>
  <c r="H114" i="16"/>
  <c r="H113" i="16"/>
  <c r="H112" i="16"/>
  <c r="H111" i="16"/>
  <c r="H110" i="16"/>
  <c r="H109" i="16"/>
  <c r="H108" i="16"/>
  <c r="H107" i="16"/>
  <c r="H106" i="16"/>
  <c r="H105" i="16"/>
  <c r="H104" i="16"/>
  <c r="H103" i="16"/>
  <c r="H102" i="16"/>
  <c r="H101" i="16"/>
  <c r="H100" i="16"/>
  <c r="H99" i="16"/>
  <c r="H98" i="16"/>
  <c r="H97" i="16"/>
  <c r="H96" i="16"/>
  <c r="H95" i="16"/>
  <c r="H94" i="16"/>
  <c r="H93" i="16"/>
  <c r="H92" i="16"/>
  <c r="H91" i="16"/>
  <c r="H90" i="16"/>
  <c r="H89" i="16"/>
  <c r="H88" i="16"/>
  <c r="H87" i="16"/>
  <c r="H86" i="16"/>
  <c r="H85" i="16"/>
  <c r="H84" i="16"/>
  <c r="H83" i="16"/>
  <c r="H82" i="16"/>
  <c r="H81" i="16"/>
  <c r="H80" i="16"/>
  <c r="H79" i="16"/>
  <c r="H78" i="16"/>
  <c r="H77" i="16"/>
  <c r="H76" i="16"/>
  <c r="H75" i="16"/>
  <c r="H74" i="16"/>
  <c r="H73" i="16"/>
  <c r="H72" i="16"/>
  <c r="H71" i="16"/>
  <c r="H70" i="16"/>
  <c r="H69" i="16"/>
  <c r="H68" i="16"/>
  <c r="H67" i="16"/>
  <c r="H66" i="16"/>
  <c r="H65" i="16"/>
  <c r="H64" i="16"/>
  <c r="H63" i="16"/>
  <c r="H62" i="16"/>
  <c r="J61" i="16"/>
  <c r="H61" i="16"/>
  <c r="H60" i="16"/>
  <c r="H59" i="16"/>
  <c r="H58" i="16"/>
  <c r="H57" i="16"/>
  <c r="H56" i="16"/>
  <c r="H55" i="16"/>
  <c r="H54" i="16"/>
  <c r="H53" i="16"/>
  <c r="H52" i="16"/>
  <c r="H51" i="16"/>
  <c r="H50" i="16"/>
  <c r="H49" i="16"/>
  <c r="H48" i="16"/>
  <c r="H47" i="16"/>
  <c r="H46" i="16"/>
  <c r="H45" i="16"/>
  <c r="H44" i="16"/>
  <c r="H43" i="16"/>
  <c r="H42" i="16"/>
  <c r="H41" i="16"/>
  <c r="H40" i="16"/>
  <c r="H39" i="16"/>
  <c r="H38" i="16"/>
  <c r="H37" i="16"/>
  <c r="H36" i="16"/>
  <c r="H35" i="16"/>
  <c r="H34" i="16"/>
  <c r="H33" i="16"/>
  <c r="H32" i="16"/>
  <c r="H31" i="16"/>
  <c r="H30" i="16"/>
  <c r="H29" i="16"/>
  <c r="H28" i="16"/>
  <c r="H27" i="16"/>
  <c r="H26" i="16"/>
  <c r="H25" i="16"/>
  <c r="H24" i="16"/>
  <c r="H23" i="16"/>
  <c r="D163" i="15" l="1"/>
  <c r="D162" i="15"/>
  <c r="D161" i="15"/>
  <c r="H160" i="15"/>
  <c r="H159" i="15"/>
  <c r="H158" i="15"/>
  <c r="H157" i="15"/>
  <c r="H156" i="15"/>
  <c r="H155" i="15"/>
  <c r="H154" i="15"/>
  <c r="H153" i="15"/>
  <c r="H152" i="15"/>
  <c r="J151" i="15"/>
  <c r="H151" i="15"/>
  <c r="H150" i="15"/>
  <c r="H149" i="15"/>
  <c r="H148" i="15"/>
  <c r="H147" i="15"/>
  <c r="H146" i="15"/>
  <c r="H145" i="15"/>
  <c r="H144" i="15"/>
  <c r="H143" i="15"/>
  <c r="H142" i="15"/>
  <c r="H141" i="15"/>
  <c r="H140" i="15"/>
  <c r="H139" i="15"/>
  <c r="H138" i="15"/>
  <c r="H137" i="15"/>
  <c r="H136" i="15"/>
  <c r="H135" i="15"/>
  <c r="H134" i="15"/>
  <c r="H133" i="15"/>
  <c r="H132" i="15"/>
  <c r="H131" i="15"/>
  <c r="H130" i="15"/>
  <c r="H129" i="15"/>
  <c r="D125" i="15"/>
  <c r="D124" i="15"/>
  <c r="D123" i="15"/>
  <c r="H122" i="15"/>
  <c r="H121" i="15"/>
  <c r="H120" i="15"/>
  <c r="H119" i="15"/>
  <c r="H118" i="15"/>
  <c r="H117" i="15"/>
  <c r="H116" i="15"/>
  <c r="H115" i="15"/>
  <c r="H114" i="15"/>
  <c r="H113" i="15"/>
  <c r="H112" i="15"/>
  <c r="H111" i="15"/>
  <c r="H110" i="15"/>
  <c r="H109" i="15"/>
  <c r="H108" i="15"/>
  <c r="H107" i="15"/>
  <c r="H106" i="15"/>
  <c r="H105" i="15"/>
  <c r="H104" i="15"/>
  <c r="H103" i="15"/>
  <c r="H102" i="15"/>
  <c r="H101" i="15"/>
  <c r="H100" i="15"/>
  <c r="H99" i="15"/>
  <c r="H98" i="15"/>
  <c r="H97" i="15"/>
  <c r="H96" i="15"/>
  <c r="H95" i="15"/>
  <c r="H94" i="15"/>
  <c r="H93" i="15"/>
  <c r="H92" i="15"/>
  <c r="H91" i="15"/>
  <c r="H90" i="15"/>
  <c r="H89" i="15"/>
  <c r="H88" i="15"/>
  <c r="H87" i="15"/>
  <c r="H86" i="15"/>
  <c r="H85" i="15"/>
  <c r="H84" i="15"/>
  <c r="H83" i="15"/>
  <c r="H82" i="15"/>
  <c r="H81" i="15"/>
  <c r="H80" i="15"/>
  <c r="H79" i="15"/>
  <c r="H78" i="15"/>
  <c r="H77" i="15"/>
  <c r="H76" i="15"/>
  <c r="H75" i="15"/>
  <c r="H74" i="15"/>
  <c r="H73" i="15"/>
  <c r="H72" i="15"/>
  <c r="H71" i="15"/>
  <c r="H70" i="15"/>
  <c r="H69" i="15"/>
  <c r="H68" i="15"/>
  <c r="H67" i="15"/>
  <c r="H66" i="15"/>
  <c r="H65" i="15"/>
  <c r="H64" i="15"/>
  <c r="H63" i="15"/>
  <c r="H62" i="15"/>
  <c r="J61" i="15"/>
  <c r="H61" i="15"/>
  <c r="H60" i="15"/>
  <c r="H59" i="15"/>
  <c r="H58" i="15"/>
  <c r="H57" i="15"/>
  <c r="H56" i="15"/>
  <c r="H55" i="15"/>
  <c r="H54" i="15"/>
  <c r="H53" i="15"/>
  <c r="H52" i="15"/>
  <c r="H51" i="15"/>
  <c r="H50" i="15"/>
  <c r="H49" i="15"/>
  <c r="H48" i="15"/>
  <c r="H47" i="15"/>
  <c r="H46" i="15"/>
  <c r="H45" i="15"/>
  <c r="H44" i="15"/>
  <c r="H43" i="15"/>
  <c r="H42" i="15"/>
  <c r="H41" i="15"/>
  <c r="H40" i="15"/>
  <c r="H39" i="15"/>
  <c r="H38" i="15"/>
  <c r="H37" i="15"/>
  <c r="H36" i="15"/>
  <c r="H35" i="15"/>
  <c r="H34" i="15"/>
  <c r="H33" i="15"/>
  <c r="H32" i="15"/>
  <c r="H31" i="15"/>
  <c r="H30" i="15"/>
  <c r="H29" i="15"/>
  <c r="H28" i="15"/>
  <c r="H27" i="15"/>
  <c r="H26" i="15"/>
  <c r="H25" i="15"/>
  <c r="H24" i="15"/>
  <c r="H23" i="15"/>
  <c r="D163" i="14" l="1"/>
  <c r="D162" i="14"/>
  <c r="D161" i="14"/>
  <c r="H160" i="14"/>
  <c r="H159" i="14"/>
  <c r="H158" i="14"/>
  <c r="H157" i="14"/>
  <c r="H156" i="14"/>
  <c r="H155" i="14"/>
  <c r="H154" i="14"/>
  <c r="H153" i="14"/>
  <c r="H152" i="14"/>
  <c r="J151" i="14"/>
  <c r="H151" i="14"/>
  <c r="H150" i="14"/>
  <c r="H149" i="14"/>
  <c r="H148" i="14"/>
  <c r="H147" i="14"/>
  <c r="H146" i="14"/>
  <c r="H145" i="14"/>
  <c r="H144" i="14"/>
  <c r="H143" i="14"/>
  <c r="H142" i="14"/>
  <c r="H141" i="14"/>
  <c r="H140" i="14"/>
  <c r="H139" i="14"/>
  <c r="H138" i="14"/>
  <c r="H137" i="14"/>
  <c r="H136" i="14"/>
  <c r="H135" i="14"/>
  <c r="H134" i="14"/>
  <c r="H133" i="14"/>
  <c r="H132" i="14"/>
  <c r="H131" i="14"/>
  <c r="H130" i="14"/>
  <c r="H129" i="14"/>
  <c r="D125" i="14"/>
  <c r="D124" i="14"/>
  <c r="D123" i="14"/>
  <c r="H122" i="14"/>
  <c r="H121" i="14"/>
  <c r="H120" i="14"/>
  <c r="H119" i="14"/>
  <c r="H118" i="14"/>
  <c r="H117" i="14"/>
  <c r="H116" i="14"/>
  <c r="H115" i="14"/>
  <c r="H114" i="14"/>
  <c r="H113" i="14"/>
  <c r="H112" i="14"/>
  <c r="H111" i="14"/>
  <c r="H110" i="14"/>
  <c r="H109" i="14"/>
  <c r="H108" i="14"/>
  <c r="H107" i="14"/>
  <c r="H106" i="14"/>
  <c r="H105" i="14"/>
  <c r="H104" i="14"/>
  <c r="H103" i="14"/>
  <c r="H102" i="14"/>
  <c r="H101" i="14"/>
  <c r="H100" i="14"/>
  <c r="H99" i="14"/>
  <c r="H98" i="14"/>
  <c r="H97" i="14"/>
  <c r="H96" i="14"/>
  <c r="H95" i="14"/>
  <c r="H94" i="14"/>
  <c r="H93" i="14"/>
  <c r="H92" i="14"/>
  <c r="H91" i="14"/>
  <c r="H90" i="14"/>
  <c r="H89" i="14"/>
  <c r="H88" i="14"/>
  <c r="H87" i="14"/>
  <c r="H86" i="14"/>
  <c r="H85" i="14"/>
  <c r="H84" i="14"/>
  <c r="H83" i="14"/>
  <c r="H82" i="14"/>
  <c r="H81" i="14"/>
  <c r="H80" i="14"/>
  <c r="H79" i="14"/>
  <c r="H78" i="14"/>
  <c r="H77" i="14"/>
  <c r="H76" i="14"/>
  <c r="H75" i="14"/>
  <c r="H74" i="14"/>
  <c r="H73" i="14"/>
  <c r="H72" i="14"/>
  <c r="H71" i="14"/>
  <c r="H70" i="14"/>
  <c r="H69" i="14"/>
  <c r="H68" i="14"/>
  <c r="H67" i="14"/>
  <c r="H66" i="14"/>
  <c r="H65" i="14"/>
  <c r="H64" i="14"/>
  <c r="H63" i="14"/>
  <c r="H62" i="14"/>
  <c r="J61" i="14"/>
  <c r="H61" i="14"/>
  <c r="H60" i="14"/>
  <c r="H59" i="14"/>
  <c r="H58" i="14"/>
  <c r="H57" i="14"/>
  <c r="H56" i="14"/>
  <c r="H55" i="14"/>
  <c r="H54" i="14"/>
  <c r="H53" i="14"/>
  <c r="H52" i="14"/>
  <c r="H51" i="14"/>
  <c r="H50" i="14"/>
  <c r="H49" i="14"/>
  <c r="H48" i="14"/>
  <c r="H47" i="14"/>
  <c r="H46" i="14"/>
  <c r="H45" i="14"/>
  <c r="H44" i="14"/>
  <c r="H43" i="14"/>
  <c r="H42" i="14"/>
  <c r="H41" i="14"/>
  <c r="H40" i="14"/>
  <c r="H39" i="14"/>
  <c r="H38" i="14"/>
  <c r="H37" i="14"/>
  <c r="H36" i="14"/>
  <c r="H35" i="14"/>
  <c r="H34" i="14"/>
  <c r="H33" i="14"/>
  <c r="H32" i="14"/>
  <c r="H31" i="14"/>
  <c r="H30" i="14"/>
  <c r="H29" i="14"/>
  <c r="H28" i="14"/>
  <c r="H27" i="14"/>
  <c r="H26" i="14"/>
  <c r="H25" i="14"/>
  <c r="H24" i="14"/>
  <c r="H23" i="14"/>
  <c r="D163" i="13" l="1"/>
  <c r="D162" i="13"/>
  <c r="D161" i="13"/>
  <c r="H160" i="13"/>
  <c r="H159" i="13"/>
  <c r="H158" i="13"/>
  <c r="H157" i="13"/>
  <c r="H156" i="13"/>
  <c r="H155" i="13"/>
  <c r="H154" i="13"/>
  <c r="H153" i="13"/>
  <c r="H152" i="13"/>
  <c r="J151" i="13"/>
  <c r="H151" i="13"/>
  <c r="H150" i="13"/>
  <c r="H149" i="13"/>
  <c r="H148" i="13"/>
  <c r="H147" i="13"/>
  <c r="H146" i="13"/>
  <c r="H145" i="13"/>
  <c r="H144" i="13"/>
  <c r="H143" i="13"/>
  <c r="H142" i="13"/>
  <c r="H141" i="13"/>
  <c r="H140" i="13"/>
  <c r="H139" i="13"/>
  <c r="H138" i="13"/>
  <c r="H137" i="13"/>
  <c r="H136" i="13"/>
  <c r="H135" i="13"/>
  <c r="H134" i="13"/>
  <c r="H133" i="13"/>
  <c r="H132" i="13"/>
  <c r="H131" i="13"/>
  <c r="H130" i="13"/>
  <c r="H129" i="13"/>
  <c r="D125" i="13"/>
  <c r="D124" i="13"/>
  <c r="D123" i="13"/>
  <c r="H122" i="13"/>
  <c r="H121" i="13"/>
  <c r="H120" i="13"/>
  <c r="H119" i="13"/>
  <c r="H118" i="13"/>
  <c r="H117" i="13"/>
  <c r="H116" i="13"/>
  <c r="H115" i="13"/>
  <c r="H114" i="13"/>
  <c r="H113" i="13"/>
  <c r="H112" i="13"/>
  <c r="H111" i="13"/>
  <c r="H110" i="13"/>
  <c r="H109" i="13"/>
  <c r="H108" i="13"/>
  <c r="H107" i="13"/>
  <c r="H106" i="13"/>
  <c r="H105" i="13"/>
  <c r="H104" i="13"/>
  <c r="H103" i="13"/>
  <c r="H102" i="13"/>
  <c r="H101" i="13"/>
  <c r="H100" i="13"/>
  <c r="H99" i="13"/>
  <c r="H98" i="13"/>
  <c r="H97" i="13"/>
  <c r="H96" i="13"/>
  <c r="H95" i="13"/>
  <c r="H94" i="13"/>
  <c r="H93" i="13"/>
  <c r="H92" i="13"/>
  <c r="H91" i="13"/>
  <c r="H90" i="13"/>
  <c r="H89" i="13"/>
  <c r="H88" i="13"/>
  <c r="H87" i="13"/>
  <c r="H86" i="13"/>
  <c r="H85" i="13"/>
  <c r="H84" i="13"/>
  <c r="H83" i="13"/>
  <c r="H82" i="13"/>
  <c r="H81" i="13"/>
  <c r="H80" i="13"/>
  <c r="H79" i="13"/>
  <c r="H78" i="13"/>
  <c r="H77" i="13"/>
  <c r="H76" i="13"/>
  <c r="H75" i="13"/>
  <c r="H74" i="13"/>
  <c r="H73" i="13"/>
  <c r="H72" i="13"/>
  <c r="H71" i="13"/>
  <c r="H70" i="13"/>
  <c r="H69" i="13"/>
  <c r="H68" i="13"/>
  <c r="H67" i="13"/>
  <c r="H66" i="13"/>
  <c r="H65" i="13"/>
  <c r="H64" i="13"/>
  <c r="H63" i="13"/>
  <c r="H62" i="13"/>
  <c r="J61" i="13"/>
  <c r="H61" i="13"/>
  <c r="H60" i="13"/>
  <c r="H59" i="13"/>
  <c r="H58" i="13"/>
  <c r="H57" i="13"/>
  <c r="H56" i="13"/>
  <c r="H55" i="13"/>
  <c r="H54" i="13"/>
  <c r="H53" i="13"/>
  <c r="H52" i="13"/>
  <c r="H51" i="13"/>
  <c r="H50" i="13"/>
  <c r="H49" i="13"/>
  <c r="H48" i="13"/>
  <c r="H47" i="13"/>
  <c r="H46" i="13"/>
  <c r="H45" i="13"/>
  <c r="H44" i="13"/>
  <c r="H43" i="13"/>
  <c r="H42" i="13"/>
  <c r="H41" i="13"/>
  <c r="H40" i="13"/>
  <c r="H39" i="13"/>
  <c r="H38" i="13"/>
  <c r="H37" i="13"/>
  <c r="H36" i="13"/>
  <c r="H35" i="13"/>
  <c r="H34" i="13"/>
  <c r="H33" i="13"/>
  <c r="H32" i="13"/>
  <c r="H31" i="13"/>
  <c r="H30" i="13"/>
  <c r="H29" i="13"/>
  <c r="H28" i="13"/>
  <c r="H27" i="13"/>
  <c r="H26" i="13"/>
  <c r="H25" i="13"/>
  <c r="H24" i="13"/>
  <c r="H23" i="13"/>
  <c r="D163" i="12" l="1"/>
  <c r="D162" i="12"/>
  <c r="D161" i="12"/>
  <c r="H160" i="12"/>
  <c r="H159" i="12"/>
  <c r="H158" i="12"/>
  <c r="H157" i="12"/>
  <c r="H156" i="12"/>
  <c r="H155" i="12"/>
  <c r="H154" i="12"/>
  <c r="H153" i="12"/>
  <c r="H152" i="12"/>
  <c r="J151" i="12"/>
  <c r="H151" i="12"/>
  <c r="H150" i="12"/>
  <c r="H149" i="12"/>
  <c r="H148" i="12"/>
  <c r="H147" i="12"/>
  <c r="H146" i="12"/>
  <c r="H145" i="12"/>
  <c r="H144" i="12"/>
  <c r="H143" i="12"/>
  <c r="H142" i="12"/>
  <c r="H141" i="12"/>
  <c r="H140" i="12"/>
  <c r="H139" i="12"/>
  <c r="H138" i="12"/>
  <c r="H137" i="12"/>
  <c r="H136" i="12"/>
  <c r="H135" i="12"/>
  <c r="H134" i="12"/>
  <c r="H133" i="12"/>
  <c r="H132" i="12"/>
  <c r="H131" i="12"/>
  <c r="H130" i="12"/>
  <c r="H129" i="12"/>
  <c r="D125" i="12"/>
  <c r="D124" i="12"/>
  <c r="D123" i="12"/>
  <c r="H122" i="12"/>
  <c r="H121" i="12"/>
  <c r="H120" i="12"/>
  <c r="H119" i="12"/>
  <c r="H118" i="12"/>
  <c r="H117" i="12"/>
  <c r="H116" i="12"/>
  <c r="H115" i="12"/>
  <c r="H114" i="12"/>
  <c r="H113" i="12"/>
  <c r="H112" i="12"/>
  <c r="H111" i="12"/>
  <c r="H110" i="12"/>
  <c r="H109" i="12"/>
  <c r="H108" i="12"/>
  <c r="H107" i="12"/>
  <c r="H106" i="12"/>
  <c r="H105" i="12"/>
  <c r="H104" i="12"/>
  <c r="H103" i="12"/>
  <c r="H102" i="12"/>
  <c r="H101" i="12"/>
  <c r="H100" i="12"/>
  <c r="H99" i="12"/>
  <c r="H98" i="12"/>
  <c r="H97" i="12"/>
  <c r="H96" i="12"/>
  <c r="H95" i="12"/>
  <c r="H94" i="12"/>
  <c r="H93" i="12"/>
  <c r="H92" i="12"/>
  <c r="H91" i="12"/>
  <c r="H90" i="12"/>
  <c r="H89" i="12"/>
  <c r="H88" i="12"/>
  <c r="H87" i="12"/>
  <c r="H86" i="12"/>
  <c r="H85" i="12"/>
  <c r="H84" i="12"/>
  <c r="H83" i="12"/>
  <c r="H82" i="12"/>
  <c r="H81" i="12"/>
  <c r="H80" i="12"/>
  <c r="H79" i="12"/>
  <c r="H78" i="12"/>
  <c r="H77" i="12"/>
  <c r="H76" i="12"/>
  <c r="H75" i="12"/>
  <c r="H74" i="12"/>
  <c r="H73" i="12"/>
  <c r="H72" i="12"/>
  <c r="H71" i="12"/>
  <c r="H70" i="12"/>
  <c r="H69" i="12"/>
  <c r="H68" i="12"/>
  <c r="H67" i="12"/>
  <c r="H66" i="12"/>
  <c r="H65" i="12"/>
  <c r="H64" i="12"/>
  <c r="H63" i="12"/>
  <c r="H62" i="12"/>
  <c r="J61" i="12"/>
  <c r="H61" i="12"/>
  <c r="H60" i="12"/>
  <c r="H59" i="12"/>
  <c r="H58" i="12"/>
  <c r="H57" i="12"/>
  <c r="H56" i="12"/>
  <c r="H55" i="12"/>
  <c r="H54" i="12"/>
  <c r="H53" i="12"/>
  <c r="H52" i="12"/>
  <c r="H51" i="12"/>
  <c r="H50" i="12"/>
  <c r="H49" i="12"/>
  <c r="H48" i="12"/>
  <c r="H47" i="12"/>
  <c r="H46" i="12"/>
  <c r="H45" i="12"/>
  <c r="H44" i="12"/>
  <c r="H43" i="12"/>
  <c r="H42" i="12"/>
  <c r="H41" i="12"/>
  <c r="H40" i="12"/>
  <c r="H39" i="12"/>
  <c r="H38" i="12"/>
  <c r="H37" i="12"/>
  <c r="H36" i="12"/>
  <c r="H35" i="12"/>
  <c r="H34" i="12"/>
  <c r="H33" i="12"/>
  <c r="H32" i="12"/>
  <c r="H31" i="12"/>
  <c r="H30" i="12"/>
  <c r="H29" i="12"/>
  <c r="H28" i="12"/>
  <c r="H27" i="12"/>
  <c r="H26" i="12"/>
  <c r="H25" i="12"/>
  <c r="H24" i="12"/>
  <c r="H23" i="12"/>
  <c r="D163" i="11" l="1"/>
  <c r="D162" i="11"/>
  <c r="D161" i="11"/>
  <c r="H160" i="11"/>
  <c r="H159" i="11"/>
  <c r="H158" i="11"/>
  <c r="H157" i="11"/>
  <c r="H156" i="11"/>
  <c r="H155" i="11"/>
  <c r="H154" i="11"/>
  <c r="H153" i="11"/>
  <c r="H152" i="11"/>
  <c r="J151" i="11"/>
  <c r="H151" i="11"/>
  <c r="H150" i="11"/>
  <c r="H149" i="11"/>
  <c r="H148" i="11"/>
  <c r="H147" i="11"/>
  <c r="H146" i="11"/>
  <c r="H145" i="11"/>
  <c r="H144" i="11"/>
  <c r="H143" i="11"/>
  <c r="H142" i="11"/>
  <c r="H141" i="11"/>
  <c r="H140" i="11"/>
  <c r="H139" i="11"/>
  <c r="H138" i="11"/>
  <c r="H137" i="11"/>
  <c r="H136" i="11"/>
  <c r="H135" i="11"/>
  <c r="H134" i="11"/>
  <c r="H133" i="11"/>
  <c r="H132" i="11"/>
  <c r="H131" i="11"/>
  <c r="H130" i="11"/>
  <c r="H129" i="11"/>
  <c r="D125" i="11"/>
  <c r="D124" i="11"/>
  <c r="D123" i="11"/>
  <c r="H122" i="11"/>
  <c r="H121" i="11"/>
  <c r="H120" i="11"/>
  <c r="H119" i="11"/>
  <c r="H118" i="11"/>
  <c r="H117" i="11"/>
  <c r="H116" i="11"/>
  <c r="H115" i="11"/>
  <c r="H114" i="11"/>
  <c r="H113" i="11"/>
  <c r="H112" i="11"/>
  <c r="H111" i="11"/>
  <c r="H110" i="11"/>
  <c r="H109" i="11"/>
  <c r="H108" i="11"/>
  <c r="H107" i="11"/>
  <c r="H106" i="11"/>
  <c r="H105" i="11"/>
  <c r="H104" i="11"/>
  <c r="H103" i="11"/>
  <c r="H102" i="11"/>
  <c r="H101" i="11"/>
  <c r="H100" i="11"/>
  <c r="H99" i="11"/>
  <c r="H98" i="11"/>
  <c r="H97" i="11"/>
  <c r="H96" i="11"/>
  <c r="H95" i="11"/>
  <c r="H94" i="11"/>
  <c r="H93" i="11"/>
  <c r="H92" i="11"/>
  <c r="H91" i="11"/>
  <c r="H90" i="11"/>
  <c r="H89" i="11"/>
  <c r="H88" i="11"/>
  <c r="H87" i="11"/>
  <c r="H86" i="11"/>
  <c r="H85" i="11"/>
  <c r="H84" i="11"/>
  <c r="H83" i="11"/>
  <c r="H82" i="11"/>
  <c r="H81" i="11"/>
  <c r="H80" i="11"/>
  <c r="H79" i="11"/>
  <c r="H78" i="11"/>
  <c r="H77" i="11"/>
  <c r="H76" i="11"/>
  <c r="H75" i="11"/>
  <c r="H74" i="11"/>
  <c r="H73" i="11"/>
  <c r="H72" i="11"/>
  <c r="H71" i="11"/>
  <c r="H70" i="11"/>
  <c r="H69" i="11"/>
  <c r="H68" i="11"/>
  <c r="H67" i="11"/>
  <c r="H66" i="11"/>
  <c r="H65" i="11"/>
  <c r="H64" i="11"/>
  <c r="H63" i="11"/>
  <c r="H62" i="11"/>
  <c r="J61"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4" i="11"/>
  <c r="H33" i="11"/>
  <c r="H32" i="11"/>
  <c r="H31" i="11"/>
  <c r="H30" i="11"/>
  <c r="H29" i="11"/>
  <c r="H28" i="11"/>
  <c r="H27" i="11"/>
  <c r="H26" i="11"/>
  <c r="H25" i="11"/>
  <c r="H24" i="11"/>
  <c r="H23" i="11"/>
  <c r="D163" i="10" l="1"/>
  <c r="D162" i="10"/>
  <c r="D161" i="10"/>
  <c r="H160" i="10"/>
  <c r="H159" i="10"/>
  <c r="H158" i="10"/>
  <c r="H157" i="10"/>
  <c r="H156" i="10"/>
  <c r="H155" i="10"/>
  <c r="H154" i="10"/>
  <c r="H153" i="10"/>
  <c r="H152" i="10"/>
  <c r="J151" i="10"/>
  <c r="H151" i="10"/>
  <c r="H150" i="10"/>
  <c r="H149" i="10"/>
  <c r="H148" i="10"/>
  <c r="H147" i="10"/>
  <c r="H146" i="10"/>
  <c r="H145" i="10"/>
  <c r="H144" i="10"/>
  <c r="H143" i="10"/>
  <c r="H142" i="10"/>
  <c r="H141" i="10"/>
  <c r="H140" i="10"/>
  <c r="H139" i="10"/>
  <c r="H138" i="10"/>
  <c r="H137" i="10"/>
  <c r="H136" i="10"/>
  <c r="H135" i="10"/>
  <c r="H134" i="10"/>
  <c r="H133" i="10"/>
  <c r="H132" i="10"/>
  <c r="H131" i="10"/>
  <c r="H130" i="10"/>
  <c r="H129" i="10"/>
  <c r="D125" i="10"/>
  <c r="D124" i="10"/>
  <c r="D123" i="10"/>
  <c r="H122" i="10"/>
  <c r="H121" i="10"/>
  <c r="H120" i="10"/>
  <c r="H119" i="10"/>
  <c r="H118" i="10"/>
  <c r="H117" i="10"/>
  <c r="H116" i="10"/>
  <c r="H115" i="10"/>
  <c r="H114" i="10"/>
  <c r="H113" i="10"/>
  <c r="H112" i="10"/>
  <c r="H111" i="10"/>
  <c r="H110" i="10"/>
  <c r="H109" i="10"/>
  <c r="H108" i="10"/>
  <c r="H107" i="10"/>
  <c r="H106" i="10"/>
  <c r="H105" i="10"/>
  <c r="H104" i="10"/>
  <c r="H103" i="10"/>
  <c r="H102" i="10"/>
  <c r="H101" i="10"/>
  <c r="H100" i="10"/>
  <c r="H99" i="10"/>
  <c r="H98" i="10"/>
  <c r="H97" i="10"/>
  <c r="H96" i="10"/>
  <c r="H95" i="10"/>
  <c r="H94" i="10"/>
  <c r="H93" i="10"/>
  <c r="H92" i="10"/>
  <c r="H91" i="10"/>
  <c r="H90" i="10"/>
  <c r="H89" i="10"/>
  <c r="H88" i="10"/>
  <c r="H87" i="10"/>
  <c r="H86" i="10"/>
  <c r="H85" i="10"/>
  <c r="H84" i="10"/>
  <c r="H83" i="10"/>
  <c r="H82" i="10"/>
  <c r="H81" i="10"/>
  <c r="H80" i="10"/>
  <c r="H79" i="10"/>
  <c r="H78" i="10"/>
  <c r="H77" i="10"/>
  <c r="H76" i="10"/>
  <c r="H75" i="10"/>
  <c r="H74" i="10"/>
  <c r="H73" i="10"/>
  <c r="H72" i="10"/>
  <c r="H71" i="10"/>
  <c r="H70" i="10"/>
  <c r="H69" i="10"/>
  <c r="H68" i="10"/>
  <c r="H67" i="10"/>
  <c r="H66" i="10"/>
  <c r="H65" i="10"/>
  <c r="H64" i="10"/>
  <c r="H63" i="10"/>
  <c r="H62" i="10"/>
  <c r="J61" i="10"/>
  <c r="H61" i="10"/>
  <c r="H60" i="10"/>
  <c r="H59" i="10"/>
  <c r="H58" i="10"/>
  <c r="H57" i="10"/>
  <c r="H56" i="10"/>
  <c r="H55" i="10"/>
  <c r="H54" i="10"/>
  <c r="H53" i="10"/>
  <c r="H52" i="10"/>
  <c r="H51" i="10"/>
  <c r="H50" i="10"/>
  <c r="H49" i="10"/>
  <c r="H48" i="10"/>
  <c r="H47" i="10"/>
  <c r="H46" i="10"/>
  <c r="H45" i="10"/>
  <c r="H44" i="10"/>
  <c r="H43" i="10"/>
  <c r="H42" i="10"/>
  <c r="H41" i="10"/>
  <c r="H40" i="10"/>
  <c r="H39" i="10"/>
  <c r="H38" i="10"/>
  <c r="H37" i="10"/>
  <c r="H36" i="10"/>
  <c r="H35" i="10"/>
  <c r="H34" i="10"/>
  <c r="H33" i="10"/>
  <c r="H32" i="10"/>
  <c r="H31" i="10"/>
  <c r="H30" i="10"/>
  <c r="H29" i="10"/>
  <c r="H28" i="10"/>
  <c r="H27" i="10"/>
  <c r="H26" i="10"/>
  <c r="H25" i="10"/>
  <c r="H24" i="10"/>
  <c r="H23" i="10"/>
  <c r="D163" i="9" l="1"/>
  <c r="D162" i="9"/>
  <c r="D161" i="9"/>
  <c r="H160" i="9"/>
  <c r="H159" i="9"/>
  <c r="H158" i="9"/>
  <c r="H157" i="9"/>
  <c r="H156" i="9"/>
  <c r="H155" i="9"/>
  <c r="H154" i="9"/>
  <c r="H153" i="9"/>
  <c r="H152" i="9"/>
  <c r="J151" i="9"/>
  <c r="H151" i="9"/>
  <c r="H150" i="9"/>
  <c r="H149" i="9"/>
  <c r="H148" i="9"/>
  <c r="H147" i="9"/>
  <c r="H146" i="9"/>
  <c r="H145" i="9"/>
  <c r="H144" i="9"/>
  <c r="H143" i="9"/>
  <c r="H142" i="9"/>
  <c r="H141" i="9"/>
  <c r="H140" i="9"/>
  <c r="H139" i="9"/>
  <c r="H138" i="9"/>
  <c r="H137" i="9"/>
  <c r="H136" i="9"/>
  <c r="H135" i="9"/>
  <c r="H134" i="9"/>
  <c r="H133" i="9"/>
  <c r="H132" i="9"/>
  <c r="H131" i="9"/>
  <c r="H130" i="9"/>
  <c r="H129" i="9"/>
  <c r="D125" i="9"/>
  <c r="D124" i="9"/>
  <c r="D123" i="9"/>
  <c r="H122" i="9"/>
  <c r="H121" i="9"/>
  <c r="H120" i="9"/>
  <c r="H119" i="9"/>
  <c r="H118" i="9"/>
  <c r="H117" i="9"/>
  <c r="H116" i="9"/>
  <c r="H115" i="9"/>
  <c r="H114" i="9"/>
  <c r="H113" i="9"/>
  <c r="H112" i="9"/>
  <c r="H111" i="9"/>
  <c r="H110" i="9"/>
  <c r="H109" i="9"/>
  <c r="H108" i="9"/>
  <c r="H107" i="9"/>
  <c r="H106" i="9"/>
  <c r="H105" i="9"/>
  <c r="H104" i="9"/>
  <c r="H103" i="9"/>
  <c r="H102" i="9"/>
  <c r="H101" i="9"/>
  <c r="H100" i="9"/>
  <c r="H99" i="9"/>
  <c r="H98" i="9"/>
  <c r="H97" i="9"/>
  <c r="H96" i="9"/>
  <c r="H95" i="9"/>
  <c r="H94" i="9"/>
  <c r="H93" i="9"/>
  <c r="H92" i="9"/>
  <c r="H91" i="9"/>
  <c r="H90" i="9"/>
  <c r="H89" i="9"/>
  <c r="H88" i="9"/>
  <c r="H87" i="9"/>
  <c r="H86" i="9"/>
  <c r="H85" i="9"/>
  <c r="H84" i="9"/>
  <c r="H83" i="9"/>
  <c r="H82" i="9"/>
  <c r="H81" i="9"/>
  <c r="H80" i="9"/>
  <c r="H79" i="9"/>
  <c r="H78" i="9"/>
  <c r="H77" i="9"/>
  <c r="H76" i="9"/>
  <c r="H75" i="9"/>
  <c r="H74" i="9"/>
  <c r="H73" i="9"/>
  <c r="H72" i="9"/>
  <c r="H71" i="9"/>
  <c r="H70" i="9"/>
  <c r="H69" i="9"/>
  <c r="H68" i="9"/>
  <c r="H67" i="9"/>
  <c r="H66" i="9"/>
  <c r="H65" i="9"/>
  <c r="H64" i="9"/>
  <c r="H63" i="9"/>
  <c r="H62" i="9"/>
  <c r="J61" i="9"/>
  <c r="H61" i="9"/>
  <c r="H60" i="9"/>
  <c r="H59" i="9"/>
  <c r="H58" i="9"/>
  <c r="H57" i="9"/>
  <c r="H56" i="9"/>
  <c r="H55" i="9"/>
  <c r="H54" i="9"/>
  <c r="H53" i="9"/>
  <c r="H52" i="9"/>
  <c r="H51" i="9"/>
  <c r="H50" i="9"/>
  <c r="H49" i="9"/>
  <c r="H48" i="9"/>
  <c r="H47" i="9"/>
  <c r="H46" i="9"/>
  <c r="H45" i="9"/>
  <c r="H44" i="9"/>
  <c r="H43" i="9"/>
  <c r="H42" i="9"/>
  <c r="H41" i="9"/>
  <c r="H40" i="9"/>
  <c r="H39" i="9"/>
  <c r="H38" i="9"/>
  <c r="H37" i="9"/>
  <c r="H36" i="9"/>
  <c r="H35" i="9"/>
  <c r="H34" i="9"/>
  <c r="H33" i="9"/>
  <c r="H32" i="9"/>
  <c r="H31" i="9"/>
  <c r="H30" i="9"/>
  <c r="H29" i="9"/>
  <c r="H28" i="9"/>
  <c r="H27" i="9"/>
  <c r="H26" i="9"/>
  <c r="H25" i="9"/>
  <c r="H24" i="9"/>
  <c r="H23" i="9"/>
  <c r="D163" i="8" l="1"/>
  <c r="D162" i="8"/>
  <c r="D161" i="8"/>
  <c r="H160" i="8"/>
  <c r="H159" i="8"/>
  <c r="H158" i="8"/>
  <c r="H157" i="8"/>
  <c r="H156" i="8"/>
  <c r="H155" i="8"/>
  <c r="H154" i="8"/>
  <c r="H153" i="8"/>
  <c r="H152" i="8"/>
  <c r="J151" i="8"/>
  <c r="H151" i="8"/>
  <c r="H150" i="8"/>
  <c r="H149" i="8"/>
  <c r="H148" i="8"/>
  <c r="H147" i="8"/>
  <c r="H146" i="8"/>
  <c r="H145" i="8"/>
  <c r="H144" i="8"/>
  <c r="H143" i="8"/>
  <c r="H142" i="8"/>
  <c r="H141" i="8"/>
  <c r="H140" i="8"/>
  <c r="H139" i="8"/>
  <c r="H138" i="8"/>
  <c r="H137" i="8"/>
  <c r="H136" i="8"/>
  <c r="H135" i="8"/>
  <c r="H134" i="8"/>
  <c r="H133" i="8"/>
  <c r="H132" i="8"/>
  <c r="H131" i="8"/>
  <c r="H130" i="8"/>
  <c r="H129" i="8"/>
  <c r="D125" i="8"/>
  <c r="D124" i="8"/>
  <c r="D123" i="8"/>
  <c r="H122" i="8"/>
  <c r="H121" i="8"/>
  <c r="H120" i="8"/>
  <c r="H119" i="8"/>
  <c r="H118" i="8"/>
  <c r="H117" i="8"/>
  <c r="H116" i="8"/>
  <c r="H115" i="8"/>
  <c r="H114" i="8"/>
  <c r="H113" i="8"/>
  <c r="H112" i="8"/>
  <c r="H111" i="8"/>
  <c r="H110" i="8"/>
  <c r="H109" i="8"/>
  <c r="H108" i="8"/>
  <c r="H107" i="8"/>
  <c r="H106" i="8"/>
  <c r="H105" i="8"/>
  <c r="H104" i="8"/>
  <c r="H103" i="8"/>
  <c r="H102" i="8"/>
  <c r="H101" i="8"/>
  <c r="H100" i="8"/>
  <c r="H99" i="8"/>
  <c r="H98" i="8"/>
  <c r="H97" i="8"/>
  <c r="H96" i="8"/>
  <c r="H95" i="8"/>
  <c r="H94" i="8"/>
  <c r="H93" i="8"/>
  <c r="H92" i="8"/>
  <c r="H91" i="8"/>
  <c r="H90" i="8"/>
  <c r="H89" i="8"/>
  <c r="H88" i="8"/>
  <c r="H87" i="8"/>
  <c r="H86" i="8"/>
  <c r="H85" i="8"/>
  <c r="H84" i="8"/>
  <c r="H83" i="8"/>
  <c r="H82" i="8"/>
  <c r="H81" i="8"/>
  <c r="H80" i="8"/>
  <c r="H79" i="8"/>
  <c r="H78" i="8"/>
  <c r="H77" i="8"/>
  <c r="H76" i="8"/>
  <c r="H75" i="8"/>
  <c r="H74" i="8"/>
  <c r="H73" i="8"/>
  <c r="H72" i="8"/>
  <c r="H71" i="8"/>
  <c r="H70" i="8"/>
  <c r="H69" i="8"/>
  <c r="H68" i="8"/>
  <c r="H67" i="8"/>
  <c r="H66" i="8"/>
  <c r="H65" i="8"/>
  <c r="H64" i="8"/>
  <c r="H63" i="8"/>
  <c r="H62" i="8"/>
  <c r="J61" i="8"/>
  <c r="H61" i="8"/>
  <c r="H60" i="8"/>
  <c r="H59" i="8"/>
  <c r="H58" i="8"/>
  <c r="H57" i="8"/>
  <c r="H56" i="8"/>
  <c r="H55" i="8"/>
  <c r="H54" i="8"/>
  <c r="H53" i="8"/>
  <c r="H52" i="8"/>
  <c r="H51" i="8"/>
  <c r="H50" i="8"/>
  <c r="H49" i="8"/>
  <c r="H48" i="8"/>
  <c r="H47" i="8"/>
  <c r="H46" i="8"/>
  <c r="H45" i="8"/>
  <c r="H44" i="8"/>
  <c r="H43" i="8"/>
  <c r="H42" i="8"/>
  <c r="H41" i="8"/>
  <c r="H40" i="8"/>
  <c r="H39" i="8"/>
  <c r="H38" i="8"/>
  <c r="H37" i="8"/>
  <c r="H36" i="8"/>
  <c r="H35" i="8"/>
  <c r="H34" i="8"/>
  <c r="H33" i="8"/>
  <c r="H32" i="8"/>
  <c r="H31" i="8"/>
  <c r="H30" i="8"/>
  <c r="H29" i="8"/>
  <c r="H28" i="8"/>
  <c r="H27" i="8"/>
  <c r="H26" i="8"/>
  <c r="H25" i="8"/>
  <c r="H24" i="8"/>
  <c r="H23" i="8"/>
  <c r="D163" i="7" l="1"/>
  <c r="D162" i="7"/>
  <c r="D161" i="7"/>
  <c r="H160" i="7"/>
  <c r="H159" i="7"/>
  <c r="H158" i="7"/>
  <c r="H157" i="7"/>
  <c r="H156" i="7"/>
  <c r="H155" i="7"/>
  <c r="H154" i="7"/>
  <c r="H153" i="7"/>
  <c r="H152" i="7"/>
  <c r="J151" i="7"/>
  <c r="H151" i="7"/>
  <c r="H150" i="7"/>
  <c r="H149" i="7"/>
  <c r="H148" i="7"/>
  <c r="H147" i="7"/>
  <c r="H146" i="7"/>
  <c r="H145" i="7"/>
  <c r="H144" i="7"/>
  <c r="H143" i="7"/>
  <c r="H142" i="7"/>
  <c r="H141" i="7"/>
  <c r="H140" i="7"/>
  <c r="H139" i="7"/>
  <c r="H138" i="7"/>
  <c r="H137" i="7"/>
  <c r="H136" i="7"/>
  <c r="H135" i="7"/>
  <c r="H134" i="7"/>
  <c r="H133" i="7"/>
  <c r="H132" i="7"/>
  <c r="H131" i="7"/>
  <c r="H130" i="7"/>
  <c r="H129" i="7"/>
  <c r="D125" i="7"/>
  <c r="D124" i="7"/>
  <c r="D123" i="7"/>
  <c r="H122" i="7"/>
  <c r="H121" i="7"/>
  <c r="H120" i="7"/>
  <c r="H119" i="7"/>
  <c r="H118" i="7"/>
  <c r="H117" i="7"/>
  <c r="H116" i="7"/>
  <c r="H115" i="7"/>
  <c r="H114" i="7"/>
  <c r="H113" i="7"/>
  <c r="H112" i="7"/>
  <c r="H111" i="7"/>
  <c r="H110" i="7"/>
  <c r="H109" i="7"/>
  <c r="H108" i="7"/>
  <c r="H107" i="7"/>
  <c r="H106" i="7"/>
  <c r="H105" i="7"/>
  <c r="H104" i="7"/>
  <c r="H103" i="7"/>
  <c r="H102" i="7"/>
  <c r="H101" i="7"/>
  <c r="H100" i="7"/>
  <c r="H99" i="7"/>
  <c r="H98" i="7"/>
  <c r="H97" i="7"/>
  <c r="H96" i="7"/>
  <c r="H95" i="7"/>
  <c r="H94" i="7"/>
  <c r="H93" i="7"/>
  <c r="H92" i="7"/>
  <c r="H91" i="7"/>
  <c r="H90" i="7"/>
  <c r="H89" i="7"/>
  <c r="H88" i="7"/>
  <c r="H87" i="7"/>
  <c r="H86" i="7"/>
  <c r="H85" i="7"/>
  <c r="H84" i="7"/>
  <c r="H83" i="7"/>
  <c r="H82" i="7"/>
  <c r="H81" i="7"/>
  <c r="H80" i="7"/>
  <c r="H79" i="7"/>
  <c r="H78" i="7"/>
  <c r="H77" i="7"/>
  <c r="H76" i="7"/>
  <c r="H75" i="7"/>
  <c r="H74" i="7"/>
  <c r="H73" i="7"/>
  <c r="H72" i="7"/>
  <c r="H71" i="7"/>
  <c r="H70" i="7"/>
  <c r="H69" i="7"/>
  <c r="H68" i="7"/>
  <c r="H67" i="7"/>
  <c r="H66" i="7"/>
  <c r="H65" i="7"/>
  <c r="H64" i="7"/>
  <c r="H63" i="7"/>
  <c r="H62" i="7"/>
  <c r="J61"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D163" i="6" l="1"/>
  <c r="D162" i="6"/>
  <c r="D161" i="6"/>
  <c r="H160" i="6"/>
  <c r="H159" i="6"/>
  <c r="H158" i="6"/>
  <c r="H157" i="6"/>
  <c r="H156" i="6"/>
  <c r="H155" i="6"/>
  <c r="H154" i="6"/>
  <c r="H153" i="6"/>
  <c r="H152" i="6"/>
  <c r="J151" i="6"/>
  <c r="H151" i="6"/>
  <c r="H150" i="6"/>
  <c r="H149" i="6"/>
  <c r="H148" i="6"/>
  <c r="H147" i="6"/>
  <c r="H146" i="6"/>
  <c r="H145" i="6"/>
  <c r="H144" i="6"/>
  <c r="H143" i="6"/>
  <c r="H142" i="6"/>
  <c r="H141" i="6"/>
  <c r="H140" i="6"/>
  <c r="H139" i="6"/>
  <c r="H138" i="6"/>
  <c r="H137" i="6"/>
  <c r="H136" i="6"/>
  <c r="H135" i="6"/>
  <c r="H134" i="6"/>
  <c r="H133" i="6"/>
  <c r="H132" i="6"/>
  <c r="H131" i="6"/>
  <c r="H130" i="6"/>
  <c r="H129" i="6"/>
  <c r="D125" i="6"/>
  <c r="D124" i="6"/>
  <c r="D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J61"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D163" i="5" l="1"/>
  <c r="D162" i="5"/>
  <c r="D161" i="5"/>
  <c r="H160" i="5"/>
  <c r="H159" i="5"/>
  <c r="H158" i="5"/>
  <c r="H157" i="5"/>
  <c r="H156" i="5"/>
  <c r="H155" i="5"/>
  <c r="H154" i="5"/>
  <c r="H153" i="5"/>
  <c r="H152" i="5"/>
  <c r="J151" i="5"/>
  <c r="H151" i="5"/>
  <c r="H150" i="5"/>
  <c r="H149" i="5"/>
  <c r="H148" i="5"/>
  <c r="H147" i="5"/>
  <c r="H146" i="5"/>
  <c r="H145" i="5"/>
  <c r="H144" i="5"/>
  <c r="H143" i="5"/>
  <c r="H142" i="5"/>
  <c r="H141" i="5"/>
  <c r="H140" i="5"/>
  <c r="H139" i="5"/>
  <c r="H138" i="5"/>
  <c r="H137" i="5"/>
  <c r="H136" i="5"/>
  <c r="H135" i="5"/>
  <c r="H134" i="5"/>
  <c r="H133" i="5"/>
  <c r="H132" i="5"/>
  <c r="H131" i="5"/>
  <c r="H130" i="5"/>
  <c r="H129" i="5"/>
  <c r="D125" i="5"/>
  <c r="D124" i="5"/>
  <c r="D123" i="5"/>
  <c r="H122" i="5"/>
  <c r="H121" i="5"/>
  <c r="H120" i="5"/>
  <c r="H119" i="5"/>
  <c r="H118" i="5"/>
  <c r="H117" i="5"/>
  <c r="H116" i="5"/>
  <c r="H115" i="5"/>
  <c r="H114" i="5"/>
  <c r="H113" i="5"/>
  <c r="H112" i="5"/>
  <c r="H111" i="5"/>
  <c r="H110" i="5"/>
  <c r="H109" i="5"/>
  <c r="H108" i="5"/>
  <c r="H107" i="5"/>
  <c r="H106" i="5"/>
  <c r="H105" i="5"/>
  <c r="H104" i="5"/>
  <c r="H103" i="5"/>
  <c r="H102" i="5"/>
  <c r="H101" i="5"/>
  <c r="H100" i="5"/>
  <c r="H99" i="5"/>
  <c r="H98" i="5"/>
  <c r="H97" i="5"/>
  <c r="H96" i="5"/>
  <c r="H95" i="5"/>
  <c r="H94" i="5"/>
  <c r="H93" i="5"/>
  <c r="H92" i="5"/>
  <c r="H91" i="5"/>
  <c r="H90" i="5"/>
  <c r="H89" i="5"/>
  <c r="H88" i="5"/>
  <c r="H87" i="5"/>
  <c r="H86" i="5"/>
  <c r="H85" i="5"/>
  <c r="H84" i="5"/>
  <c r="H83" i="5"/>
  <c r="H82" i="5"/>
  <c r="H81" i="5"/>
  <c r="H80" i="5"/>
  <c r="H79" i="5"/>
  <c r="H78" i="5"/>
  <c r="H77" i="5"/>
  <c r="H76" i="5"/>
  <c r="H75" i="5"/>
  <c r="H74" i="5"/>
  <c r="H73" i="5"/>
  <c r="H72" i="5"/>
  <c r="H71" i="5"/>
  <c r="H70" i="5"/>
  <c r="H69" i="5"/>
  <c r="H68" i="5"/>
  <c r="H67" i="5"/>
  <c r="H66" i="5"/>
  <c r="H65" i="5"/>
  <c r="H64" i="5"/>
  <c r="H63" i="5"/>
  <c r="H62" i="5"/>
  <c r="J61"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3" i="4" l="1"/>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J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D123" i="4"/>
  <c r="D124" i="4"/>
  <c r="D125" i="4"/>
  <c r="H129" i="4"/>
  <c r="H130" i="4"/>
  <c r="H131" i="4"/>
  <c r="H132" i="4"/>
  <c r="H133" i="4"/>
  <c r="H134" i="4"/>
  <c r="H135" i="4"/>
  <c r="H136" i="4"/>
  <c r="H137" i="4"/>
  <c r="H138" i="4"/>
  <c r="H139" i="4"/>
  <c r="H140" i="4"/>
  <c r="H141" i="4"/>
  <c r="H142" i="4"/>
  <c r="H143" i="4"/>
  <c r="H144" i="4"/>
  <c r="H145" i="4"/>
  <c r="H146" i="4"/>
  <c r="H147" i="4"/>
  <c r="H148" i="4"/>
  <c r="H149" i="4"/>
  <c r="H150" i="4"/>
  <c r="H151" i="4"/>
  <c r="J151" i="4"/>
  <c r="H152" i="4"/>
  <c r="H153" i="4"/>
  <c r="H154" i="4"/>
  <c r="H155" i="4"/>
  <c r="H156" i="4"/>
  <c r="H157" i="4"/>
  <c r="H158" i="4"/>
  <c r="H159" i="4"/>
  <c r="H160" i="4"/>
  <c r="D161" i="4"/>
  <c r="D162" i="4"/>
  <c r="D163" i="4"/>
  <c r="D161" i="1" l="1"/>
  <c r="B130" i="1" l="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29"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23" i="1"/>
  <c r="D163" i="1" l="1"/>
  <c r="D162" i="1"/>
  <c r="D125" i="1"/>
  <c r="D124" i="1"/>
  <c r="K61" i="1" l="1"/>
  <c r="K151" i="1"/>
  <c r="D123" i="1" l="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Sol-challenge2-models" type="6" refreshedVersion="6" background="1" saveData="1">
    <textPr codePage="437" sourceFile="I:\Simulations Plus\ADMET Predictor\Solubility-challenge-2\Sol-challenge2-models.txt">
      <textFields count="4">
        <textField/>
        <textField/>
        <textField/>
        <textField/>
      </textFields>
    </textPr>
  </connection>
  <connection id="2" xr16:uid="{00000000-0015-0000-FFFF-FFFF01000000}" name="Sol-challenge2-models1" type="6" refreshedVersion="6" background="1" saveData="1">
    <textPr codePage="437" sourceFile="I:\Simulations Plus\ADMET Predictor\Solubility-challenge-2\Sol-challenge2-models.txt">
      <textFields count="4">
        <textField type="text"/>
        <textField/>
        <textField/>
        <textField/>
      </textFields>
    </textPr>
  </connection>
  <connection id="3" xr16:uid="{91FDE1DB-5E7F-4ACB-8BA6-EBD246623D70}" name="Sol-challenge2-models2" type="6" refreshedVersion="6" background="1" saveData="1">
    <textPr codePage="437" sourceFile="I:\Simulations Plus\ADMET Predictor\Solubility-challenge-2\Sol-challenge2-models.txt">
      <textFields count="4">
        <textField/>
        <textField/>
        <textField/>
        <textField/>
      </textFields>
    </textPr>
  </connection>
</connections>
</file>

<file path=xl/sharedStrings.xml><?xml version="1.0" encoding="utf-8"?>
<sst xmlns="http://schemas.openxmlformats.org/spreadsheetml/2006/main" count="15486" uniqueCount="1092">
  <si>
    <t>SUBMISSION FORM, Rev. 1.0</t>
  </si>
  <si>
    <t>"Solubility Challenge revisited after 10 Years, with multi-lab shake-flask data, using tight (SD ~0.17 log) and loose (SD ~0.62 log) test sets"</t>
  </si>
  <si>
    <t>by Antonio Llinàs (AstraZeneca R&amp;D, Gothenburg, Sweden) and Alex Avdeef (in-ADME Research, New York, USA)</t>
  </si>
  <si>
    <t>Participant(s)</t>
  </si>
  <si>
    <t xml:space="preserve">Institution(s) </t>
  </si>
  <si>
    <t>&amp; Address(es)</t>
  </si>
  <si>
    <t>Contact E-mail</t>
  </si>
  <si>
    <t>Date</t>
  </si>
  <si>
    <r>
      <t>PARTICIPANTS USE THEIR OWN INTRINSIC SOLUBILITY (</t>
    </r>
    <r>
      <rPr>
        <b/>
        <i/>
        <sz val="18"/>
        <rFont val="Calibri"/>
        <family val="2"/>
        <scheme val="minor"/>
      </rPr>
      <t>log S</t>
    </r>
    <r>
      <rPr>
        <b/>
        <i/>
        <vertAlign val="subscript"/>
        <sz val="18"/>
        <rFont val="Calibri"/>
        <family val="2"/>
        <scheme val="minor"/>
      </rPr>
      <t>0</t>
    </r>
    <r>
      <rPr>
        <b/>
        <sz val="18"/>
        <rFont val="Calibri"/>
        <family val="2"/>
        <scheme val="minor"/>
      </rPr>
      <t xml:space="preserve">) TRAINING SET OF COMPOUNDS - enter the predicted values in log </t>
    </r>
    <r>
      <rPr>
        <b/>
        <sz val="18"/>
        <color rgb="FFFF0000"/>
        <rFont val="Calibri"/>
        <family val="2"/>
        <scheme val="minor"/>
      </rPr>
      <t>molarity</t>
    </r>
    <r>
      <rPr>
        <b/>
        <sz val="18"/>
        <rFont val="Calibri"/>
        <family val="2"/>
        <scheme val="minor"/>
      </rPr>
      <t xml:space="preserve"> units</t>
    </r>
  </si>
  <si>
    <r>
      <t xml:space="preserve">SELECT </t>
    </r>
    <r>
      <rPr>
        <b/>
        <u/>
        <sz val="11"/>
        <color rgb="FFFF0000"/>
        <rFont val="Calibri"/>
        <family val="2"/>
        <scheme val="minor"/>
      </rPr>
      <t>ONE</t>
    </r>
    <r>
      <rPr>
        <b/>
        <sz val="11"/>
        <color rgb="FFFF0000"/>
        <rFont val="Calibri"/>
        <family val="2"/>
        <scheme val="minor"/>
      </rPr>
      <t xml:space="preserve"> OF THE THREE OPTIONS:</t>
    </r>
  </si>
  <si>
    <r>
      <t xml:space="preserve">               (i) None of the external test set molecules in the lists below was used in training the prediction model; i.e., all test set molecules found in the training set have been </t>
    </r>
    <r>
      <rPr>
        <b/>
        <u/>
        <sz val="11"/>
        <color rgb="FFFF0000"/>
        <rFont val="Calibri"/>
        <family val="2"/>
        <scheme val="minor"/>
      </rPr>
      <t>removed</t>
    </r>
    <r>
      <rPr>
        <b/>
        <sz val="11"/>
        <color rgb="FFFF0000"/>
        <rFont val="Calibri"/>
        <family val="2"/>
        <scheme val="minor"/>
      </rPr>
      <t xml:space="preserve"> and the model was re-trained.</t>
    </r>
  </si>
  <si>
    <t xml:space="preserve">  &lt;-- enter 'x' if applies.</t>
  </si>
  <si>
    <t xml:space="preserve">               (ii) A commercial prediction software was used, where the training data are not available for modification.</t>
  </si>
  <si>
    <t xml:space="preserve">               (iii) Neither of the above cases applies, because …</t>
  </si>
  <si>
    <t>The developed model for aqueous solubility prediction was used: logSw = -1.120E - 0.599ClogP</t>
  </si>
  <si>
    <t xml:space="preserve">  &lt;-- please explain.</t>
  </si>
  <si>
    <r>
      <t xml:space="preserve">Please note: Yalkowsky's General Solubility Equation (GSE) results are cited below as a semi-empirical  benchmark for predicting solubility (using </t>
    </r>
    <r>
      <rPr>
        <b/>
        <i/>
        <sz val="11"/>
        <rFont val="Calibri"/>
        <family val="2"/>
        <scheme val="minor"/>
      </rPr>
      <t>experimental</t>
    </r>
    <r>
      <rPr>
        <b/>
        <sz val="11"/>
        <rFont val="Calibri"/>
        <family val="2"/>
        <scheme val="minor"/>
      </rPr>
      <t xml:space="preserve"> melting points and </t>
    </r>
    <r>
      <rPr>
        <b/>
        <i/>
        <sz val="11"/>
        <rFont val="Calibri"/>
        <family val="2"/>
        <scheme val="minor"/>
      </rPr>
      <t>calculated</t>
    </r>
    <r>
      <rPr>
        <b/>
        <sz val="11"/>
        <rFont val="Calibri"/>
        <family val="2"/>
        <scheme val="minor"/>
      </rPr>
      <t xml:space="preserve"> octanol-water </t>
    </r>
    <r>
      <rPr>
        <b/>
        <i/>
        <sz val="11"/>
        <rFont val="Calibri"/>
        <family val="2"/>
        <scheme val="minor"/>
      </rPr>
      <t>log P</t>
    </r>
    <r>
      <rPr>
        <b/>
        <sz val="11"/>
        <rFont val="Calibri"/>
        <family val="2"/>
        <scheme val="minor"/>
      </rPr>
      <t>).</t>
    </r>
  </si>
  <si>
    <r>
      <t>INTRINSIC SOLUBILITY (MOLARITY) EXTERNAL TEST SET 1 (</t>
    </r>
    <r>
      <rPr>
        <b/>
        <i/>
        <sz val="22"/>
        <rFont val="Castellar"/>
        <family val="1"/>
      </rPr>
      <t>AVERAGE</t>
    </r>
    <r>
      <rPr>
        <b/>
        <sz val="20"/>
        <rFont val="Calibri"/>
        <family val="2"/>
        <scheme val="minor"/>
      </rPr>
      <t xml:space="preserve"> interlab SD)</t>
    </r>
  </si>
  <si>
    <t>COMPOUND</t>
  </si>
  <si>
    <r>
      <t xml:space="preserve">PREDICTED  </t>
    </r>
    <r>
      <rPr>
        <b/>
        <i/>
        <sz val="9"/>
        <rFont val="Calibri"/>
        <family val="2"/>
      </rPr>
      <t>log S</t>
    </r>
    <r>
      <rPr>
        <b/>
        <i/>
        <vertAlign val="subscript"/>
        <sz val="9"/>
        <rFont val="Calibri"/>
        <family val="2"/>
      </rPr>
      <t>0</t>
    </r>
    <r>
      <rPr>
        <b/>
        <vertAlign val="subscript"/>
        <sz val="9"/>
        <rFont val="Calibri"/>
        <family val="2"/>
      </rPr>
      <t xml:space="preserve"> </t>
    </r>
    <r>
      <rPr>
        <b/>
        <sz val="9"/>
        <rFont val="Calibri"/>
        <family val="2"/>
      </rPr>
      <t xml:space="preserve">(25 `C) </t>
    </r>
  </si>
  <si>
    <r>
      <t xml:space="preserve">Avg. Interlab.  </t>
    </r>
    <r>
      <rPr>
        <b/>
        <i/>
        <sz val="9"/>
        <rFont val="Calibri"/>
        <family val="2"/>
      </rPr>
      <t>log S</t>
    </r>
    <r>
      <rPr>
        <b/>
        <i/>
        <vertAlign val="subscript"/>
        <sz val="9"/>
        <rFont val="Calibri"/>
        <family val="2"/>
      </rPr>
      <t>0</t>
    </r>
    <r>
      <rPr>
        <b/>
        <vertAlign val="subscript"/>
        <sz val="9"/>
        <rFont val="Calibri"/>
        <family val="2"/>
      </rPr>
      <t xml:space="preserve"> </t>
    </r>
    <r>
      <rPr>
        <b/>
        <sz val="9"/>
        <rFont val="Calibri"/>
        <family val="2"/>
      </rPr>
      <t xml:space="preserve">(25 `C) </t>
    </r>
  </si>
  <si>
    <t>Interlab.  SD</t>
  </si>
  <si>
    <t>Num. Lit. Sources</t>
  </si>
  <si>
    <t>Experimental mp (`C)</t>
  </si>
  <si>
    <r>
      <rPr>
        <b/>
        <i/>
        <sz val="9"/>
        <rFont val="Calibri"/>
        <family val="2"/>
      </rPr>
      <t>log P</t>
    </r>
    <r>
      <rPr>
        <b/>
        <vertAlign val="subscript"/>
        <sz val="9"/>
        <rFont val="Calibri"/>
        <family val="2"/>
      </rPr>
      <t>oct-water</t>
    </r>
    <r>
      <rPr>
        <b/>
        <sz val="9"/>
        <rFont val="Calibri"/>
        <family val="2"/>
      </rPr>
      <t xml:space="preserve">  calc in RDKit</t>
    </r>
  </si>
  <si>
    <r>
      <rPr>
        <b/>
        <i/>
        <sz val="9"/>
        <rFont val="Calibri"/>
        <family val="2"/>
      </rPr>
      <t>log S</t>
    </r>
    <r>
      <rPr>
        <b/>
        <i/>
        <vertAlign val="subscript"/>
        <sz val="9"/>
        <rFont val="Calibri"/>
        <family val="2"/>
      </rPr>
      <t>0</t>
    </r>
    <r>
      <rPr>
        <b/>
        <sz val="9"/>
        <rFont val="Calibri"/>
        <family val="2"/>
      </rPr>
      <t xml:space="preserve">     calc by GSE</t>
    </r>
  </si>
  <si>
    <t>E</t>
  </si>
  <si>
    <t>METHOD USED (enter 'x' to select one)</t>
  </si>
  <si>
    <t>SMILES</t>
  </si>
  <si>
    <t>Acetazolamide</t>
  </si>
  <si>
    <t>will be</t>
  </si>
  <si>
    <t>MLR</t>
  </si>
  <si>
    <t>x</t>
  </si>
  <si>
    <t>CC(NC1=NN=C(S1)[S](N)(=O)=O)=O</t>
  </si>
  <si>
    <t xml:space="preserve">  A:</t>
  </si>
  <si>
    <t>Acetylsalicylic_Acid</t>
  </si>
  <si>
    <t>revealed</t>
  </si>
  <si>
    <t>PLS</t>
  </si>
  <si>
    <t>C(C)(=O)OC1=CC=CC=C1C(=O)O</t>
  </si>
  <si>
    <t xml:space="preserve">  B:</t>
  </si>
  <si>
    <t>Alclofenac</t>
  </si>
  <si>
    <t>after</t>
  </si>
  <si>
    <t>PCR</t>
  </si>
  <si>
    <t>C=CCOc1ccc(cc1Cl)CC(=O)O</t>
  </si>
  <si>
    <t xml:space="preserve">  Bo:</t>
  </si>
  <si>
    <t>Ambroxol</t>
  </si>
  <si>
    <t>competition</t>
  </si>
  <si>
    <t>ANN</t>
  </si>
  <si>
    <t>O[C@@H]2CC[C@@H](NCc1cc(Br)cc(Br)c1N)CC2</t>
  </si>
  <si>
    <t xml:space="preserve">  L:</t>
  </si>
  <si>
    <t>Aripiprazole</t>
  </si>
  <si>
    <t>ends</t>
  </si>
  <si>
    <t>kNN</t>
  </si>
  <si>
    <t>O=C1Nc2c(ccc(OCCCCN3CCN(c4c(Cl)c(Cl)ccc4)CC3)c2)CC1</t>
  </si>
  <si>
    <t xml:space="preserve">  S:</t>
  </si>
  <si>
    <t>Atovaquone</t>
  </si>
  <si>
    <t>SVM</t>
  </si>
  <si>
    <t>O=C1c2ccccc2C(=O)C(O)=C1C1CCC(CC1)c1ccc([Cl])cc1</t>
  </si>
  <si>
    <t xml:space="preserve">  E:</t>
  </si>
  <si>
    <t>Atrazine</t>
  </si>
  <si>
    <t>RFR</t>
  </si>
  <si>
    <t>CCNc1nc(nc(n1)Cl)NC(C)C</t>
  </si>
  <si>
    <t xml:space="preserve">  V:</t>
  </si>
  <si>
    <t>Baclofen</t>
  </si>
  <si>
    <t>Other (specify)</t>
  </si>
  <si>
    <t>C1=CC(=CC=C1C(CC(O)=O)CN)Cl</t>
  </si>
  <si>
    <t>Barbital,Buta-</t>
  </si>
  <si>
    <t>CCC(C)C1(C(=O)NC(=O)NC1=O)CC</t>
  </si>
  <si>
    <t>Benzthiazide</t>
  </si>
  <si>
    <t>Training Data Source(s)- Any of the Refs. below?</t>
  </si>
  <si>
    <t>C1=C(Cl)C(=CC2=C1NC(=N[S]2(=O)=O)CSCC3=CC=CC=C3)[S](N)(=O)=O</t>
  </si>
  <si>
    <t>Bromazepam</t>
  </si>
  <si>
    <t>O=C1Nc2c(C(c3ncccc3)=NC1)cc(Br)cc2</t>
  </si>
  <si>
    <t>Carbendazim</t>
  </si>
  <si>
    <t>Candesartan_cilexetil</t>
  </si>
  <si>
    <t>CCOC1=NC2=CC=CC(=C2N1CC3=CC=C(C=C3)C4=CC=CC=C4C5=NNN=N5)C(=O)OC(C)OC(=O)OC6CCCCC6</t>
  </si>
  <si>
    <t>Cefmenoxime</t>
  </si>
  <si>
    <t>Carbamazepine</t>
  </si>
  <si>
    <t>C1=CC=CC3=C1N(C2=C(C=CC=C2)C=C3)C(N)=O</t>
  </si>
  <si>
    <t>Cholic_Acid,Deoxy-</t>
  </si>
  <si>
    <t>Carbazole</t>
  </si>
  <si>
    <t>C1=CC=CC2=C1[NH]C3=CC=CC=C23</t>
  </si>
  <si>
    <t>Corticosterone</t>
  </si>
  <si>
    <t>C1=CC=CC2=C1[NH]C(=N2)NC(OC)=O</t>
  </si>
  <si>
    <t>Daidzein</t>
  </si>
  <si>
    <t>Cn1c(nnn1)SCC2=C(N3[C@@H]([C@@H](C3=O)NC(=O)/C(=N\OC)/c4csc(n4)N)SC2)C(=O)O</t>
  </si>
  <si>
    <t>Diflorasone_Diacetate</t>
  </si>
  <si>
    <t>Cefprozil</t>
  </si>
  <si>
    <t>C/C=C/C1=C(N2[C@@H]([C@@H](C2=O)NC(=O)[C@@H](c3ccc(cc3)O)N)SC1)C(=O)O</t>
  </si>
  <si>
    <t>Difloxacin</t>
  </si>
  <si>
    <t>Celecoxib</t>
  </si>
  <si>
    <t>C2=C([N](C1=CC=C([S](N)(=O)=O)C=C1)N=C2C(F)(F)F)C3=CC=C(C=C3)C</t>
  </si>
  <si>
    <t>Diphenylamine</t>
  </si>
  <si>
    <t>Cephradine</t>
  </si>
  <si>
    <t>[C@H]13N(C(=O)[C@H]1NC([C@@H](C2=CCC=CC2)N)=O)C(=C(C)CS3)C(O)=O</t>
  </si>
  <si>
    <t>Eucalyptol</t>
  </si>
  <si>
    <t>Chlorpropamide</t>
  </si>
  <si>
    <t>O=S(=O)(NC(=O)NCCC)c1ccc(Cl)cc1</t>
  </si>
  <si>
    <t>Flumequine</t>
  </si>
  <si>
    <t>C[C@H](CCC(=O)O)[C@H]1CC[C@@H]2[C@@]1([C@H](C[C@H]3[C@H]2CC[C@H]4[C@@]3(CC[C@H](C4)O)C)O)C</t>
  </si>
  <si>
    <t>Ibrutinib</t>
  </si>
  <si>
    <t>Cilostazol</t>
  </si>
  <si>
    <t>C3=C(OCCCCC1=NN=N[N]1C2CCCCC2)C=CC4=C3CCC(N4)=O</t>
  </si>
  <si>
    <t>Resveratrol,trans-</t>
  </si>
  <si>
    <t>Cimetidine</t>
  </si>
  <si>
    <t>C1=NC(=C([NH]1)C)CSCCNC(NC#N)=NC</t>
  </si>
  <si>
    <t>Thioacetazone</t>
  </si>
  <si>
    <t>Ciprofloxacin</t>
  </si>
  <si>
    <t>C2=C(N1CCNCC1)C(=CC4=C2N(C3CC3)C=C(C(O)=O)C4=O)F</t>
  </si>
  <si>
    <t>Xanthine</t>
  </si>
  <si>
    <t>Cisapride</t>
  </si>
  <si>
    <t>O=C(c1c(OC)cc(N)c([Cl])c1)NC1C(OC)CN(CC1)CCCOc1ccc(F)cc1</t>
  </si>
  <si>
    <t>Curcumin</t>
  </si>
  <si>
    <t>[C@@H]23[C@H]([C@H]1[C@]([C@@H](C(CO)=O)CC1)(C)C[C@@H]2O)CCC4=CC(=O)CC[C@]34C</t>
  </si>
  <si>
    <t>Etoxadrol</t>
  </si>
  <si>
    <t>Cortisone_Acetate</t>
  </si>
  <si>
    <t>[C@]34([C@H]([C@H]2[C@@H]([C@@]1(C(=CC(=O)CC1)CC2)C)C(C3)=O)CC[C@@]4(C(COC(C)=O)=O)O)C</t>
  </si>
  <si>
    <t>Fentiazac</t>
  </si>
  <si>
    <t>Cyclosporine_A</t>
  </si>
  <si>
    <t>CCC1C(=O)N(CC(=O)N(C(C(=O)NC(C(=O)N(C(C(=O)NC(C(=O)NC(C(=O)N(C(C(=O)N(C(C(=O)N(C(C(=O)N(C(C(=O)N1)C(C(C)CC=CC)O)C)C(C)C)C)CC(C)C)C)CC(C)C)C)C)C)CC(C)C)C)C(C)C)CC(C)C)C)C</t>
  </si>
  <si>
    <t>c1cc(ccc1c2coc3cc(ccc3c2=O)O)O</t>
  </si>
  <si>
    <t>Desipramine</t>
  </si>
  <si>
    <t>CNCCCN1c2ccccc2CCc3c1cccc3</t>
  </si>
  <si>
    <t>Dexamethasone</t>
  </si>
  <si>
    <t>C[C@@H]1C[C@H]2[C@@H]3CCC4=CC(=O)C=C[C@@]4([C@]3([C@H](C[C@@]2([C@]1(C(=O)CO)O)C)O)F)C</t>
  </si>
  <si>
    <t>Diazoxide</t>
  </si>
  <si>
    <t>C1=C2C(=CC(=C1)Cl)[S](N=C(N2)C)(=O)=O</t>
  </si>
  <si>
    <t>Diclofenac</t>
  </si>
  <si>
    <t>C1=C(C(=CC=C1)CC(=O)O)NC2=C(C=CC=C2Cl)Cl</t>
  </si>
  <si>
    <t>C[C@H]1C[C@H]2[C@@H]3C[C@@H](C4=CC(=O)C=C[C@@]4([C@]3([C@H](C[C@@]2([C@]1(C(=O)COC(=O)C)OC(=O)C)C)O)F)C)F</t>
  </si>
  <si>
    <t>C2=C(N1CCN(C)CC1)C(=CC4=C2N(C3=CC=C(F)C=C3)C=C(C(O)=O)C4=O)F</t>
  </si>
  <si>
    <t>Diltiazem</t>
  </si>
  <si>
    <t>[C@@H]1([C@H](C(N(CCN(C)C)C2=C(S1)C=CC=C2)=O)OC(C)=O)C3=CC=C(OC)C=C3</t>
  </si>
  <si>
    <t>n(tr)=</t>
  </si>
  <si>
    <t>c1ccc(cc1)Nc2ccccc2</t>
  </si>
  <si>
    <t>DOPA,L-</t>
  </si>
  <si>
    <t>n(va/oob)=</t>
  </si>
  <si>
    <t>OC1=C(C=CC(=C1)C[C@H](N)C(=O)O)O</t>
  </si>
  <si>
    <t>Enalapril</t>
  </si>
  <si>
    <t>n(te)=</t>
  </si>
  <si>
    <t>[C@@H]2(N(C([C@@H](N[C@@H](CCC1=CC=CC=C1)C(OCC)=O)C)=O)CCC2)C(O)=O</t>
  </si>
  <si>
    <t>Estradiol,17α-</t>
  </si>
  <si>
    <t>C[C@]12CC[C@@H]3c4ccc(cc4CC[C@H]3[C@@H]1CC[C@H]2O)O</t>
  </si>
  <si>
    <t>Estrone</t>
  </si>
  <si>
    <t>Descriptors Used</t>
  </si>
  <si>
    <t>[C@H]34[C@H]2[C@@H](C1=C(C=C(O)C=C1)CC2)CC[C@@]3(C(=O)CC4)C</t>
  </si>
  <si>
    <t>Ethoxzolamide</t>
  </si>
  <si>
    <t>E (excess molar refraction, Abraham solvation paramters)</t>
  </si>
  <si>
    <t>C1=C(OCC)C=CC2=C1SC(=N2)[S](N)(=O)=O</t>
  </si>
  <si>
    <t>Etoposide</t>
  </si>
  <si>
    <t>clogP</t>
  </si>
  <si>
    <t>[C@H]1(C5=C([C@H](C2[C@@H]1C(OC2)=O)O[C@@H]3O[C@H]4[C@H]([C@@H]([C@H]3O)O)O[C@@H](OC4)C)C=C6C(=C5)OCO6)C7=CC(=C(C(=C7)OC)O)OC</t>
  </si>
  <si>
    <t>CC1(C2CCC(O1)(CC2)C)C</t>
  </si>
  <si>
    <t>Fenbufen</t>
  </si>
  <si>
    <t>O=C(O)CCC(=O)c1ccc(cc1)c1ccccc1</t>
  </si>
  <si>
    <t>O=C1C(C(O)=O)=CN2C(C)CCc3c2c1cc(F)c3</t>
  </si>
  <si>
    <t>Flurbiprofen</t>
  </si>
  <si>
    <t>O=C(O)C(C)c1cc(F)c(cc1)c1ccccc1</t>
  </si>
  <si>
    <t>Folic_Acid</t>
  </si>
  <si>
    <t>[C@H](NC(C3=CC=C(NCC1=NC2=C(N=C1)NC(=NC2=O)N)C=C3)=O)(CCC(O)=O)C(O)=O</t>
  </si>
  <si>
    <t>Ganciclovir</t>
  </si>
  <si>
    <t>C1=NC2=C([N]1COC(CO)CO)NC(=NC2=O)N</t>
  </si>
  <si>
    <t>Glipizide</t>
  </si>
  <si>
    <t>C1=CC(=CC=C1[S](NC(NC2CCCCC2)=O)(=O)=O)CCNC(C3=NC=C(N=C3)C)=O</t>
  </si>
  <si>
    <t>Griseofulvin</t>
  </si>
  <si>
    <t>C[C@@H]1CC(=O)C=C([C@]12C(=O)c3c(cc(c(c3O2)Cl)OC)OC)OC</t>
  </si>
  <si>
    <t>Haloperidol</t>
  </si>
  <si>
    <t>O=C(c1ccc(F)cc1)CCCN1CCC(CC1)(O)c1ccc([Cl])cc1</t>
  </si>
  <si>
    <t>C=CC(=O)N1CCC[C@H](C1)n2c3c(c(n2)c4ccc(cc4)Oc5ccccc5)c(ncn3)N</t>
  </si>
  <si>
    <t>Indinavir</t>
  </si>
  <si>
    <t>O[C@@H]1(Cc2ccccc2[C@@H]1(NC(=O)[C@H](Cc1ccccc1)(C[C@@H](CN1[C@@H](CN(CC1)Cc1cnccc1)(C(=O)NC(C)(C)C))(O))))</t>
  </si>
  <si>
    <t>Indomethacin</t>
  </si>
  <si>
    <t>C1=CC(=CC2=C1[N](C(=C2CC(O)=O)C)C(C3=CC=C(Cl)C=C3)=O)OC</t>
  </si>
  <si>
    <t>Indoprofen</t>
  </si>
  <si>
    <t>C1=CC(=CC=C1N2C(C3=C(C2)C=CC=C3)=O)C(C(O)=O)C</t>
  </si>
  <si>
    <t>Ketoconazole</t>
  </si>
  <si>
    <t>[C@]4(C1=CC=C(C=C1Cl)Cl)(O[C@@H](COC3=CC=C(N2CCN(C(C)=O)CC2)C=C3)CO4)C[N]5C=CN=C5</t>
  </si>
  <si>
    <t>Maprotiline</t>
  </si>
  <si>
    <t>CNCCCC12c3c(cccc3)C(CC1)c3c2cccc3</t>
  </si>
  <si>
    <t>Metolazone</t>
  </si>
  <si>
    <t>CC2Nc1cc(Cl)c(cc1C(=O)N2c3ccccc3C)S(N)(=O)=O</t>
  </si>
  <si>
    <t>Nabumetone</t>
  </si>
  <si>
    <t>C(=O)(CCc1cc2c(cc(OC)cc2)cc1)C</t>
  </si>
  <si>
    <t>Naproxen</t>
  </si>
  <si>
    <t>C1=C2C(=CC=C1C(C(O)=O)C)C=C(OC)C=C2</t>
  </si>
  <si>
    <t>Nelfinavir</t>
  </si>
  <si>
    <t>Cc1c(cccc1O)C(=O)N[C@H]([C@@H](CN1[C@@H](C[C@]2([C@@](C1)(CCCC2)([H]))([H]))(C(=O)NC(C)(C)C))(O))(CSc1ccccc1)</t>
  </si>
  <si>
    <t>Nevirapine</t>
  </si>
  <si>
    <t>C4=NC1=C(NC(C3=C(N1C2CC2)N=CC=C3)=O)C(=C4)C</t>
  </si>
  <si>
    <t>Nifedipine</t>
  </si>
  <si>
    <t>C1=CC=CC(=C1C2C(=C(NC(=C2C(OC)=O)C)C)C(OC)=O)[N+]([O-])=O</t>
  </si>
  <si>
    <t>Nimesulide</t>
  </si>
  <si>
    <t>C1=C([N+](=O)[O-])C=CC(=C1OC2=CC=CC=C2)N[S](C)(=O)=O</t>
  </si>
  <si>
    <t>Norfloxacin</t>
  </si>
  <si>
    <t>C1=C3C(=CC(=C1N2CCNCC2)F)C(C(=CN3CC)C(O)=O)=O</t>
  </si>
  <si>
    <t>Nortriptyline</t>
  </si>
  <si>
    <t>C1=CC=CC2=C1C(C3=C(CC2)C=CC=C3)=CCCNC</t>
  </si>
  <si>
    <t>Noscapine</t>
  </si>
  <si>
    <t>[C@@H]3(C1=C(C=C2C(=C1OC)OCO2)CCN3C)[C@@H]5C4=C(C(=C(OC)C=C4)OC)C(O5)=O</t>
  </si>
  <si>
    <t>Ofloxacin</t>
  </si>
  <si>
    <t>CC1COc2c3n1cc(c(=O)c3cc(c2N4CCN(CC4)C)F)C(=O)O</t>
  </si>
  <si>
    <t>Oxazepam</t>
  </si>
  <si>
    <t>C1=C(Cl)C=CC2=C1C(=NC(O)C(N2)=O)C3=CC=CC=C3</t>
  </si>
  <si>
    <t>Oxyphenbutazone</t>
  </si>
  <si>
    <t>C3=C(N1C(=O)C(CCCC)C(N1C2=CC=CC=C2)=O)C=CC(=C3)O</t>
  </si>
  <si>
    <t>Papaverine</t>
  </si>
  <si>
    <t>C1=C(OC)C(=CC2=CC=NC(=C12)CC3=CC=C(C(=C3)OC)OC)OC</t>
  </si>
  <si>
    <t>Perphenazine</t>
  </si>
  <si>
    <t>C1=C(Cl)C=CC3=C1N(C2=C(C=CC=C2)S3)CCCN4CCN(CCO)CC4</t>
  </si>
  <si>
    <t>Phenacetin</t>
  </si>
  <si>
    <t>C1=CC(=CC=C1NC(C)=O)OCC</t>
  </si>
  <si>
    <t>Phenazopyridine</t>
  </si>
  <si>
    <t>C1=C(C(=NC(=C1)N)N)N=NC2=CC=CC=C2</t>
  </si>
  <si>
    <t>Pindolol</t>
  </si>
  <si>
    <t>C1=C[NH]C2=C1C(=CC=C2)OCC(CNC(C)C)O</t>
  </si>
  <si>
    <t>Pravastatin</t>
  </si>
  <si>
    <t>C(=O)(OC1C2C(C=CC(C2CCC(O)CC(O)CC(=O)O)C)=CC(O)C1)C(CC)C</t>
  </si>
  <si>
    <t>Prednisolone,Methyl-</t>
  </si>
  <si>
    <t>C(=O)(C1(C2(C(C3C(C4(C(=CC(=O)C=C4)C(C3)C)C)C(O)C2)CC1)C)O)CO</t>
  </si>
  <si>
    <t>Primidone</t>
  </si>
  <si>
    <t>C1=CC=CC=C1C2(C(NCNC2=O)=O)CC</t>
  </si>
  <si>
    <t>Probenecid</t>
  </si>
  <si>
    <t>C1=CC(=CC=C1[S](N(CCC)CCC)(=O)=O)C(O)=O</t>
  </si>
  <si>
    <t>Promazine</t>
  </si>
  <si>
    <t>C1=CC=CC3=C1N(C2=C(C=CC=C2)S3)CCCN(C)C</t>
  </si>
  <si>
    <t>Promethazine</t>
  </si>
  <si>
    <t>C1=CC=CC2=C1N(C3=C(S2)C=CC=C3)CC(C)N(C)C</t>
  </si>
  <si>
    <t>Repaglinide</t>
  </si>
  <si>
    <t>[C@H](C2=C(N1CCCCC1)C=CC=C2)(NC(CC3=CC=C(C(=C3)OCC)C(O)=O)=O)CC(C)C</t>
  </si>
  <si>
    <t>c1cc(ccc1/C=C/c2cc(cc(c2)O)O)O</t>
  </si>
  <si>
    <t>Ritonavir</t>
  </si>
  <si>
    <t>[C@H](CC1=CC=CC=C1)(C[C@@H]([C@H](CC2=CC=CC=C2)NC(OCC3=CN=CS3)=O)O)NC([C@@H](NC(N(CC4=CSC(=N4)C(C)C)C)=O)C(C)C)=O</t>
  </si>
  <si>
    <t>Rofecoxib</t>
  </si>
  <si>
    <t>C1=CC(=CC=C1C3=C(C2=CC=CC=C2)C(=O)OC3)[S](C)(=O)=O</t>
  </si>
  <si>
    <t>Spironolactone</t>
  </si>
  <si>
    <t>[C@@]45([C@@]3([C@H]([C@H]2[C@@H]([C@@]1(C(=CC(=O)CC1)C[C@H]2SC(C)=O)C)CC3)CC4)C)OC(=O)CC5</t>
  </si>
  <si>
    <t>Strychnine</t>
  </si>
  <si>
    <t>c1ccc2c(c1)[C@]34CCN5[C@H]3C[C@@H]6[C@@H]7[C@@H]4N2C(=O)C[C@@H]7OCC=C6C5</t>
  </si>
  <si>
    <t>Sulfasalazine</t>
  </si>
  <si>
    <t>C2=C([S](=O)(=O)NC1=CC=CC=N1)C=CC(=C2)N\N=C3/C=C(C(=O)C=C3)C(O)=O</t>
  </si>
  <si>
    <t>Sulfathiazole</t>
  </si>
  <si>
    <t>C2=CN=C(N[S](=O)(=O)C1=CC=C(C=C1)N)S2</t>
  </si>
  <si>
    <t>Sulfisomidine</t>
  </si>
  <si>
    <t>Cc1cc(nc(n1)C)NS(=O)(=O)c2ccc(cc2)N</t>
  </si>
  <si>
    <t>Sulfisoxazole</t>
  </si>
  <si>
    <t>O=S(=O)(c1ccc(cc1)N)Nc2c(c(no2)C)C</t>
  </si>
  <si>
    <t>Sulindac</t>
  </si>
  <si>
    <t>C1=CC(=CC2=C1C(/C(=C2CC(O)=O)C)=C\C3=CC=C([S](C)=O)C=C3)F</t>
  </si>
  <si>
    <t>Tetracaine</t>
  </si>
  <si>
    <t>CCCCNc1ccc(cc1)C(=O)OCCN(C)C</t>
  </si>
  <si>
    <t>Tetracycline</t>
  </si>
  <si>
    <t>[C@@H]23C[C@@H]1[C@](O)(C4=C(C(=C1C(=O)[C@]2(O)C(=O)\C(C(=O)[C@H]3N(C)C)=C(/O)N)O)C(=CC=C4)O)C</t>
  </si>
  <si>
    <t>Thiacetazone</t>
  </si>
  <si>
    <t>C1=C(C=CC(=C1)NC(=O)C)/C=N/NC(=S)N</t>
  </si>
  <si>
    <t>Triamcinolone</t>
  </si>
  <si>
    <t>[C@]23([C@H]([C@H]1[C@]([C@](C(CO)=O)(O)[C@@H](C1)O)(C)C[C@@H]2O)CCC4=CC(=O)C=C[C@]34C)F</t>
  </si>
  <si>
    <t>Triamterene</t>
  </si>
  <si>
    <t>C3=C(C1=C(N=C2C(=N1)C(=NC(=N2)N)N)N)C=CC=C3</t>
  </si>
  <si>
    <t>Warfarin</t>
  </si>
  <si>
    <t>C3=C(C(C1=C(OC2=C(C1=O)C=CC=C2)O)CC(=O)C)C=CC=C3</t>
  </si>
  <si>
    <t>N1C(C2=C(NC1=O)N=C[NH]2)=O</t>
  </si>
  <si>
    <t>avg =</t>
  </si>
  <si>
    <t>GSE</t>
  </si>
  <si>
    <t>min =</t>
  </si>
  <si>
    <t>RMSE = 1.12</t>
  </si>
  <si>
    <t>max =</t>
  </si>
  <si>
    <r>
      <t>INTRINSIC SOLUBILITY (MOLARITY) EXTERNAL TEST SET 2 (</t>
    </r>
    <r>
      <rPr>
        <b/>
        <i/>
        <sz val="22"/>
        <rFont val="Castellar"/>
        <family val="1"/>
      </rPr>
      <t>HIGH</t>
    </r>
    <r>
      <rPr>
        <b/>
        <sz val="20"/>
        <rFont val="Calibri"/>
        <family val="2"/>
        <scheme val="minor"/>
      </rPr>
      <t xml:space="preserve"> interlab SD)</t>
    </r>
  </si>
  <si>
    <r>
      <t xml:space="preserve">PREDICTED </t>
    </r>
    <r>
      <rPr>
        <b/>
        <i/>
        <sz val="9"/>
        <rFont val="Calibri"/>
        <family val="2"/>
      </rPr>
      <t xml:space="preserve"> log S</t>
    </r>
    <r>
      <rPr>
        <b/>
        <i/>
        <vertAlign val="subscript"/>
        <sz val="9"/>
        <rFont val="Calibri"/>
        <family val="2"/>
      </rPr>
      <t>0</t>
    </r>
    <r>
      <rPr>
        <b/>
        <vertAlign val="subscript"/>
        <sz val="9"/>
        <rFont val="Calibri"/>
        <family val="2"/>
      </rPr>
      <t xml:space="preserve"> </t>
    </r>
    <r>
      <rPr>
        <b/>
        <sz val="9"/>
        <rFont val="Calibri"/>
        <family val="2"/>
      </rPr>
      <t xml:space="preserve">(25 `C) </t>
    </r>
  </si>
  <si>
    <t>Amantadine</t>
  </si>
  <si>
    <t>C12(N)CC3CC(C1)CC(C2)C3</t>
  </si>
  <si>
    <t>Amiodarone</t>
  </si>
  <si>
    <t>C1=CC=CC2=C1C(=C(O2)CCCC)C(=O)C3=CC(=C(OCCN(CC)CC)C(=C3)I)I</t>
  </si>
  <si>
    <t>Amodiaquine</t>
  </si>
  <si>
    <t>C1=CC(=CC2=NC=CC(=C12)NC3=CC=C(C(=C3)CN(CC)CC)O)Cl</t>
  </si>
  <si>
    <t>Bisoprolol</t>
  </si>
  <si>
    <t>CC(C)NCC(COc1ccc(cc1)COCCOC(C)C)O</t>
  </si>
  <si>
    <t>Bromocriptine</t>
  </si>
  <si>
    <t>[C@@]56(N(C([C@@](NC([C@@H]4C=C3C1=CC=CC2=C1C(=C(Br)[NH]2)C[C@H]3N(C4)C)=O)(C(C)C)O5)=O)[C@H](C(=O)N7[C@H]6CCC7)CC(C)C)O</t>
  </si>
  <si>
    <t>Buprenorphine</t>
  </si>
  <si>
    <t>O[C@]([C@@H]1([C@]2([C@H]3([C@]45([C@@]([C@H]([N@@](CC4)(CC4CC4))(Cc4c5c(O3)c(O)cc4))(C1)(CC2))))(OC)))(C(C)(C)C)(C)</t>
  </si>
  <si>
    <t>Chlorprothixene</t>
  </si>
  <si>
    <t>C1=C(Cl)C=CC3=C1\C(C2=C(C=CC=C2)S3)=C/CCN(C)C</t>
  </si>
  <si>
    <t>Clofazimine</t>
  </si>
  <si>
    <t>C1=CC=CC3=C1N(C2=CC(=NC(C)C)C(=CC2=N3)NC4=CC=C(Cl)C=C4)C5=CC=C(Cl)C=C5</t>
  </si>
  <si>
    <t>Oc1ccc(cc1OC)/C=C/C(=O)CC(=O)/C=C/c2ccc(O)c(OC)c2</t>
  </si>
  <si>
    <t>Danazol</t>
  </si>
  <si>
    <t>Training Data Source(s) - Any of the Refs. below?</t>
  </si>
  <si>
    <t>[C@@H]23[C@H]([C@H]1[C@]([C@@](C#C)(O)CC1)(C)CC2)CCC4=CC5=C(C[C@]34C)C=NO5</t>
  </si>
  <si>
    <t>Didanosine</t>
  </si>
  <si>
    <t>O=C1c2c(N=CN1)[n@@](cn2)([C@@H]1(O[C@H](CO)(CC1)))</t>
  </si>
  <si>
    <t>Diflunisal</t>
  </si>
  <si>
    <t>C2=C(C1=CC=C(C(=C1)C(O)=O)O)C(=CC(=C2)F)F</t>
  </si>
  <si>
    <t>Diphenhydramine</t>
  </si>
  <si>
    <t>CN(C)CCOC(c1ccccc1)c2ccccc2</t>
  </si>
  <si>
    <t>CC[C@@]1(OC[C@@H](O1)[C@@H]2CCCCN2)c3ccccc3</t>
  </si>
  <si>
    <t>Ezetimibe</t>
  </si>
  <si>
    <t>O[C@@H](CC[C@@H]1([C@H](N(C1=O)c1ccc(F)cc1)(c1ccc(O)cc1)))(c1ccc(F)cc1)</t>
  </si>
  <si>
    <t>c1ccc(cc1)c2nc(c(s2)CC(=O)O)c3ccc(cc3)Cl</t>
  </si>
  <si>
    <t>Iopanoic_Acid</t>
  </si>
  <si>
    <t>C1=C(C(=C(C(=C1I)CC(C(O)=O)CC)I)N)I</t>
  </si>
  <si>
    <t>Itraconazole</t>
  </si>
  <si>
    <t>[C@]6(C1=C(C=C(Cl)C=C1)Cl)(O[C@@H](COC2=CC=C(C=C2)N5CCN(C3=CC=C(C=C3)N4C(N(C(CC)C)N=C4)=O)CC5)CO6)C[N]7C=NC=N7</t>
  </si>
  <si>
    <t>Miconazole</t>
  </si>
  <si>
    <t>C1=C(C=CC(=C1Cl)COC(C[N]2C=NC=C2)C3=C(C=C(C=C3)Cl)Cl)Cl</t>
  </si>
  <si>
    <t>Mifepristone</t>
  </si>
  <si>
    <t>[C@H]23C(=C1C(=CC(=O)CC1)CC2)[C@H](C[C@]4([C@H]3CC[C@]4(C#CC)O)C)C5=CC=C(C=C5)N(C)C</t>
  </si>
  <si>
    <t>Omeprazole</t>
  </si>
  <si>
    <t>Cc1cnc(c(c1OC)C)CS(=O)c2[nH]c3ccc(cc3n2)OC</t>
  </si>
  <si>
    <t>Pioglitazone</t>
  </si>
  <si>
    <t>CCc1ccc(nc1)CCOc2ccc(cc2)CC3C(=O)NC(=O)S3</t>
  </si>
  <si>
    <t>Procaine</t>
  </si>
  <si>
    <t>C1=C(C(OCCN(CC)CC)=O)C=CC(=C1)N</t>
  </si>
  <si>
    <t>Quinine</t>
  </si>
  <si>
    <t>[C@@H]2(N1C[C@H](C=C)[C@H](CC1)C2)[C@@H](C3=CC=NC4=C3C=C(C=C4)OC)O</t>
  </si>
  <si>
    <t>Raloxifene</t>
  </si>
  <si>
    <t>C(=O)(c1c(-c2ccc(O)cc2)sc3c1ccc(O)c3)c4ccc(OCCN5CCCCC5)cc4</t>
  </si>
  <si>
    <t>Rifabutin</t>
  </si>
  <si>
    <t>C(=O)(OC1C(C(OC)C=COC2(C(=O)c3c4c(C(=O)C(=C5C4=NC6(N5)CCN(CC(C)C)CC6)NC(=O)C(=CC=CC(C(O)C(C(O)C1C)C)C)C)c(c(c3O2)C)O)C)C)C</t>
  </si>
  <si>
    <t>Saquinavir</t>
  </si>
  <si>
    <t>[C@@H]15[C@@H](CN([C@@H](C1)C(=O)NC(C)(C)C)C[C@@H](O)[C@@H](NC(=O)[C@@H](NC(=O)C2=NC3=C(C=C2)C=CC=C3)CC(=O)N)CC4=CC=CC=C4)CCCC5</t>
  </si>
  <si>
    <t>Sulfadimethoxine</t>
  </si>
  <si>
    <t>C1=C(N=C(N=C1N[S](C2=CC=C(N)C=C2)(=O)=O)OC)OC</t>
  </si>
  <si>
    <t>Tamoxifen</t>
  </si>
  <si>
    <t>C1=CC(=CC=C1\C(=C(C2=CC=CC=C2)\CC)C3=CC=CC=C3)OCCN(C)C</t>
  </si>
  <si>
    <t>Telmisartan</t>
  </si>
  <si>
    <t>CCCc1nc2c(cc(cc2n1Cc3ccc(cc3)c4ccccc4C(=O)O)c5nc6ccccc6n5C)C</t>
  </si>
  <si>
    <t>Terfenadine</t>
  </si>
  <si>
    <t>C1=CC=CC=C1C(C3CCN(CCCC(C2=CC=C(C(C)(C)C)C=C2)O)CC3)(C4=CC=CC=C4)O</t>
  </si>
  <si>
    <t>Thiabendazole</t>
  </si>
  <si>
    <t>C3=CC1=C([NH]C(=N1)C2=CSC=N2)C=C3</t>
  </si>
  <si>
    <t>RMSE = 1.19</t>
  </si>
  <si>
    <r>
      <t xml:space="preserve">NOTE: three underlined melting points (in red) were calculated by open-source program: </t>
    </r>
    <r>
      <rPr>
        <u/>
        <sz val="11"/>
        <color rgb="FF0070C0"/>
        <rFont val="Calibri"/>
        <family val="2"/>
        <scheme val="minor"/>
      </rPr>
      <t xml:space="preserve">www.qsardb.org/repository/predictor/10967/104?model=rf </t>
    </r>
  </si>
  <si>
    <t>Instruction: (1) Press 'Calculate descriptors'; (2) Enter SMILES into edit box; (3) Press 'Calculate' (takes ~30 sec); (4) Scroll down to 'mpC='</t>
  </si>
  <si>
    <t>RMSE = prediction root-mean-square error; MLR = multiple linear regression; PLS = partial least squares; PCR = principal components regression; ANN = artificial neural network; kNN= k nearest neighbor; SVM = support vector machine; RFR = random forest regression</t>
  </si>
  <si>
    <r>
      <t xml:space="preserve">n(tr) = number of molecules in the </t>
    </r>
    <r>
      <rPr>
        <u/>
        <sz val="11"/>
        <color theme="1"/>
        <rFont val="Calibri"/>
        <family val="2"/>
        <scheme val="minor"/>
      </rPr>
      <t>training</t>
    </r>
    <r>
      <rPr>
        <sz val="11"/>
        <color theme="1"/>
        <rFont val="Calibri"/>
        <family val="2"/>
        <scheme val="minor"/>
      </rPr>
      <t xml:space="preserve"> set;  n(va) = number in the </t>
    </r>
    <r>
      <rPr>
        <u/>
        <sz val="11"/>
        <color theme="1"/>
        <rFont val="Calibri"/>
        <family val="2"/>
        <scheme val="minor"/>
      </rPr>
      <t>validation</t>
    </r>
    <r>
      <rPr>
        <sz val="11"/>
        <color theme="1"/>
        <rFont val="Calibri"/>
        <family val="2"/>
        <scheme val="minor"/>
      </rPr>
      <t xml:space="preserve"> set; n(oob) = number in the RFR </t>
    </r>
    <r>
      <rPr>
        <u/>
        <sz val="11"/>
        <color theme="1"/>
        <rFont val="Calibri"/>
        <family val="2"/>
        <scheme val="minor"/>
      </rPr>
      <t>out-of-bag</t>
    </r>
    <r>
      <rPr>
        <sz val="11"/>
        <color theme="1"/>
        <rFont val="Calibri"/>
        <family val="2"/>
        <scheme val="minor"/>
      </rPr>
      <t xml:space="preserve"> validation set; n(te) = number in the external </t>
    </r>
    <r>
      <rPr>
        <u/>
        <sz val="11"/>
        <color theme="1"/>
        <rFont val="Calibri"/>
        <family val="2"/>
        <scheme val="minor"/>
      </rPr>
      <t>test</t>
    </r>
    <r>
      <rPr>
        <sz val="11"/>
        <color theme="1"/>
        <rFont val="Calibri"/>
        <family val="2"/>
        <scheme val="minor"/>
      </rPr>
      <t xml:space="preserve"> set.</t>
    </r>
  </si>
  <si>
    <t>Possible Training Data Source References</t>
  </si>
  <si>
    <r>
      <t xml:space="preserve">Note: </t>
    </r>
    <r>
      <rPr>
        <b/>
        <u/>
        <sz val="12"/>
        <rFont val="Calibri"/>
        <family val="2"/>
        <scheme val="minor"/>
      </rPr>
      <t xml:space="preserve">underlined </t>
    </r>
    <r>
      <rPr>
        <b/>
        <sz val="12"/>
        <rFont val="Calibri"/>
        <family val="2"/>
        <scheme val="minor"/>
      </rPr>
      <t xml:space="preserve">references mainly contain compilations of solubility values in water, </t>
    </r>
    <r>
      <rPr>
        <b/>
        <i/>
        <sz val="12"/>
        <rFont val="Calibri"/>
        <family val="2"/>
        <scheme val="minor"/>
      </rPr>
      <t>S</t>
    </r>
    <r>
      <rPr>
        <b/>
        <i/>
        <vertAlign val="subscript"/>
        <sz val="12"/>
        <rFont val="Calibri"/>
        <family val="2"/>
        <scheme val="minor"/>
      </rPr>
      <t>w</t>
    </r>
    <r>
      <rPr>
        <b/>
        <sz val="12"/>
        <rFont val="Calibri"/>
        <family val="2"/>
        <scheme val="minor"/>
      </rPr>
      <t xml:space="preserve">,which is not always the same as intrinsic solubility values, </t>
    </r>
    <r>
      <rPr>
        <b/>
        <i/>
        <sz val="12"/>
        <rFont val="Calibri"/>
        <family val="2"/>
        <scheme val="minor"/>
      </rPr>
      <t>S</t>
    </r>
    <r>
      <rPr>
        <b/>
        <i/>
        <vertAlign val="subscript"/>
        <sz val="12"/>
        <rFont val="Calibri"/>
        <family val="2"/>
        <scheme val="minor"/>
      </rPr>
      <t>0</t>
    </r>
    <r>
      <rPr>
        <b/>
        <sz val="12"/>
        <rFont val="Calibri"/>
        <family val="2"/>
        <scheme val="minor"/>
      </rPr>
      <t xml:space="preserve">.  </t>
    </r>
  </si>
  <si>
    <r>
      <t xml:space="preserve">The other references contain mostly </t>
    </r>
    <r>
      <rPr>
        <b/>
        <i/>
        <sz val="12"/>
        <rFont val="Calibri"/>
        <family val="2"/>
        <scheme val="minor"/>
      </rPr>
      <t>druglike</t>
    </r>
    <r>
      <rPr>
        <b/>
        <sz val="12"/>
        <rFont val="Calibri"/>
        <family val="2"/>
        <scheme val="minor"/>
      </rPr>
      <t xml:space="preserve"> molecules.</t>
    </r>
  </si>
  <si>
    <r>
      <t xml:space="preserve">[1] Yalkowsky SH, Dannenfelser RM. </t>
    </r>
    <r>
      <rPr>
        <b/>
        <u/>
        <sz val="11"/>
        <rFont val="Calibri"/>
        <family val="2"/>
        <scheme val="minor"/>
      </rPr>
      <t>1992.</t>
    </r>
    <r>
      <rPr>
        <u/>
        <sz val="11"/>
        <rFont val="Calibri"/>
        <family val="2"/>
        <scheme val="minor"/>
      </rPr>
      <t xml:space="preserve"> Aquasol Database of Aqueous Solubility, Version 5. College of Pharmacy, Univ. of Ariz, Tucson, AZ.</t>
    </r>
  </si>
  <si>
    <r>
      <t xml:space="preserve">[2] Howard P, Meylan W. PHYSPROP DATABASE. Syracuse Research Corp.,  Environmental Science Center,  N. Syracuse, NY, Sept. </t>
    </r>
    <r>
      <rPr>
        <b/>
        <u/>
        <sz val="11"/>
        <rFont val="Calibri"/>
        <family val="2"/>
        <scheme val="minor"/>
      </rPr>
      <t>1999.</t>
    </r>
  </si>
  <si>
    <r>
      <t xml:space="preserve">[3] Huuskonen J. Estimation of aqueous Solubility for a diverse set of organic compounds based on molecular topology. J. Chem. Inf. Comput. Sci. </t>
    </r>
    <r>
      <rPr>
        <b/>
        <u/>
        <sz val="11"/>
        <rFont val="Calibri"/>
        <family val="2"/>
        <scheme val="minor"/>
      </rPr>
      <t>2000,</t>
    </r>
    <r>
      <rPr>
        <u/>
        <sz val="11"/>
        <rFont val="Calibri"/>
        <family val="2"/>
        <scheme val="minor"/>
      </rPr>
      <t xml:space="preserve"> 40, 773-777.</t>
    </r>
  </si>
  <si>
    <r>
      <t>[4] Avdeef A, Berger CM, Brownell C. pH-metric solubility. 2.  Correlation between the acid-base titration and the saturation shake-flask solubility-pH methods. Pharm. Res. 17</t>
    </r>
    <r>
      <rPr>
        <b/>
        <sz val="11"/>
        <rFont val="Calibri"/>
        <family val="2"/>
        <scheme val="minor"/>
      </rPr>
      <t xml:space="preserve"> (2000)</t>
    </r>
    <r>
      <rPr>
        <sz val="11"/>
        <rFont val="Calibri"/>
        <family val="2"/>
        <scheme val="minor"/>
      </rPr>
      <t xml:space="preserve"> 85-89.</t>
    </r>
  </si>
  <si>
    <r>
      <t xml:space="preserve">[5] Avdeef A, Berger CM. pH-metric solubility. 3. Dissolution titration template method for solubility determination. Eur. J. Pharm. Sci. 14 </t>
    </r>
    <r>
      <rPr>
        <b/>
        <sz val="11"/>
        <rFont val="Calibri"/>
        <family val="2"/>
        <scheme val="minor"/>
      </rPr>
      <t>(2001)</t>
    </r>
    <r>
      <rPr>
        <sz val="11"/>
        <rFont val="Calibri"/>
        <family val="2"/>
        <scheme val="minor"/>
      </rPr>
      <t xml:space="preserve"> 281-291.</t>
    </r>
  </si>
  <si>
    <r>
      <t xml:space="preserve">[6] Bergstrom, C. A.; Norinder, U.; Luthman, K.; Artursson, P. Experimental and computational screening models for prediction of aqueous drug solubility. Pharm. Res. </t>
    </r>
    <r>
      <rPr>
        <b/>
        <sz val="11"/>
        <rFont val="Calibri"/>
        <family val="2"/>
        <scheme val="minor"/>
      </rPr>
      <t>2002,</t>
    </r>
    <r>
      <rPr>
        <sz val="11"/>
        <rFont val="Calibri"/>
        <family val="2"/>
        <scheme val="minor"/>
      </rPr>
      <t xml:space="preserve"> 19, 182-188.</t>
    </r>
  </si>
  <si>
    <r>
      <t xml:space="preserve">[7] Yalkowsky SH, He Y, Jain P. Handbook of Aqueous Solubility Data. CRC Press - Taylor &amp; Francis Group: Boca Raton, FL, </t>
    </r>
    <r>
      <rPr>
        <b/>
        <u/>
        <sz val="11"/>
        <rFont val="Calibri"/>
        <family val="2"/>
        <scheme val="minor"/>
      </rPr>
      <t>2003.</t>
    </r>
  </si>
  <si>
    <r>
      <t xml:space="preserve">[8] Bergstrom, C. A.; Wassvik, C. M.; Norinder, U.; Luthman, K.; Artursson, P. Global and local computational models for aqueous solubility prediction of druglike molecules. J. Chem. Inf. Comput. Sci. </t>
    </r>
    <r>
      <rPr>
        <b/>
        <sz val="11"/>
        <rFont val="Calibri"/>
        <family val="2"/>
        <scheme val="minor"/>
      </rPr>
      <t>2004,</t>
    </r>
    <r>
      <rPr>
        <sz val="11"/>
        <rFont val="Calibri"/>
        <family val="2"/>
        <scheme val="minor"/>
      </rPr>
      <t xml:space="preserve"> 44, 1477-1488.</t>
    </r>
  </si>
  <si>
    <r>
      <t xml:space="preserve">[9] Bergström CAS, Luthman K, Artursson P. Accuracy of calculated pH-dependent aqueous drug solubility.  Eur. J. Pharm. Sci. </t>
    </r>
    <r>
      <rPr>
        <b/>
        <sz val="11"/>
        <rFont val="Calibri"/>
        <family val="2"/>
        <scheme val="minor"/>
      </rPr>
      <t>2004,</t>
    </r>
    <r>
      <rPr>
        <sz val="11"/>
        <rFont val="Calibri"/>
        <family val="2"/>
        <scheme val="minor"/>
      </rPr>
      <t xml:space="preserve"> 22, 387-398.</t>
    </r>
  </si>
  <si>
    <r>
      <t xml:space="preserve">[10] Rytting E, Lentz KA, Chen XQ, Qian F, Venkatesh S. A quantitative structure-property relationship for predicting drug solubility in PEG400/water cosolvent systems. Pharm Res. </t>
    </r>
    <r>
      <rPr>
        <b/>
        <u/>
        <sz val="11"/>
        <rFont val="Calibri"/>
        <family val="2"/>
        <scheme val="minor"/>
      </rPr>
      <t>2004;</t>
    </r>
    <r>
      <rPr>
        <u/>
        <sz val="11"/>
        <rFont val="Calibri"/>
        <family val="2"/>
        <scheme val="minor"/>
      </rPr>
      <t xml:space="preserve"> 21:237-244.</t>
    </r>
  </si>
  <si>
    <r>
      <t xml:space="preserve">[11] Rytting E, Lentz KA, Chen XQ, Qian F, Venkatesh S. Aqueous and cosolvent solubility data for drug-like organic compounds.  AAPS J. </t>
    </r>
    <r>
      <rPr>
        <b/>
        <u/>
        <sz val="11"/>
        <rFont val="Calibri"/>
        <family val="2"/>
        <scheme val="minor"/>
      </rPr>
      <t>2005,</t>
    </r>
    <r>
      <rPr>
        <u/>
        <sz val="11"/>
        <rFont val="Calibri"/>
        <family val="2"/>
        <scheme val="minor"/>
      </rPr>
      <t xml:space="preserve"> 7(1) Article 10, E78-E105.</t>
    </r>
  </si>
  <si>
    <r>
      <t xml:space="preserve">[12] Sköld C, Winiwarter S, Wernevik J, Bergström F, Engström L, Allen R, Box K, Comer J, Mole J, Hallberg A, Lennernäs H, Lundstedt T, Ungell A-L, Karlén A. Presentation of a structurally diverse and commercially available drug data set for correlation and benchmarking studies.  J. Med. Chem. </t>
    </r>
    <r>
      <rPr>
        <b/>
        <sz val="11"/>
        <rFont val="Calibri"/>
        <family val="2"/>
        <scheme val="minor"/>
      </rPr>
      <t>2006,</t>
    </r>
    <r>
      <rPr>
        <sz val="11"/>
        <rFont val="Calibri"/>
        <family val="2"/>
        <scheme val="minor"/>
      </rPr>
      <t xml:space="preserve"> 49, 6660-6671.</t>
    </r>
  </si>
  <si>
    <r>
      <t xml:space="preserve">[13] Wassvik, C. M.; Holmen, A. G.; Bergstrom, C. A.; Zamora, I.; Artursson, P. Contribution of solid-state properties to the aqueous solubility of drugs. Eur. J. Pharm. Sci. </t>
    </r>
    <r>
      <rPr>
        <b/>
        <sz val="11"/>
        <rFont val="Calibri"/>
        <family val="2"/>
        <scheme val="minor"/>
      </rPr>
      <t>2006,</t>
    </r>
    <r>
      <rPr>
        <sz val="11"/>
        <rFont val="Calibri"/>
        <family val="2"/>
        <scheme val="minor"/>
      </rPr>
      <t xml:space="preserve"> 29, 294-305</t>
    </r>
  </si>
  <si>
    <r>
      <t xml:space="preserve">[14] Llinàs A, Glen RC, Goodman JM. Solubility challenge: Can you predict solubilities of 32 molecules using a database of 100 reliable measurements? J. Chem. Inf. Model. </t>
    </r>
    <r>
      <rPr>
        <b/>
        <sz val="11"/>
        <rFont val="Calibri"/>
        <family val="2"/>
        <scheme val="minor"/>
      </rPr>
      <t>2008,</t>
    </r>
    <r>
      <rPr>
        <sz val="11"/>
        <rFont val="Calibri"/>
        <family val="2"/>
        <scheme val="minor"/>
      </rPr>
      <t xml:space="preserve"> 48, 1289-1303.</t>
    </r>
  </si>
  <si>
    <r>
      <t xml:space="preserve">[15] Hopfinger AJ, Esposito EX, Llinàs A, Glen RC, Goodman JM. Findings of the challenge to predict aqueous solubility. J. Chem. Inf. Model. </t>
    </r>
    <r>
      <rPr>
        <b/>
        <sz val="11"/>
        <rFont val="Calibri"/>
        <family val="2"/>
        <scheme val="minor"/>
      </rPr>
      <t>2009,</t>
    </r>
    <r>
      <rPr>
        <sz val="11"/>
        <rFont val="Calibri"/>
        <family val="2"/>
        <scheme val="minor"/>
      </rPr>
      <t xml:space="preserve"> 49, 1-5.</t>
    </r>
  </si>
  <si>
    <r>
      <t xml:space="preserve">[16] Yalkowsky SH, He Y, Jain P. Handbook of Aqueous Solubility Data. Second Edition.  CRC Press - Taylor &amp; Francis Group: Boca Raton, FL, </t>
    </r>
    <r>
      <rPr>
        <b/>
        <u/>
        <sz val="11"/>
        <rFont val="Calibri"/>
        <family val="2"/>
        <scheme val="minor"/>
      </rPr>
      <t>2010.</t>
    </r>
  </si>
  <si>
    <r>
      <t xml:space="preserve">[17] Boobier S, Osbourn A, Mitchell JBO. Can human experts predict solubility better than computers? J. Cheminform. </t>
    </r>
    <r>
      <rPr>
        <b/>
        <sz val="11"/>
        <rFont val="Calibri"/>
        <family val="2"/>
        <scheme val="minor"/>
      </rPr>
      <t>(2017)</t>
    </r>
    <r>
      <rPr>
        <sz val="11"/>
        <rFont val="Calibri"/>
        <family val="2"/>
        <scheme val="minor"/>
      </rPr>
      <t xml:space="preserve"> 9:63. https://doi: 10.1186/s13321-017-0250-y. </t>
    </r>
  </si>
  <si>
    <r>
      <t xml:space="preserve">[18] Baek K, Jeon SB, Kim BK, Kang NS.Method validation for equilibrium solubility and determination of temperature effect on the ionization constant and intrinsic solubility of drugs. J Pharm Sci Emerg Drugs 6 </t>
    </r>
    <r>
      <rPr>
        <b/>
        <sz val="11"/>
        <rFont val="Calibri"/>
        <family val="2"/>
        <scheme val="minor"/>
      </rPr>
      <t>(2018)</t>
    </r>
    <r>
      <rPr>
        <sz val="11"/>
        <rFont val="Calibri"/>
        <family val="2"/>
        <scheme val="minor"/>
      </rPr>
      <t xml:space="preserve"> 1-6. DOI: 10.4172/2380-9477.1000125.</t>
    </r>
  </si>
  <si>
    <r>
      <t xml:space="preserve">(Please add your most important references, </t>
    </r>
    <r>
      <rPr>
        <i/>
        <sz val="11"/>
        <color theme="1"/>
        <rFont val="Calibri"/>
        <family val="2"/>
        <scheme val="minor"/>
      </rPr>
      <t>if not in the above list</t>
    </r>
    <r>
      <rPr>
        <sz val="11"/>
        <color theme="1"/>
        <rFont val="Calibri"/>
        <family val="2"/>
        <scheme val="minor"/>
      </rPr>
      <t>. We intend to publish the combined lists of recommended data sourses.)</t>
    </r>
  </si>
  <si>
    <t>https://pubs.acs.org/doi/10.1021/ci034243x</t>
  </si>
  <si>
    <t>https://pubs.acs.org/doi/10.1021/ci700307p</t>
  </si>
  <si>
    <t>https://pubs.acs.org/doi/10.1021/ci000392t</t>
  </si>
  <si>
    <t>http://dx.doi.org/10.1021/mp500103r</t>
  </si>
  <si>
    <t>Total number of descriptors used: 152</t>
  </si>
  <si>
    <t>Selected CDK 2D descriptors and in-house 2D descriptors reflecting atom counts and molecular properties.</t>
  </si>
  <si>
    <t>2, 3, 14, 17</t>
  </si>
  <si>
    <t>Yes, training set used the following references listed below:</t>
  </si>
  <si>
    <t>Xgboost regression</t>
  </si>
  <si>
    <t>XGBoost regression</t>
  </si>
  <si>
    <t>X</t>
  </si>
  <si>
    <t>Gradient boosted trees regression</t>
  </si>
  <si>
    <t>Extremely Randomized Trees regression</t>
  </si>
  <si>
    <t>consensus of KNN, GBM, RF, SVM</t>
  </si>
  <si>
    <t>training dataset  is manually downloaded from https://ochem.eu</t>
  </si>
  <si>
    <t>ECFP4-1024bits, ECFP4-2048bits, ECFP6-1024bits or ECFP6-2048bits are generated by our e-Bitter program (Zheng, S., Jiang, M., Zhao, C., Zhu, R., Hu, Z., Xu, Y., and Lin,F. (2018) e-Bitter: Bitterant Prediction by the Consensus Voting From the Machine-Learning Methods. Front. Chem. 6, 00082.)</t>
  </si>
  <si>
    <t>https://ochem.eu</t>
  </si>
  <si>
    <t>x</t>
    <phoneticPr fontId="46" type="noConversion"/>
  </si>
  <si>
    <t>XGBoost</t>
    <phoneticPr fontId="46" type="noConversion"/>
  </si>
  <si>
    <r>
      <t xml:space="preserve">De Stefano, C.; Lando, G.; Malegori, C.; Oliveri, P.; Sammartano, S. Prediction of water solubility and Setschenow coefficients by tree-based regression strategies. </t>
    </r>
    <r>
      <rPr>
        <i/>
        <sz val="8"/>
        <color theme="1"/>
        <rFont val="Calibri"/>
        <family val="3"/>
        <charset val="134"/>
        <scheme val="minor"/>
      </rPr>
      <t>J Mol Liq</t>
    </r>
    <r>
      <rPr>
        <sz val="8"/>
        <color theme="1"/>
        <rFont val="Calibri"/>
        <family val="2"/>
        <scheme val="minor"/>
      </rPr>
      <t xml:space="preserve">. </t>
    </r>
    <r>
      <rPr>
        <b/>
        <sz val="8"/>
        <color theme="1"/>
        <rFont val="Calibri"/>
        <family val="3"/>
        <charset val="134"/>
        <scheme val="minor"/>
      </rPr>
      <t>2019, DOI:10.1016/j.molliq.2019.03.029.</t>
    </r>
  </si>
  <si>
    <t>n(va/oob)=</t>
    <phoneticPr fontId="46" type="noConversion"/>
  </si>
  <si>
    <t>Lipinski Violation Count</t>
    <phoneticPr fontId="46" type="noConversion"/>
  </si>
  <si>
    <t>Log P(o/w)</t>
    <phoneticPr fontId="46" type="noConversion"/>
  </si>
  <si>
    <t>Relative negative partial charge</t>
    <phoneticPr fontId="46" type="noConversion"/>
  </si>
  <si>
    <t>Principal moment of inertia</t>
    <phoneticPr fontId="46" type="noConversion"/>
  </si>
  <si>
    <t>Slog P</t>
    <phoneticPr fontId="46" type="noConversion"/>
  </si>
  <si>
    <t>Vertex adjacency information (equal)</t>
    <phoneticPr fontId="46" type="noConversion"/>
  </si>
  <si>
    <t>Critical packing parameter</t>
    <phoneticPr fontId="46" type="noConversion"/>
  </si>
  <si>
    <t>Hydrophobic volume</t>
    <phoneticPr fontId="46" type="noConversion"/>
  </si>
  <si>
    <t>Polar volume</t>
    <phoneticPr fontId="46" type="noConversion"/>
  </si>
  <si>
    <t xml:space="preserve">PEOE Charge GCUT </t>
    <phoneticPr fontId="46" type="noConversion"/>
  </si>
  <si>
    <t xml:space="preserve">Hydrophilic integy moment </t>
    <phoneticPr fontId="46" type="noConversion"/>
  </si>
  <si>
    <t>De Stefano, C.; Lando, G.; Malegori, C.; Oliveri, P.; Sammartano, S. Prediction of water solubility and Setschenow coefficients by tree-based regression strategies. J Mol Liq. 2019, DOI:10.1016/j.molliq.2019.03.029.</t>
    <phoneticPr fontId="46" type="noConversion"/>
  </si>
  <si>
    <t>[1], [2], [11]</t>
  </si>
  <si>
    <t>x</t>
    <phoneticPr fontId="46"/>
  </si>
  <si>
    <t>light GBM</t>
    <phoneticPr fontId="46"/>
  </si>
  <si>
    <t>Alex Avdeef, Multi-lab intrinsic solubility measurement reproducibility in CheqSol and shake-flask methods,ADMET &amp; DMPK 7(3) (2019)210-219</t>
    <phoneticPr fontId="46"/>
  </si>
  <si>
    <t>5 fold cross validation</t>
    <phoneticPr fontId="46"/>
  </si>
  <si>
    <t>mordred descriptos and prediction values such as logS and solubility, total 13 kinds of descriptors</t>
    <phoneticPr fontId="46"/>
  </si>
  <si>
    <t>‘GATS6c’,</t>
    <phoneticPr fontId="46"/>
  </si>
  <si>
    <t>‘GATS6se’,</t>
  </si>
  <si>
    <t>‘GATS4i’,</t>
  </si>
  <si>
    <t>‘BalabanJ’,</t>
  </si>
  <si>
    <t>‘PNSA1’,</t>
  </si>
  <si>
    <t>‘AXp-5d’,</t>
  </si>
  <si>
    <t>‘NaaCH’,</t>
  </si>
  <si>
    <t>‘SaaCH’,</t>
  </si>
  <si>
    <t>‘SMR_VSA7’,</t>
  </si>
  <si>
    <t>‘SLogP’,</t>
  </si>
  <si>
    <t>‘Sol_mol/L_single’,</t>
  </si>
  <si>
    <t>‘LogS_single’,</t>
  </si>
  <si>
    <t>‘LogS_ensemble’</t>
    <phoneticPr fontId="46"/>
  </si>
  <si>
    <t>Dragon descriptos and prediction values such as logS and solubility, total 21kinds of descriptors</t>
    <phoneticPr fontId="46"/>
  </si>
  <si>
    <t>HOMT
PCD
P_VSA_ppp_ar
nAB
Uc
nCar
nBM
nCsp2
Sol_mol_L_ensemble
Vindex
Eta_betaP
piPC07
LogS_ensemble
piPC03
piPC06
P_VSA_ppp_L
Mor23p
Sol_mol_L_single
SpMax3_Bh(p)
piID
LogS_single</t>
    <phoneticPr fontId="46"/>
  </si>
  <si>
    <t>Refs. [1], [2], [7], and [16]</t>
    <phoneticPr fontId="46" type="noConversion"/>
  </si>
  <si>
    <t>distribution of molecular electrostatic potentials in 3D</t>
    <phoneticPr fontId="46" type="noConversion"/>
  </si>
  <si>
    <t xml:space="preserve">extened solvent contact model </t>
    <phoneticPr fontId="46" type="noConversion"/>
  </si>
  <si>
    <t>Ref. [2]</t>
    <phoneticPr fontId="46" type="noConversion"/>
  </si>
  <si>
    <t>Minesota Database ver. 2012</t>
    <phoneticPr fontId="46" type="noConversion"/>
  </si>
  <si>
    <t>Free Solvation Database (Mobley DL &amp; Guthrie JP)</t>
    <phoneticPr fontId="46" type="noConversion"/>
  </si>
  <si>
    <t>J. Phys. Chem B, 105 (2001) 5055–5067 (2001)</t>
    <phoneticPr fontId="46" type="noConversion"/>
  </si>
  <si>
    <t>solvation function</t>
    <phoneticPr fontId="46" type="noConversion"/>
  </si>
  <si>
    <t xml:space="preserve">extended solvent contact model </t>
    <phoneticPr fontId="46" type="noConversion"/>
  </si>
  <si>
    <t>RBF</t>
  </si>
  <si>
    <t>Radial Basis Function</t>
  </si>
  <si>
    <t>Sanofi-internal</t>
  </si>
  <si>
    <t>Compounds</t>
  </si>
  <si>
    <t>and Solubility</t>
  </si>
  <si>
    <t>data points</t>
  </si>
  <si>
    <t>None of Refs.</t>
  </si>
  <si>
    <t>below</t>
  </si>
  <si>
    <t>StarDrop Standard</t>
  </si>
  <si>
    <t>N = 168</t>
  </si>
  <si>
    <t>logP</t>
  </si>
  <si>
    <t>intraHbond5</t>
  </si>
  <si>
    <t>PRX-time1</t>
  </si>
  <si>
    <t>f407</t>
  </si>
  <si>
    <t>Vx</t>
  </si>
  <si>
    <t>intraHbond6</t>
  </si>
  <si>
    <t>PRX-time-1</t>
  </si>
  <si>
    <t>f440</t>
  </si>
  <si>
    <t>NegativeCharge</t>
  </si>
  <si>
    <t>ketone-t14</t>
  </si>
  <si>
    <t>UB</t>
  </si>
  <si>
    <t>f441</t>
  </si>
  <si>
    <t>PositiveCharge</t>
  </si>
  <si>
    <t>ketones</t>
  </si>
  <si>
    <t>HAN</t>
  </si>
  <si>
    <t>f443</t>
  </si>
  <si>
    <t>Flex</t>
  </si>
  <si>
    <t>lipovolume</t>
  </si>
  <si>
    <t>HAS</t>
  </si>
  <si>
    <t>q017</t>
  </si>
  <si>
    <t>AromaticRings</t>
  </si>
  <si>
    <t>nH0indole-like</t>
  </si>
  <si>
    <t>HAO</t>
  </si>
  <si>
    <t>q039</t>
  </si>
  <si>
    <t>ERTLNotPSA</t>
  </si>
  <si>
    <t>nHindole-like</t>
  </si>
  <si>
    <t>AliRingAttachment</t>
  </si>
  <si>
    <t>q040</t>
  </si>
  <si>
    <t>HBA-lip</t>
  </si>
  <si>
    <t>nonring-at</t>
  </si>
  <si>
    <t>C12</t>
  </si>
  <si>
    <t>q137</t>
  </si>
  <si>
    <t>HBA-prof</t>
  </si>
  <si>
    <t>p-hetero-or-halo</t>
  </si>
  <si>
    <t>C4</t>
  </si>
  <si>
    <t>q155</t>
  </si>
  <si>
    <t>HBD-lip</t>
  </si>
  <si>
    <t>phenol</t>
  </si>
  <si>
    <t>C10</t>
  </si>
  <si>
    <t>q192</t>
  </si>
  <si>
    <t>HBD-prof</t>
  </si>
  <si>
    <t>phenolic-tautomer</t>
  </si>
  <si>
    <t>C6</t>
  </si>
  <si>
    <t>q257</t>
  </si>
  <si>
    <t>ACamideO-nh-nh2</t>
  </si>
  <si>
    <t>pyridine</t>
  </si>
  <si>
    <t>C3</t>
  </si>
  <si>
    <t>q300</t>
  </si>
  <si>
    <t>ACamideO-nh0</t>
  </si>
  <si>
    <t>pyridones</t>
  </si>
  <si>
    <t>C9</t>
  </si>
  <si>
    <t>q453</t>
  </si>
  <si>
    <t>ASamideO-nh-nh2</t>
  </si>
  <si>
    <t>ring-join</t>
  </si>
  <si>
    <t>C8</t>
  </si>
  <si>
    <t>q457</t>
  </si>
  <si>
    <t>AbasicNH1</t>
  </si>
  <si>
    <t>ring5-nH0</t>
  </si>
  <si>
    <t>C1</t>
  </si>
  <si>
    <t>q458</t>
  </si>
  <si>
    <t>CF3</t>
  </si>
  <si>
    <t>ring5nH</t>
  </si>
  <si>
    <t>C11</t>
  </si>
  <si>
    <t>q481</t>
  </si>
  <si>
    <t>CH0Aa</t>
  </si>
  <si>
    <t>ringOdouble</t>
  </si>
  <si>
    <t>C2</t>
  </si>
  <si>
    <t>frg-8</t>
  </si>
  <si>
    <t>CH1Aa</t>
  </si>
  <si>
    <t>ringat</t>
  </si>
  <si>
    <t>C26</t>
  </si>
  <si>
    <t>frg-26</t>
  </si>
  <si>
    <t>CH2Aa</t>
  </si>
  <si>
    <t>sp2-carbons</t>
  </si>
  <si>
    <t>N7</t>
  </si>
  <si>
    <t>CH2hetero</t>
  </si>
  <si>
    <t>t-16-1</t>
  </si>
  <si>
    <t>N8</t>
  </si>
  <si>
    <t>CH2link</t>
  </si>
  <si>
    <t>tert-amine-t11</t>
  </si>
  <si>
    <t>N2</t>
  </si>
  <si>
    <t>CH3Aa</t>
  </si>
  <si>
    <t>urea-thio</t>
  </si>
  <si>
    <t>N1</t>
  </si>
  <si>
    <t>CH3hetero</t>
  </si>
  <si>
    <t>urea</t>
  </si>
  <si>
    <t>BasicGroup</t>
  </si>
  <si>
    <t>CamideNH0</t>
  </si>
  <si>
    <t>xccn-t12</t>
  </si>
  <si>
    <t>AcidGroup</t>
  </si>
  <si>
    <t>Ester</t>
  </si>
  <si>
    <t>nC(sp2)</t>
  </si>
  <si>
    <t>H4</t>
  </si>
  <si>
    <t>HaloC</t>
  </si>
  <si>
    <t>nOH</t>
  </si>
  <si>
    <t>O3</t>
  </si>
  <si>
    <t>NRB</t>
  </si>
  <si>
    <t>nCO</t>
  </si>
  <si>
    <t>O11</t>
  </si>
  <si>
    <t>RCamideO-nh-nh2</t>
  </si>
  <si>
    <t>nOS</t>
  </si>
  <si>
    <t>O9</t>
  </si>
  <si>
    <t>RCamideO-nh0</t>
  </si>
  <si>
    <t>nX</t>
  </si>
  <si>
    <t>O10</t>
  </si>
  <si>
    <t>RbasicNH0</t>
  </si>
  <si>
    <t>nNprot</t>
  </si>
  <si>
    <t>AroRingAttachment</t>
  </si>
  <si>
    <t>aliphOH-t6</t>
  </si>
  <si>
    <t>ssCH2</t>
  </si>
  <si>
    <t>N11</t>
  </si>
  <si>
    <t>allylic-oxyd-t10</t>
  </si>
  <si>
    <t>dsCH</t>
  </si>
  <si>
    <t>HydrophobicGroup</t>
  </si>
  <si>
    <t>aminoethanol0</t>
  </si>
  <si>
    <t>aaCH</t>
  </si>
  <si>
    <t>C5</t>
  </si>
  <si>
    <t>aminoethanol1</t>
  </si>
  <si>
    <t>sssCH</t>
  </si>
  <si>
    <t>C21</t>
  </si>
  <si>
    <t>anycarbonyl</t>
  </si>
  <si>
    <t>dssC</t>
  </si>
  <si>
    <t>C22</t>
  </si>
  <si>
    <t>aromCl</t>
  </si>
  <si>
    <t>aasC</t>
  </si>
  <si>
    <t>C23</t>
  </si>
  <si>
    <t>aromF</t>
  </si>
  <si>
    <t>aaaC</t>
  </si>
  <si>
    <t>C24</t>
  </si>
  <si>
    <t>aromO</t>
  </si>
  <si>
    <t>ssssC</t>
  </si>
  <si>
    <t>S3</t>
  </si>
  <si>
    <t>arylNHCO</t>
  </si>
  <si>
    <t>sNH2</t>
  </si>
  <si>
    <t>ed70</t>
  </si>
  <si>
    <t>benzylicOH</t>
  </si>
  <si>
    <t>ssNH</t>
  </si>
  <si>
    <t>ed40</t>
  </si>
  <si>
    <t>branchedCnotRing</t>
  </si>
  <si>
    <t>aaNH</t>
  </si>
  <si>
    <t>ed80</t>
  </si>
  <si>
    <t>carbamate-and-thio</t>
  </si>
  <si>
    <t>aaN</t>
  </si>
  <si>
    <t>ew75</t>
  </si>
  <si>
    <t>ch2-lipo-t9</t>
  </si>
  <si>
    <t>sssN</t>
  </si>
  <si>
    <t>ew10</t>
  </si>
  <si>
    <t>ertl-33</t>
  </si>
  <si>
    <t>ssO</t>
  </si>
  <si>
    <t>ew100</t>
  </si>
  <si>
    <t>ertl-35</t>
  </si>
  <si>
    <t>sF</t>
  </si>
  <si>
    <t>f004</t>
  </si>
  <si>
    <t>est-lact-latm-carbm-t7</t>
  </si>
  <si>
    <t>nNneutral</t>
  </si>
  <si>
    <t>f007</t>
  </si>
  <si>
    <t>ether</t>
  </si>
  <si>
    <t>NnH</t>
  </si>
  <si>
    <t>f015</t>
  </si>
  <si>
    <t>hetero-halo-di-n-arom</t>
  </si>
  <si>
    <t>N4</t>
  </si>
  <si>
    <t>f244</t>
  </si>
  <si>
    <t>hydroxyA</t>
  </si>
  <si>
    <t>CamideNH</t>
  </si>
  <si>
    <t>f245</t>
  </si>
  <si>
    <t>hydroxylation-t8</t>
  </si>
  <si>
    <t>BasicNH02AroRings</t>
  </si>
  <si>
    <t>f301</t>
  </si>
  <si>
    <t>Same as above</t>
  </si>
  <si>
    <t>Sanofi-internal Compounds and Solubility data points</t>
  </si>
  <si>
    <t>N = 167</t>
  </si>
  <si>
    <t>AbasicNH0</t>
  </si>
  <si>
    <t>CH2long</t>
  </si>
  <si>
    <t>RSR</t>
  </si>
  <si>
    <t>di-widhraw-cx4</t>
  </si>
  <si>
    <t>BasicNH0R2AroRings</t>
  </si>
  <si>
    <t>N = 164</t>
  </si>
  <si>
    <t>q139</t>
  </si>
  <si>
    <t>q277</t>
  </si>
  <si>
    <t>sp-carbons</t>
  </si>
  <si>
    <t>Ocarbamate</t>
  </si>
  <si>
    <t>ew60</t>
  </si>
  <si>
    <t>f147</t>
  </si>
  <si>
    <t>[19]</t>
  </si>
  <si>
    <t>Software: Dragon descriptors</t>
  </si>
  <si>
    <t>ALOGP2</t>
  </si>
  <si>
    <t>SM04_EA (bo)</t>
  </si>
  <si>
    <t>[19] Avdeef, A. Multi-lab intrinsic solubility measurement reproducibility in CheqSol and shake-flask methods. ADMET&amp;DMPK, 2019, 210-219.</t>
  </si>
  <si>
    <t>Institution(s)</t>
  </si>
  <si>
    <r>
      <t>PARTICIPANTS USE THEIR OWN INTRINSIC SOLUBILITY (</t>
    </r>
    <r>
      <rPr>
        <b/>
        <i/>
        <sz val="18"/>
        <rFont val="2"/>
      </rPr>
      <t>log S</t>
    </r>
    <r>
      <rPr>
        <b/>
        <i/>
        <vertAlign val="subscript"/>
        <sz val="18"/>
        <rFont val="2"/>
      </rPr>
      <t>0</t>
    </r>
    <r>
      <rPr>
        <b/>
        <sz val="18"/>
        <rFont val="2"/>
      </rPr>
      <t>) TRAINING SET OF COMPOUNDS - enter the predicted values in log</t>
    </r>
    <r>
      <rPr>
        <b/>
        <sz val="18"/>
        <color indexed="10"/>
        <rFont val="2"/>
      </rPr>
      <t>molarity</t>
    </r>
    <r>
      <rPr>
        <b/>
        <sz val="18"/>
        <rFont val="2"/>
      </rPr>
      <t>units</t>
    </r>
    <r>
      <rPr>
        <sz val="11"/>
        <color theme="1"/>
        <rFont val="Calibri"/>
        <family val="2"/>
        <scheme val="minor"/>
      </rPr>
      <t/>
    </r>
  </si>
  <si>
    <r>
      <t>SELECT</t>
    </r>
    <r>
      <rPr>
        <b/>
        <u/>
        <sz val="11"/>
        <color indexed="10"/>
        <rFont val="2"/>
      </rPr>
      <t>ONE</t>
    </r>
    <r>
      <rPr>
        <b/>
        <sz val="11"/>
        <color indexed="10"/>
        <rFont val="2"/>
      </rPr>
      <t>OF THE THREE OPTIONS:</t>
    </r>
    <r>
      <rPr>
        <sz val="11"/>
        <color theme="1"/>
        <rFont val="Calibri"/>
        <family val="2"/>
        <scheme val="minor"/>
      </rPr>
      <t/>
    </r>
  </si>
  <si>
    <r>
      <t>(i) None of the external test set molecules in the lists below was used in training the prediction model; i.e., all test set molecules found in the training set have been</t>
    </r>
    <r>
      <rPr>
        <b/>
        <u/>
        <sz val="11"/>
        <color indexed="10"/>
        <rFont val="2"/>
      </rPr>
      <t>removed</t>
    </r>
    <r>
      <rPr>
        <b/>
        <sz val="11"/>
        <color indexed="10"/>
        <rFont val="2"/>
      </rPr>
      <t>and the model was re-trained.</t>
    </r>
    <r>
      <rPr>
        <sz val="11"/>
        <color theme="1"/>
        <rFont val="Calibri"/>
        <family val="2"/>
        <scheme val="minor"/>
      </rPr>
      <t/>
    </r>
  </si>
  <si>
    <t>&lt;-- enter 'x' if applies.</t>
  </si>
  <si>
    <t>(ii) A commercial prediction software was used, where the training data are not available for modification.</t>
  </si>
  <si>
    <t>(iii) Neither of the above cases applies, because …</t>
  </si>
  <si>
    <t>&lt;-- please explain.</t>
  </si>
  <si>
    <r>
      <t>Please note: Yalkowsky's General Solubility Equation (GSE) results are cited below as a semi-empirical  benchmark for predicting solubility (using</t>
    </r>
    <r>
      <rPr>
        <b/>
        <i/>
        <sz val="11"/>
        <rFont val="2"/>
      </rPr>
      <t>experimental</t>
    </r>
    <r>
      <rPr>
        <b/>
        <sz val="11"/>
        <rFont val="2"/>
      </rPr>
      <t>melting points and</t>
    </r>
    <r>
      <rPr>
        <b/>
        <i/>
        <sz val="11"/>
        <rFont val="2"/>
      </rPr>
      <t>calculated</t>
    </r>
    <r>
      <rPr>
        <b/>
        <sz val="11"/>
        <rFont val="2"/>
      </rPr>
      <t>octanol-water</t>
    </r>
    <r>
      <rPr>
        <b/>
        <i/>
        <sz val="11"/>
        <rFont val="2"/>
      </rPr>
      <t>log P</t>
    </r>
    <r>
      <rPr>
        <b/>
        <sz val="11"/>
        <rFont val="2"/>
      </rPr>
      <t>).</t>
    </r>
    <r>
      <rPr>
        <sz val="11"/>
        <color theme="1"/>
        <rFont val="Calibri"/>
        <family val="2"/>
        <scheme val="minor"/>
      </rPr>
      <t/>
    </r>
  </si>
  <si>
    <r>
      <t>INTRINSIC SOLUBILITY (MOLARITY) EXTERNAL TEST SET 1 (</t>
    </r>
    <r>
      <rPr>
        <b/>
        <i/>
        <sz val="22"/>
        <rFont val="1"/>
      </rPr>
      <t>AVERAGE</t>
    </r>
    <r>
      <rPr>
        <b/>
        <sz val="20"/>
        <rFont val="2"/>
      </rPr>
      <t>interlab SD)</t>
    </r>
    <r>
      <rPr>
        <sz val="11"/>
        <color theme="1"/>
        <rFont val="Calibri"/>
        <family val="2"/>
        <scheme val="minor"/>
      </rPr>
      <t/>
    </r>
  </si>
  <si>
    <r>
      <t>PREDICTED</t>
    </r>
    <r>
      <rPr>
        <b/>
        <i/>
        <sz val="9"/>
        <rFont val="2"/>
      </rPr>
      <t>log S</t>
    </r>
    <r>
      <rPr>
        <b/>
        <i/>
        <vertAlign val="subscript"/>
        <sz val="9"/>
        <rFont val="2"/>
      </rPr>
      <t>0(25 `C)</t>
    </r>
  </si>
  <si>
    <r>
      <t>Avg. Interlab.</t>
    </r>
    <r>
      <rPr>
        <b/>
        <i/>
        <sz val="9"/>
        <rFont val="2"/>
      </rPr>
      <t>log S</t>
    </r>
    <r>
      <rPr>
        <b/>
        <i/>
        <vertAlign val="subscript"/>
        <sz val="9"/>
        <rFont val="2"/>
      </rPr>
      <t>0(25 `C)</t>
    </r>
  </si>
  <si>
    <r>
      <rPr>
        <b/>
        <i/>
        <sz val="9"/>
        <rFont val="2"/>
      </rPr>
      <t>log P</t>
    </r>
    <r>
      <rPr>
        <b/>
        <vertAlign val="subscript"/>
        <sz val="9"/>
        <rFont val="2"/>
      </rPr>
      <t>oct-water</t>
    </r>
    <r>
      <rPr>
        <b/>
        <sz val="9"/>
        <rFont val="2"/>
      </rPr>
      <t>calc in RDKit</t>
    </r>
    <r>
      <rPr>
        <sz val="11"/>
        <color theme="1"/>
        <rFont val="Calibri"/>
        <family val="2"/>
        <scheme val="minor"/>
      </rPr>
      <t/>
    </r>
  </si>
  <si>
    <r>
      <rPr>
        <b/>
        <i/>
        <sz val="9"/>
        <rFont val="2"/>
      </rPr>
      <t>log S</t>
    </r>
    <r>
      <rPr>
        <b/>
        <i/>
        <vertAlign val="subscript"/>
        <sz val="9"/>
        <rFont val="2"/>
      </rPr>
      <t>0</t>
    </r>
    <r>
      <rPr>
        <b/>
        <sz val="9"/>
        <rFont val="2"/>
      </rPr>
      <t>calc by GSE</t>
    </r>
    <r>
      <rPr>
        <sz val="11"/>
        <color theme="1"/>
        <rFont val="Calibri"/>
        <family val="2"/>
        <scheme val="minor"/>
      </rPr>
      <t/>
    </r>
  </si>
  <si>
    <t>Ref 4,5,6,8,9,12,13,14,15,17,18,19,20</t>
  </si>
  <si>
    <t>rdkit descriptors</t>
  </si>
  <si>
    <t>MolLogP</t>
  </si>
  <si>
    <t>TPSA</t>
  </si>
  <si>
    <r>
      <t>INTRINSIC SOLUBILITY (MOLARITY) EXTERNAL TEST SET 2 (</t>
    </r>
    <r>
      <rPr>
        <b/>
        <i/>
        <sz val="22"/>
        <rFont val="1"/>
      </rPr>
      <t>HIGH</t>
    </r>
    <r>
      <rPr>
        <b/>
        <sz val="20"/>
        <rFont val="2"/>
      </rPr>
      <t>interlab SD)</t>
    </r>
    <r>
      <rPr>
        <sz val="11"/>
        <color theme="1"/>
        <rFont val="Calibri"/>
        <family val="2"/>
        <scheme val="minor"/>
      </rPr>
      <t/>
    </r>
  </si>
  <si>
    <r>
      <t>NOTE: three underlined melting points (in red) were calculated by open-source program:</t>
    </r>
    <r>
      <rPr>
        <u/>
        <sz val="11"/>
        <color indexed="30"/>
        <rFont val="2"/>
      </rPr>
      <t>www.qsardb.org/repository/predictor/10967/104?model=rf</t>
    </r>
    <r>
      <rPr>
        <sz val="11"/>
        <color theme="1"/>
        <rFont val="Calibri"/>
        <family val="2"/>
        <scheme val="minor"/>
      </rPr>
      <t/>
    </r>
  </si>
  <si>
    <r>
      <t>n(tr) = number of molecules in the</t>
    </r>
    <r>
      <rPr>
        <u/>
        <sz val="11"/>
        <color indexed="8"/>
        <rFont val="2"/>
      </rPr>
      <t>training</t>
    </r>
    <r>
      <rPr>
        <sz val="11"/>
        <color indexed="8"/>
        <rFont val="2"/>
      </rPr>
      <t>set;  n(va) = number in the</t>
    </r>
    <r>
      <rPr>
        <u/>
        <sz val="11"/>
        <color indexed="8"/>
        <rFont val="2"/>
      </rPr>
      <t>validation</t>
    </r>
    <r>
      <rPr>
        <sz val="11"/>
        <color indexed="8"/>
        <rFont val="2"/>
      </rPr>
      <t>set; n(oob) = number in the RFR</t>
    </r>
    <r>
      <rPr>
        <u/>
        <sz val="11"/>
        <color indexed="8"/>
        <rFont val="2"/>
      </rPr>
      <t>out-of-bag</t>
    </r>
    <r>
      <rPr>
        <sz val="11"/>
        <color indexed="8"/>
        <rFont val="2"/>
      </rPr>
      <t>validation set; n(te) = number in the external</t>
    </r>
    <r>
      <rPr>
        <u/>
        <sz val="11"/>
        <color indexed="8"/>
        <rFont val="2"/>
      </rPr>
      <t>test</t>
    </r>
    <r>
      <rPr>
        <sz val="11"/>
        <color indexed="8"/>
        <rFont val="2"/>
      </rPr>
      <t>set.</t>
    </r>
    <r>
      <rPr>
        <sz val="11"/>
        <color theme="1"/>
        <rFont val="Calibri"/>
        <family val="2"/>
        <scheme val="minor"/>
      </rPr>
      <t/>
    </r>
  </si>
  <si>
    <r>
      <t>Note:</t>
    </r>
    <r>
      <rPr>
        <b/>
        <u/>
        <sz val="12"/>
        <rFont val="2"/>
      </rPr>
      <t>underlined</t>
    </r>
    <r>
      <rPr>
        <b/>
        <sz val="12"/>
        <rFont val="2"/>
      </rPr>
      <t>references mainly contain compilations of solubility values in water,</t>
    </r>
    <r>
      <rPr>
        <b/>
        <i/>
        <sz val="12"/>
        <rFont val="2"/>
      </rPr>
      <t>S</t>
    </r>
    <r>
      <rPr>
        <b/>
        <i/>
        <vertAlign val="subscript"/>
        <sz val="12"/>
        <rFont val="2"/>
      </rPr>
      <t>w</t>
    </r>
    <r>
      <rPr>
        <b/>
        <sz val="12"/>
        <rFont val="2"/>
      </rPr>
      <t>,which is not always the same as intrinsic solubility values,</t>
    </r>
    <r>
      <rPr>
        <b/>
        <i/>
        <sz val="12"/>
        <rFont val="2"/>
      </rPr>
      <t>S</t>
    </r>
    <r>
      <rPr>
        <b/>
        <i/>
        <vertAlign val="subscript"/>
        <sz val="12"/>
        <rFont val="2"/>
      </rPr>
      <t>0</t>
    </r>
    <r>
      <rPr>
        <b/>
        <sz val="12"/>
        <rFont val="2"/>
      </rPr>
      <t>.</t>
    </r>
    <r>
      <rPr>
        <sz val="11"/>
        <color theme="1"/>
        <rFont val="Calibri"/>
        <family val="2"/>
        <scheme val="minor"/>
      </rPr>
      <t/>
    </r>
  </si>
  <si>
    <r>
      <t>The other references contain mostly</t>
    </r>
    <r>
      <rPr>
        <b/>
        <i/>
        <sz val="12"/>
        <rFont val="2"/>
      </rPr>
      <t>druglike</t>
    </r>
    <r>
      <rPr>
        <b/>
        <sz val="12"/>
        <rFont val="2"/>
      </rPr>
      <t>molecules.</t>
    </r>
    <r>
      <rPr>
        <sz val="11"/>
        <color theme="1"/>
        <rFont val="Calibri"/>
        <family val="2"/>
        <scheme val="minor"/>
      </rPr>
      <t/>
    </r>
  </si>
  <si>
    <r>
      <t>[1] Yalkowsky SH, Dannenfelser RM.</t>
    </r>
    <r>
      <rPr>
        <b/>
        <u/>
        <sz val="11"/>
        <rFont val="2"/>
      </rPr>
      <t>1992.</t>
    </r>
    <r>
      <rPr>
        <u/>
        <sz val="11"/>
        <rFont val="2"/>
      </rPr>
      <t>Aquasol Database of Aqueous Solubility, Version 5. College of Pharmacy, Univ. of Ariz, Tucson, AZ.</t>
    </r>
    <r>
      <rPr>
        <sz val="11"/>
        <color theme="1"/>
        <rFont val="Calibri"/>
        <family val="2"/>
        <scheme val="minor"/>
      </rPr>
      <t/>
    </r>
  </si>
  <si>
    <r>
      <t>[2] Howard P, Meylan W. PHYSPROP DATABASE. Syracuse Research Corp.,  Environmental Science Center,  N. Syracuse, NY, Sept.</t>
    </r>
    <r>
      <rPr>
        <b/>
        <u/>
        <sz val="11"/>
        <rFont val="2"/>
      </rPr>
      <t>1999.</t>
    </r>
    <r>
      <rPr>
        <sz val="11"/>
        <color theme="1"/>
        <rFont val="Calibri"/>
        <family val="2"/>
        <scheme val="minor"/>
      </rPr>
      <t/>
    </r>
  </si>
  <si>
    <r>
      <t>[3] Huuskonen J. Estimation of aqueous Solubility for a diverse set of organic compounds based on molecular topology. J. Chem. Inf. Comput. Sci.</t>
    </r>
    <r>
      <rPr>
        <b/>
        <u/>
        <sz val="11"/>
        <rFont val="2"/>
      </rPr>
      <t>2000,</t>
    </r>
    <r>
      <rPr>
        <u/>
        <sz val="11"/>
        <rFont val="2"/>
      </rPr>
      <t>40, 773-777.</t>
    </r>
    <r>
      <rPr>
        <sz val="11"/>
        <color theme="1"/>
        <rFont val="Calibri"/>
        <family val="2"/>
        <scheme val="minor"/>
      </rPr>
      <t/>
    </r>
  </si>
  <si>
    <r>
      <t>[4] Avdeef A, Berger CM, Brownell C. pH-metric solubility. 2.  Correlation between the acid-base titration and the saturation shake-flask solubility-pH methods. Pharm. Res. 17</t>
    </r>
    <r>
      <rPr>
        <b/>
        <sz val="11"/>
        <rFont val="2"/>
      </rPr>
      <t>(2000)</t>
    </r>
    <r>
      <rPr>
        <sz val="11"/>
        <rFont val="2"/>
      </rPr>
      <t>85-89.</t>
    </r>
    <r>
      <rPr>
        <sz val="11"/>
        <color theme="1"/>
        <rFont val="Calibri"/>
        <family val="2"/>
        <scheme val="minor"/>
      </rPr>
      <t/>
    </r>
  </si>
  <si>
    <r>
      <t>[5] Avdeef A, Berger CM. pH-metric solubility. 3. Dissolution titration template method for solubility determination. Eur. J. Pharm. Sci. 14</t>
    </r>
    <r>
      <rPr>
        <b/>
        <sz val="11"/>
        <rFont val="2"/>
      </rPr>
      <t>(2001)</t>
    </r>
    <r>
      <rPr>
        <sz val="11"/>
        <rFont val="2"/>
      </rPr>
      <t>281-291.</t>
    </r>
    <r>
      <rPr>
        <sz val="11"/>
        <color theme="1"/>
        <rFont val="Calibri"/>
        <family val="2"/>
        <scheme val="minor"/>
      </rPr>
      <t/>
    </r>
  </si>
  <si>
    <r>
      <t>[6] Bergstrom, C. A.; Norinder, U.; Luthman, K.; Artursson, P. Experimental and computational screening models for prediction of aqueous drug solubility. Pharm. Res.</t>
    </r>
    <r>
      <rPr>
        <b/>
        <sz val="11"/>
        <rFont val="2"/>
      </rPr>
      <t>2002,</t>
    </r>
    <r>
      <rPr>
        <sz val="11"/>
        <rFont val="2"/>
      </rPr>
      <t>19, 182-188.</t>
    </r>
    <r>
      <rPr>
        <sz val="11"/>
        <color theme="1"/>
        <rFont val="Calibri"/>
        <family val="2"/>
        <scheme val="minor"/>
      </rPr>
      <t/>
    </r>
  </si>
  <si>
    <r>
      <t>[7] Yalkowsky SH, He Y, Jain P. Handbook of Aqueous Solubility Data. CRC Press - Taylor &amp; Francis Group: Boca Raton, FL,</t>
    </r>
    <r>
      <rPr>
        <b/>
        <u/>
        <sz val="11"/>
        <rFont val="2"/>
      </rPr>
      <t>2003.</t>
    </r>
    <r>
      <rPr>
        <sz val="11"/>
        <color theme="1"/>
        <rFont val="Calibri"/>
        <family val="2"/>
        <scheme val="minor"/>
      </rPr>
      <t/>
    </r>
  </si>
  <si>
    <r>
      <t>[8] Bergstrom, C. A.; Wassvik, C. M.; Norinder, U.; Luthman, K.; Artursson, P. Global and local computational models for aqueous solubility prediction of druglike molecules. J. Chem. Inf. Comput. Sci.</t>
    </r>
    <r>
      <rPr>
        <b/>
        <sz val="11"/>
        <rFont val="2"/>
      </rPr>
      <t>2004,</t>
    </r>
    <r>
      <rPr>
        <sz val="11"/>
        <rFont val="2"/>
      </rPr>
      <t>44, 1477-1488.</t>
    </r>
    <r>
      <rPr>
        <sz val="11"/>
        <color theme="1"/>
        <rFont val="Calibri"/>
        <family val="2"/>
        <scheme val="minor"/>
      </rPr>
      <t/>
    </r>
  </si>
  <si>
    <r>
      <t>[9] Bergström CAS, Luthman K, Artursson P. Accuracy of calculated pH-dependent aqueous drug solubility.  Eur. J. Pharm. Sci.</t>
    </r>
    <r>
      <rPr>
        <b/>
        <sz val="11"/>
        <rFont val="2"/>
      </rPr>
      <t>2004,</t>
    </r>
    <r>
      <rPr>
        <sz val="11"/>
        <rFont val="2"/>
      </rPr>
      <t>22, 387-398.</t>
    </r>
    <r>
      <rPr>
        <sz val="11"/>
        <color theme="1"/>
        <rFont val="Calibri"/>
        <family val="2"/>
        <scheme val="minor"/>
      </rPr>
      <t/>
    </r>
  </si>
  <si>
    <r>
      <t>[10] Rytting E, Lentz KA, Chen XQ, Qian F, Venkatesh S. A quantitative structure-property relationship for predicting drug solubility in PEG400/water cosolvent systems. Pharm Res.</t>
    </r>
    <r>
      <rPr>
        <b/>
        <u/>
        <sz val="11"/>
        <rFont val="2"/>
      </rPr>
      <t>2004;</t>
    </r>
    <r>
      <rPr>
        <u/>
        <sz val="11"/>
        <rFont val="2"/>
      </rPr>
      <t>21:237-244.</t>
    </r>
    <r>
      <rPr>
        <sz val="11"/>
        <color theme="1"/>
        <rFont val="Calibri"/>
        <family val="2"/>
        <scheme val="minor"/>
      </rPr>
      <t/>
    </r>
  </si>
  <si>
    <r>
      <t>[11] Rytting E, Lentz KA, Chen XQ, Qian F, Venkatesh S. Aqueous and cosolvent solubility data for drug-like organic compounds.  AAPS J.</t>
    </r>
    <r>
      <rPr>
        <b/>
        <u/>
        <sz val="11"/>
        <rFont val="2"/>
      </rPr>
      <t>2005,</t>
    </r>
    <r>
      <rPr>
        <u/>
        <sz val="11"/>
        <rFont val="2"/>
      </rPr>
      <t>7(1) Article 10, E78-E105.</t>
    </r>
    <r>
      <rPr>
        <sz val="11"/>
        <color theme="1"/>
        <rFont val="Calibri"/>
        <family val="2"/>
        <scheme val="minor"/>
      </rPr>
      <t/>
    </r>
  </si>
  <si>
    <r>
      <t>[12] Sköld C, Winiwarter S, Wernevik J, Bergström F, Engström L, Allen R, Box K, Comer J, Mole J, Hallberg A, Lennernäs H, Lundstedt T, Ungell A-L, Karlén A. Presentation of a structurally diverse and commercially available drug data set for correlation and benchmarking studies.  J. Med. Chem.</t>
    </r>
    <r>
      <rPr>
        <b/>
        <sz val="11"/>
        <rFont val="2"/>
      </rPr>
      <t>2006,</t>
    </r>
    <r>
      <rPr>
        <sz val="11"/>
        <rFont val="2"/>
      </rPr>
      <t>49, 6660-6671.</t>
    </r>
    <r>
      <rPr>
        <sz val="11"/>
        <color theme="1"/>
        <rFont val="Calibri"/>
        <family val="2"/>
        <scheme val="minor"/>
      </rPr>
      <t/>
    </r>
  </si>
  <si>
    <r>
      <t>[13] Wassvik, C. M.; Holmen, A. G.; Bergstrom, C. A.; Zamora, I.; Artursson, P. Contribution of solid-state properties to the aqueous solubility of drugs. Eur. J. Pharm. Sci.</t>
    </r>
    <r>
      <rPr>
        <b/>
        <sz val="11"/>
        <rFont val="2"/>
      </rPr>
      <t>2006,</t>
    </r>
    <r>
      <rPr>
        <sz val="11"/>
        <rFont val="2"/>
      </rPr>
      <t>29, 294-305</t>
    </r>
    <r>
      <rPr>
        <sz val="11"/>
        <color theme="1"/>
        <rFont val="Calibri"/>
        <family val="2"/>
        <scheme val="minor"/>
      </rPr>
      <t/>
    </r>
  </si>
  <si>
    <r>
      <t>[14] Llinàs A, Glen RC, Goodman JM. Solubility challenge: Can you predict solubilities of 32 molecules using a database of 100 reliable measurements? J. Chem. Inf. Model.</t>
    </r>
    <r>
      <rPr>
        <b/>
        <sz val="11"/>
        <rFont val="2"/>
      </rPr>
      <t>2008,</t>
    </r>
    <r>
      <rPr>
        <sz val="11"/>
        <rFont val="2"/>
      </rPr>
      <t>48, 1289-1303.</t>
    </r>
    <r>
      <rPr>
        <sz val="11"/>
        <color theme="1"/>
        <rFont val="Calibri"/>
        <family val="2"/>
        <scheme val="minor"/>
      </rPr>
      <t/>
    </r>
  </si>
  <si>
    <r>
      <t>[15] Hopfinger AJ, Esposito EX, Llinàs A, Glen RC, Goodman JM. Findings of the challenge to predict aqueous solubility. J. Chem. Inf. Model.</t>
    </r>
    <r>
      <rPr>
        <b/>
        <sz val="11"/>
        <rFont val="2"/>
      </rPr>
      <t>2009,</t>
    </r>
    <r>
      <rPr>
        <sz val="11"/>
        <rFont val="2"/>
      </rPr>
      <t>49, 1-5.</t>
    </r>
    <r>
      <rPr>
        <sz val="11"/>
        <color theme="1"/>
        <rFont val="Calibri"/>
        <family val="2"/>
        <scheme val="minor"/>
      </rPr>
      <t/>
    </r>
  </si>
  <si>
    <r>
      <t>[16] Yalkowsky SH, He Y, Jain P. Handbook of Aqueous Solubility Data. Second Edition.  CRC Press - Taylor &amp; Francis Group: Boca Raton, FL,</t>
    </r>
    <r>
      <rPr>
        <b/>
        <u/>
        <sz val="11"/>
        <rFont val="2"/>
      </rPr>
      <t>2010.</t>
    </r>
    <r>
      <rPr>
        <sz val="11"/>
        <color theme="1"/>
        <rFont val="Calibri"/>
        <family val="2"/>
        <scheme val="minor"/>
      </rPr>
      <t/>
    </r>
  </si>
  <si>
    <r>
      <t>[17] Boobier S, Osbourn A, Mitchell JBO. Can human experts predict solubility better than computers? J. Cheminform.</t>
    </r>
    <r>
      <rPr>
        <b/>
        <sz val="11"/>
        <rFont val="2"/>
      </rPr>
      <t>(2017)</t>
    </r>
    <r>
      <rPr>
        <sz val="11"/>
        <rFont val="2"/>
      </rPr>
      <t>9:63. https://doi: 10.1186/s13321-017-0250-y.</t>
    </r>
    <r>
      <rPr>
        <sz val="11"/>
        <color theme="1"/>
        <rFont val="Calibri"/>
        <family val="2"/>
        <scheme val="minor"/>
      </rPr>
      <t/>
    </r>
  </si>
  <si>
    <r>
      <t>[18] Baek K, Jeon SB, Kim BK, Kang NS.Method validation for equilibrium solubility and determination of temperature effect on the ionization constant and intrinsic solubility of drugs. J Pharm Sci Emerg Drugs 6</t>
    </r>
    <r>
      <rPr>
        <b/>
        <sz val="11"/>
        <rFont val="2"/>
      </rPr>
      <t>(2018)</t>
    </r>
    <r>
      <rPr>
        <sz val="11"/>
        <rFont val="2"/>
      </rPr>
      <t>1-6. DOI: 10.4172/2380-9477.1000125.</t>
    </r>
    <r>
      <rPr>
        <sz val="11"/>
        <color theme="1"/>
        <rFont val="Calibri"/>
        <family val="2"/>
        <scheme val="minor"/>
      </rPr>
      <t/>
    </r>
  </si>
  <si>
    <r>
      <t>(Please add your most important references,</t>
    </r>
    <r>
      <rPr>
        <i/>
        <sz val="11"/>
        <color indexed="8"/>
        <rFont val="2"/>
      </rPr>
      <t>if not in the above list</t>
    </r>
    <r>
      <rPr>
        <sz val="11"/>
        <color indexed="8"/>
        <rFont val="2"/>
      </rPr>
      <t>. We intend to publish the combined lists of recommended data sourses.)</t>
    </r>
    <r>
      <rPr>
        <sz val="11"/>
        <color theme="1"/>
        <rFont val="Calibri"/>
        <family val="2"/>
        <scheme val="minor"/>
      </rPr>
      <t/>
    </r>
  </si>
  <si>
    <t>[19] Bergström, C.A.S.; Avdeef, A. Perspectives in solubility measurement and interpretation. ADMET&amp;DMPK, 2019, 7, 88-105</t>
  </si>
  <si>
    <t>[20] Avdeef, A. Multi-lab intrinsic solubility measurement reproducibility in CheqSol and shake-flask methods. ADMET&amp;DMPK, 2019, 210-219.</t>
  </si>
  <si>
    <t>(Please add your most important references, if not in the above list. We intend to publish the combined lists of recommended data sourses.)</t>
  </si>
  <si>
    <t>SHBd (PaDEL-Descriptor)</t>
  </si>
  <si>
    <t>SpMax1_Bhp (PaDEL-Descriptor)</t>
  </si>
  <si>
    <t>xlogs</t>
  </si>
  <si>
    <t>Data from references [4 - 9], [12 - 15], [17 - 18]</t>
  </si>
  <si>
    <t>Additional references [19 -24]</t>
  </si>
  <si>
    <t>NA</t>
  </si>
  <si>
    <t xml:space="preserve">All MOE 2D descriptors except LogS, h_logS and Largest Ring Size (LRS - Removed due to many missing values) ;  </t>
  </si>
  <si>
    <t>MOE 3D descriptors were used together with 2D after removing 18 3D descriptors that had missing values;</t>
  </si>
  <si>
    <t>Prior to Model optimization, all correlated descriptors with threshold &gt;0.95 were removed</t>
  </si>
  <si>
    <r>
      <rPr>
        <b/>
        <sz val="8"/>
        <color theme="1"/>
        <rFont val="Calibri"/>
        <family val="2"/>
        <scheme val="minor"/>
      </rPr>
      <t>Total no. of MOE 2D and 3D descriptors:</t>
    </r>
    <r>
      <rPr>
        <sz val="8"/>
        <color theme="1"/>
        <rFont val="Calibri"/>
        <family val="2"/>
        <scheme val="minor"/>
      </rPr>
      <t xml:space="preserve"> 380</t>
    </r>
  </si>
  <si>
    <r>
      <rPr>
        <b/>
        <sz val="8"/>
        <color theme="1"/>
        <rFont val="Calibri"/>
        <family val="2"/>
        <scheme val="minor"/>
      </rPr>
      <t>Descriptors remaining after selected removal (Refer above):</t>
    </r>
    <r>
      <rPr>
        <sz val="8"/>
        <color theme="1"/>
        <rFont val="Calibri"/>
        <family val="2"/>
        <scheme val="minor"/>
      </rPr>
      <t xml:space="preserve"> 359</t>
    </r>
  </si>
  <si>
    <r>
      <rPr>
        <b/>
        <sz val="8"/>
        <color theme="1"/>
        <rFont val="Calibri"/>
        <family val="2"/>
        <scheme val="minor"/>
      </rPr>
      <t xml:space="preserve">Descriptors used for modeling after removing correlated features: </t>
    </r>
    <r>
      <rPr>
        <sz val="8"/>
        <color theme="1"/>
        <rFont val="Calibri"/>
        <family val="2"/>
        <scheme val="minor"/>
      </rPr>
      <t>269</t>
    </r>
  </si>
  <si>
    <t>Data from references listed below: [4 - 9], [12 - 15], [17 - 18]</t>
  </si>
  <si>
    <t>Additional references: [19 -24]</t>
  </si>
  <si>
    <t>MOE 3D descriptors were used together with 2D after removing 18 3D descriptors that had many missing values;</t>
  </si>
  <si>
    <t>Total no. of MOE 2D and 3D descriptors: 380</t>
  </si>
  <si>
    <t>Descriptors remaining after selected removal (Refer above): 359</t>
  </si>
  <si>
    <t>Descriptors used for modeling after removing correlated features: 269</t>
  </si>
  <si>
    <r>
      <t xml:space="preserve">(Please add your most important references, </t>
    </r>
    <r>
      <rPr>
        <i/>
        <sz val="11"/>
        <color theme="1"/>
        <rFont val="Calibri"/>
        <family val="2"/>
        <scheme val="minor"/>
      </rPr>
      <t>if not in the above list</t>
    </r>
    <r>
      <rPr>
        <sz val="11"/>
        <color theme="1"/>
        <rFont val="Calibri"/>
        <family val="2"/>
        <scheme val="minor"/>
      </rPr>
      <t>. We intend to publish the combined lists of recommended data sources.)</t>
    </r>
  </si>
  <si>
    <r>
      <t xml:space="preserve">[19] Jorgensen WM, Duffy EM. Prediction of drug solubility from Monte Carlo simulations. Bioorg. Med. Chem. Lett. </t>
    </r>
    <r>
      <rPr>
        <b/>
        <sz val="11"/>
        <color theme="1"/>
        <rFont val="Calibri"/>
        <family val="2"/>
        <scheme val="minor"/>
      </rPr>
      <t>2000</t>
    </r>
    <r>
      <rPr>
        <sz val="11"/>
        <color theme="1"/>
        <rFont val="Calibri"/>
        <family val="2"/>
        <scheme val="minor"/>
      </rPr>
      <t>, 10(11), 1155-1158.</t>
    </r>
  </si>
  <si>
    <r>
      <t>[20] Bergström CA, Norinder U, Luthman K, Artursson P.Experimental and computational screening models for prediction of aqueous drug solubility. Pharm Res.</t>
    </r>
    <r>
      <rPr>
        <b/>
        <sz val="11"/>
        <rFont val="Calibri"/>
        <family val="2"/>
        <scheme val="minor"/>
      </rPr>
      <t xml:space="preserve"> 2002</t>
    </r>
    <r>
      <rPr>
        <sz val="11"/>
        <rFont val="Calibri"/>
        <family val="2"/>
        <scheme val="minor"/>
      </rPr>
      <t>, 19(2),182-8</t>
    </r>
  </si>
  <si>
    <r>
      <t>[21] Bergström CAS,  Strafford M, Lazorova L, Avdeef A, Luthman K, Artursson P. Absorption classification of oral drugs based on molecular surface properties. J. Med. Chem. </t>
    </r>
    <r>
      <rPr>
        <b/>
        <sz val="11"/>
        <rFont val="Calibri"/>
        <family val="2"/>
        <scheme val="minor"/>
      </rPr>
      <t>2003</t>
    </r>
    <r>
      <rPr>
        <sz val="11"/>
        <rFont val="Calibri"/>
        <family val="2"/>
        <scheme val="minor"/>
      </rPr>
      <t>, </t>
    </r>
    <r>
      <rPr>
        <sz val="11"/>
        <rFont val="Calibri"/>
        <family val="2"/>
        <scheme val="minor"/>
      </rPr>
      <t>46</t>
    </r>
    <r>
      <rPr>
        <sz val="11"/>
        <rFont val="Calibri"/>
        <family val="2"/>
        <scheme val="minor"/>
      </rPr>
      <t>, 558–570.</t>
    </r>
  </si>
  <si>
    <r>
      <t xml:space="preserve">[22] Huuskonen J, SaloJyrki M, Taskinen J. Aqueous Solubility Prediction of Drugs Based on Molecular Topology and Neural Network Modeling. J. Chem. Inf. Comput. Sci. </t>
    </r>
    <r>
      <rPr>
        <b/>
        <sz val="11"/>
        <color theme="1"/>
        <rFont val="Calibri"/>
        <family val="2"/>
        <scheme val="minor"/>
      </rPr>
      <t>1998</t>
    </r>
    <r>
      <rPr>
        <sz val="11"/>
        <color theme="1"/>
        <rFont val="Calibri"/>
        <family val="2"/>
        <scheme val="minor"/>
      </rPr>
      <t>, 38(3), 450-456.</t>
    </r>
  </si>
  <si>
    <r>
      <t xml:space="preserve">[23] Shoghi E, Fuguet E, Bosch E, Ràfols C. Solubility–pH profiles of some acidic, basic and amphoteric drugs. Eur. J. Pharm. Sci. </t>
    </r>
    <r>
      <rPr>
        <b/>
        <sz val="11"/>
        <color theme="1"/>
        <rFont val="Calibri"/>
        <family val="2"/>
        <scheme val="minor"/>
      </rPr>
      <t>2013</t>
    </r>
    <r>
      <rPr>
        <sz val="11"/>
        <color theme="1"/>
        <rFont val="Calibri"/>
        <family val="2"/>
        <scheme val="minor"/>
      </rPr>
      <t>, 48(1-2), 291-300.</t>
    </r>
  </si>
  <si>
    <r>
      <t xml:space="preserve">[24] Stuart M, Box K. Chasing Equilibrium:  Measuring the Intrinsic Solubility of Weak Acids and Bases. Anal. Chem. </t>
    </r>
    <r>
      <rPr>
        <b/>
        <sz val="11"/>
        <color theme="1"/>
        <rFont val="Calibri"/>
        <family val="2"/>
        <scheme val="minor"/>
      </rPr>
      <t>2005</t>
    </r>
    <r>
      <rPr>
        <sz val="11"/>
        <color theme="1"/>
        <rFont val="Calibri"/>
        <family val="2"/>
        <scheme val="minor"/>
      </rPr>
      <t xml:space="preserve">, 77(4), 983-990. </t>
    </r>
  </si>
  <si>
    <t>All descriptors were calculated using the Python package RDKit. All available descriptors in RDKit were used, along with removal of highly correlated (&gt; 0.95) descriptors, and Recursive Feature Elimination.</t>
  </si>
  <si>
    <r>
      <rPr>
        <b/>
        <sz val="18"/>
        <rFont val="Calibri"/>
        <family val="2"/>
        <charset val="1"/>
      </rPr>
      <t>PARTICIPANTS USE THEIR OWN INTRINSIC SOLUBILITY (</t>
    </r>
    <r>
      <rPr>
        <b/>
        <i/>
        <sz val="18"/>
        <rFont val="Calibri"/>
        <family val="2"/>
        <charset val="1"/>
      </rPr>
      <t>log S</t>
    </r>
    <r>
      <rPr>
        <b/>
        <i/>
        <vertAlign val="subscript"/>
        <sz val="18"/>
        <rFont val="Calibri"/>
        <family val="2"/>
        <charset val="1"/>
      </rPr>
      <t>0</t>
    </r>
    <r>
      <rPr>
        <b/>
        <sz val="18"/>
        <rFont val="Calibri"/>
        <family val="2"/>
        <charset val="1"/>
      </rPr>
      <t xml:space="preserve">) TRAINING SET OF COMPOUNDS - enter the predicted values in log </t>
    </r>
    <r>
      <rPr>
        <b/>
        <sz val="18"/>
        <color rgb="FFFF0000"/>
        <rFont val="Calibri"/>
        <family val="2"/>
        <charset val="1"/>
      </rPr>
      <t>molarity</t>
    </r>
    <r>
      <rPr>
        <b/>
        <sz val="18"/>
        <rFont val="Calibri"/>
        <family val="2"/>
        <charset val="1"/>
      </rPr>
      <t xml:space="preserve"> units</t>
    </r>
  </si>
  <si>
    <r>
      <rPr>
        <b/>
        <sz val="11"/>
        <color rgb="FFFF0000"/>
        <rFont val="Calibri"/>
        <family val="2"/>
        <charset val="1"/>
      </rPr>
      <t xml:space="preserve">SELECT </t>
    </r>
    <r>
      <rPr>
        <b/>
        <u/>
        <sz val="11"/>
        <color rgb="FFFF0000"/>
        <rFont val="Calibri"/>
        <family val="2"/>
        <charset val="1"/>
      </rPr>
      <t>ONE</t>
    </r>
    <r>
      <rPr>
        <b/>
        <sz val="11"/>
        <color rgb="FFFF0000"/>
        <rFont val="Calibri"/>
        <family val="2"/>
        <charset val="1"/>
      </rPr>
      <t xml:space="preserve"> OF THE THREE OPTIONS:</t>
    </r>
  </si>
  <si>
    <r>
      <rPr>
        <b/>
        <sz val="11"/>
        <color rgb="FFFF0000"/>
        <rFont val="Calibri"/>
        <family val="2"/>
        <charset val="1"/>
      </rPr>
      <t xml:space="preserve">               (i) None of the external test set molecules in the lists below was used in training the prediction model; i.e., all test set molecules found in the training set have been </t>
    </r>
    <r>
      <rPr>
        <b/>
        <u/>
        <sz val="11"/>
        <color rgb="FFFF0000"/>
        <rFont val="Calibri"/>
        <family val="2"/>
        <charset val="1"/>
      </rPr>
      <t>removed</t>
    </r>
    <r>
      <rPr>
        <b/>
        <sz val="11"/>
        <color rgb="FFFF0000"/>
        <rFont val="Calibri"/>
        <family val="2"/>
        <charset val="1"/>
      </rPr>
      <t xml:space="preserve"> and the model was re-trained.</t>
    </r>
  </si>
  <si>
    <t>36 molecules (29 for the set1 and 7 for the set2) where used in the training or test set. But for the final prediction, we used the predicted values instead of the experimental values.</t>
  </si>
  <si>
    <r>
      <rPr>
        <b/>
        <sz val="11"/>
        <rFont val="Calibri"/>
        <family val="2"/>
        <charset val="1"/>
      </rPr>
      <t xml:space="preserve">Please note: Yalkowsky's General Solubility Equation (GSE) results are cited below as a semi-empirical  benchmark for predicting solubility (using </t>
    </r>
    <r>
      <rPr>
        <b/>
        <i/>
        <sz val="11"/>
        <rFont val="Calibri"/>
        <family val="2"/>
        <charset val="1"/>
      </rPr>
      <t>experimental</t>
    </r>
    <r>
      <rPr>
        <b/>
        <sz val="11"/>
        <rFont val="Calibri"/>
        <family val="2"/>
        <charset val="1"/>
      </rPr>
      <t xml:space="preserve"> melting points and </t>
    </r>
    <r>
      <rPr>
        <b/>
        <i/>
        <sz val="11"/>
        <rFont val="Calibri"/>
        <family val="2"/>
        <charset val="1"/>
      </rPr>
      <t>calculated</t>
    </r>
    <r>
      <rPr>
        <b/>
        <sz val="11"/>
        <rFont val="Calibri"/>
        <family val="2"/>
        <charset val="1"/>
      </rPr>
      <t xml:space="preserve"> octanol-water </t>
    </r>
    <r>
      <rPr>
        <b/>
        <i/>
        <sz val="11"/>
        <rFont val="Calibri"/>
        <family val="2"/>
        <charset val="1"/>
      </rPr>
      <t>log P</t>
    </r>
    <r>
      <rPr>
        <b/>
        <sz val="11"/>
        <rFont val="Calibri"/>
        <family val="2"/>
        <charset val="1"/>
      </rPr>
      <t>).</t>
    </r>
  </si>
  <si>
    <r>
      <rPr>
        <b/>
        <sz val="20"/>
        <rFont val="Calibri"/>
        <family val="2"/>
        <charset val="1"/>
      </rPr>
      <t>INTRINSIC SOLUBILITY (MOLARITY) EXTERNAL TEST SET 1 (</t>
    </r>
    <r>
      <rPr>
        <b/>
        <i/>
        <sz val="22"/>
        <rFont val="Castellar"/>
        <family val="1"/>
        <charset val="1"/>
      </rPr>
      <t>AVERAGE</t>
    </r>
    <r>
      <rPr>
        <b/>
        <sz val="20"/>
        <rFont val="Calibri"/>
        <family val="2"/>
        <charset val="1"/>
      </rPr>
      <t xml:space="preserve"> interlab SD)</t>
    </r>
  </si>
  <si>
    <r>
      <rPr>
        <b/>
        <sz val="9"/>
        <rFont val="Calibri"/>
        <family val="2"/>
        <charset val="1"/>
      </rPr>
      <t xml:space="preserve">PREDICTED  </t>
    </r>
    <r>
      <rPr>
        <b/>
        <i/>
        <sz val="9"/>
        <rFont val="Calibri"/>
        <family val="2"/>
        <charset val="1"/>
      </rPr>
      <t>log S</t>
    </r>
    <r>
      <rPr>
        <b/>
        <i/>
        <vertAlign val="subscript"/>
        <sz val="9"/>
        <rFont val="Calibri"/>
        <family val="2"/>
        <charset val="1"/>
      </rPr>
      <t>0</t>
    </r>
    <r>
      <rPr>
        <b/>
        <vertAlign val="subscript"/>
        <sz val="9"/>
        <rFont val="Calibri"/>
        <family val="2"/>
        <charset val="1"/>
      </rPr>
      <t xml:space="preserve"> </t>
    </r>
    <r>
      <rPr>
        <b/>
        <sz val="9"/>
        <rFont val="Calibri"/>
        <family val="2"/>
        <charset val="1"/>
      </rPr>
      <t xml:space="preserve">(25 `C) </t>
    </r>
  </si>
  <si>
    <r>
      <rPr>
        <b/>
        <sz val="9"/>
        <rFont val="Calibri"/>
        <family val="2"/>
        <charset val="1"/>
      </rPr>
      <t xml:space="preserve">Avg. Interlab.  </t>
    </r>
    <r>
      <rPr>
        <b/>
        <i/>
        <sz val="9"/>
        <rFont val="Calibri"/>
        <family val="2"/>
        <charset val="1"/>
      </rPr>
      <t>log S</t>
    </r>
    <r>
      <rPr>
        <b/>
        <i/>
        <vertAlign val="subscript"/>
        <sz val="9"/>
        <rFont val="Calibri"/>
        <family val="2"/>
        <charset val="1"/>
      </rPr>
      <t>0</t>
    </r>
    <r>
      <rPr>
        <b/>
        <vertAlign val="subscript"/>
        <sz val="9"/>
        <rFont val="Calibri"/>
        <family val="2"/>
        <charset val="1"/>
      </rPr>
      <t xml:space="preserve"> </t>
    </r>
    <r>
      <rPr>
        <b/>
        <sz val="9"/>
        <rFont val="Calibri"/>
        <family val="2"/>
        <charset val="1"/>
      </rPr>
      <t xml:space="preserve">(25 `C) </t>
    </r>
  </si>
  <si>
    <r>
      <rPr>
        <b/>
        <i/>
        <sz val="9"/>
        <rFont val="Calibri"/>
        <family val="2"/>
        <charset val="1"/>
      </rPr>
      <t>log P</t>
    </r>
    <r>
      <rPr>
        <b/>
        <vertAlign val="subscript"/>
        <sz val="9"/>
        <rFont val="Calibri"/>
        <family val="2"/>
        <charset val="1"/>
      </rPr>
      <t>oct-water</t>
    </r>
    <r>
      <rPr>
        <b/>
        <sz val="9"/>
        <rFont val="Calibri"/>
        <family val="2"/>
        <charset val="1"/>
      </rPr>
      <t xml:space="preserve">  calc in RDKit</t>
    </r>
  </si>
  <si>
    <r>
      <rPr>
        <b/>
        <i/>
        <sz val="9"/>
        <rFont val="Calibri"/>
        <family val="2"/>
        <charset val="1"/>
      </rPr>
      <t>log S</t>
    </r>
    <r>
      <rPr>
        <b/>
        <i/>
        <vertAlign val="subscript"/>
        <sz val="9"/>
        <rFont val="Calibri"/>
        <family val="2"/>
        <charset val="1"/>
      </rPr>
      <t>0</t>
    </r>
    <r>
      <rPr>
        <b/>
        <sz val="9"/>
        <rFont val="Calibri"/>
        <family val="2"/>
        <charset val="1"/>
      </rPr>
      <t xml:space="preserve">     calc by GSE</t>
    </r>
  </si>
  <si>
    <t xml:space="preserve">Refs: 4,5, 6, 9, 12, </t>
  </si>
  <si>
    <t>and PubMedIds:</t>
  </si>
  <si>
    <t>n(va)=</t>
  </si>
  <si>
    <t>60 descriptors</t>
  </si>
  <si>
    <t>from</t>
  </si>
  <si>
    <t>the Mordred</t>
  </si>
  <si>
    <t>program</t>
  </si>
  <si>
    <t>https://github.com/mordred-descriptor/mordred</t>
  </si>
  <si>
    <t>These 60 descriptors are:
'nAromAtom', 'AATS6i', 'nBondsKD', 'C2SP2', 'ETA_beta', 
'ZMIC1', 'FilterItLogS', 'SMR_VSA7', 'SlogP_VSA6', 'SlogP', 
 'nBondsT', 'C1SP1', 'NdCH2', 'NtCH', 'NtN', 'NddsN', 
'NaaO', 'NdS', 'NdssS', 'n3Ring', 'n4Ring', 'n7Ring', 
nG12Ring', 'n4HRing', 'n7HRing', 'nG12HRing', 'n3ARing', 
'n4ARing', 'n7ARing', 'nG12ARing', 'n4AHRing', n7AHRing', 
'nG12AHRing', 'n6FRing', 'n7FRing', 'n8FRing', 'n11FRing',
'n12FRing', 'n6FHRing', 'n7FHRing', 'n8FHRing', 'n11FHRing',
'n12FHRing', 'n10FaRing', 'nG12FaRing', 'n10FaHRing', 
'nG12FaHRing', 'n6FARing', 'n7FARing', 'n8FARing',
'n10FARing', 'n11FARing', 'n12FARing', 'n6FAHRing', 
'n7FAHRing', 'n8FAHRing', 'n9FAHRing', 'n10FAHRing', 
'n11FAHRing', 'n12FAHRing'</t>
  </si>
  <si>
    <r>
      <rPr>
        <b/>
        <sz val="20"/>
        <rFont val="Calibri"/>
        <family val="2"/>
        <charset val="1"/>
      </rPr>
      <t>INTRINSIC SOLUBILITY (MOLARITY) EXTERNAL TEST SET 2 (</t>
    </r>
    <r>
      <rPr>
        <b/>
        <i/>
        <sz val="22"/>
        <rFont val="Castellar"/>
        <family val="1"/>
        <charset val="1"/>
      </rPr>
      <t>HIGH</t>
    </r>
    <r>
      <rPr>
        <b/>
        <sz val="20"/>
        <rFont val="Calibri"/>
        <family val="2"/>
        <charset val="1"/>
      </rPr>
      <t xml:space="preserve"> interlab SD)</t>
    </r>
  </si>
  <si>
    <r>
      <rPr>
        <b/>
        <sz val="9"/>
        <rFont val="Calibri"/>
        <family val="2"/>
        <charset val="1"/>
      </rPr>
      <t xml:space="preserve">PREDICTED </t>
    </r>
    <r>
      <rPr>
        <b/>
        <i/>
        <sz val="9"/>
        <rFont val="Calibri"/>
        <family val="2"/>
        <charset val="1"/>
      </rPr>
      <t xml:space="preserve"> log S</t>
    </r>
    <r>
      <rPr>
        <b/>
        <i/>
        <vertAlign val="subscript"/>
        <sz val="9"/>
        <rFont val="Calibri"/>
        <family val="2"/>
        <charset val="1"/>
      </rPr>
      <t>0</t>
    </r>
    <r>
      <rPr>
        <b/>
        <vertAlign val="subscript"/>
        <sz val="9"/>
        <rFont val="Calibri"/>
        <family val="2"/>
        <charset val="1"/>
      </rPr>
      <t xml:space="preserve"> </t>
    </r>
    <r>
      <rPr>
        <b/>
        <sz val="9"/>
        <rFont val="Calibri"/>
        <family val="2"/>
        <charset val="1"/>
      </rPr>
      <t xml:space="preserve">(25 `C) </t>
    </r>
  </si>
  <si>
    <t>The same descriptors and model used in set1</t>
  </si>
  <si>
    <r>
      <rPr>
        <sz val="11"/>
        <color theme="1"/>
        <rFont val="Calibri"/>
        <family val="2"/>
        <scheme val="minor"/>
      </rPr>
      <t xml:space="preserve">NOTE: three underlined melting points (in red) were calculated by open-source program: </t>
    </r>
    <r>
      <rPr>
        <u/>
        <sz val="11"/>
        <color rgb="FF0070C0"/>
        <rFont val="Calibri"/>
        <family val="2"/>
        <charset val="1"/>
      </rPr>
      <t xml:space="preserve">www.qsardb.org/repository/predictor/10967/104?model=rf </t>
    </r>
  </si>
  <si>
    <r>
      <rPr>
        <sz val="11"/>
        <color theme="1"/>
        <rFont val="Calibri"/>
        <family val="2"/>
        <scheme val="minor"/>
      </rPr>
      <t xml:space="preserve">n(tr) = number of molecules in the </t>
    </r>
    <r>
      <rPr>
        <u/>
        <sz val="11"/>
        <color rgb="FF000000"/>
        <rFont val="Calibri"/>
        <family val="2"/>
        <charset val="1"/>
      </rPr>
      <t>training</t>
    </r>
    <r>
      <rPr>
        <sz val="11"/>
        <color theme="1"/>
        <rFont val="Calibri"/>
        <family val="2"/>
        <scheme val="minor"/>
      </rPr>
      <t xml:space="preserve"> set;  n(va) = number in the </t>
    </r>
    <r>
      <rPr>
        <u/>
        <sz val="11"/>
        <color rgb="FF000000"/>
        <rFont val="Calibri"/>
        <family val="2"/>
        <charset val="1"/>
      </rPr>
      <t>validation</t>
    </r>
    <r>
      <rPr>
        <sz val="11"/>
        <color theme="1"/>
        <rFont val="Calibri"/>
        <family val="2"/>
        <scheme val="minor"/>
      </rPr>
      <t xml:space="preserve"> set; n(oob) = number in the RFR </t>
    </r>
    <r>
      <rPr>
        <u/>
        <sz val="11"/>
        <color rgb="FF000000"/>
        <rFont val="Calibri"/>
        <family val="2"/>
        <charset val="1"/>
      </rPr>
      <t>out-of-bag</t>
    </r>
    <r>
      <rPr>
        <sz val="11"/>
        <color theme="1"/>
        <rFont val="Calibri"/>
        <family val="2"/>
        <scheme val="minor"/>
      </rPr>
      <t xml:space="preserve"> validation set; n(te) = number in the external </t>
    </r>
    <r>
      <rPr>
        <u/>
        <sz val="11"/>
        <color rgb="FF000000"/>
        <rFont val="Calibri"/>
        <family val="2"/>
        <charset val="1"/>
      </rPr>
      <t>test</t>
    </r>
    <r>
      <rPr>
        <sz val="11"/>
        <color theme="1"/>
        <rFont val="Calibri"/>
        <family val="2"/>
        <scheme val="minor"/>
      </rPr>
      <t xml:space="preserve"> set.</t>
    </r>
  </si>
  <si>
    <r>
      <rPr>
        <b/>
        <sz val="12"/>
        <rFont val="Calibri"/>
        <family val="2"/>
        <charset val="1"/>
      </rPr>
      <t xml:space="preserve">Note: </t>
    </r>
    <r>
      <rPr>
        <b/>
        <u/>
        <sz val="12"/>
        <rFont val="Calibri"/>
        <family val="2"/>
        <charset val="1"/>
      </rPr>
      <t xml:space="preserve">underlined </t>
    </r>
    <r>
      <rPr>
        <b/>
        <sz val="12"/>
        <rFont val="Calibri"/>
        <family val="2"/>
        <charset val="1"/>
      </rPr>
      <t xml:space="preserve">references mainly contain compilations of solubility values in water, </t>
    </r>
    <r>
      <rPr>
        <b/>
        <i/>
        <sz val="12"/>
        <rFont val="Calibri"/>
        <family val="2"/>
        <charset val="1"/>
      </rPr>
      <t>S</t>
    </r>
    <r>
      <rPr>
        <b/>
        <i/>
        <vertAlign val="subscript"/>
        <sz val="12"/>
        <rFont val="Calibri"/>
        <family val="2"/>
        <charset val="1"/>
      </rPr>
      <t>w</t>
    </r>
    <r>
      <rPr>
        <b/>
        <sz val="12"/>
        <rFont val="Calibri"/>
        <family val="2"/>
        <charset val="1"/>
      </rPr>
      <t xml:space="preserve">,which is not always the same as intrinsic solubility values, </t>
    </r>
    <r>
      <rPr>
        <b/>
        <i/>
        <sz val="12"/>
        <rFont val="Calibri"/>
        <family val="2"/>
        <charset val="1"/>
      </rPr>
      <t>S</t>
    </r>
    <r>
      <rPr>
        <b/>
        <i/>
        <vertAlign val="subscript"/>
        <sz val="12"/>
        <rFont val="Calibri"/>
        <family val="2"/>
        <charset val="1"/>
      </rPr>
      <t>0</t>
    </r>
    <r>
      <rPr>
        <b/>
        <sz val="12"/>
        <rFont val="Calibri"/>
        <family val="2"/>
        <charset val="1"/>
      </rPr>
      <t xml:space="preserve">.  </t>
    </r>
  </si>
  <si>
    <r>
      <rPr>
        <b/>
        <sz val="12"/>
        <rFont val="Calibri"/>
        <family val="2"/>
        <charset val="1"/>
      </rPr>
      <t xml:space="preserve">The other references contain mostly </t>
    </r>
    <r>
      <rPr>
        <b/>
        <i/>
        <sz val="12"/>
        <rFont val="Calibri"/>
        <family val="2"/>
        <charset val="1"/>
      </rPr>
      <t>druglike</t>
    </r>
    <r>
      <rPr>
        <b/>
        <sz val="12"/>
        <rFont val="Calibri"/>
        <family val="2"/>
        <charset val="1"/>
      </rPr>
      <t xml:space="preserve"> molecules.</t>
    </r>
  </si>
  <si>
    <r>
      <rPr>
        <u/>
        <sz val="11"/>
        <rFont val="Calibri"/>
        <family val="2"/>
        <charset val="1"/>
      </rPr>
      <t xml:space="preserve">[1] Yalkowsky SH, Dannenfelser RM. </t>
    </r>
    <r>
      <rPr>
        <b/>
        <u/>
        <sz val="11"/>
        <rFont val="Calibri"/>
        <family val="2"/>
        <charset val="1"/>
      </rPr>
      <t>1992.</t>
    </r>
    <r>
      <rPr>
        <u/>
        <sz val="11"/>
        <rFont val="Calibri"/>
        <family val="2"/>
        <charset val="1"/>
      </rPr>
      <t xml:space="preserve"> Aquasol Database of Aqueous Solubility, Version 5. College of Pharmacy, Univ. of Ariz, Tucson, AZ.</t>
    </r>
  </si>
  <si>
    <r>
      <rPr>
        <u/>
        <sz val="11"/>
        <rFont val="Calibri"/>
        <family val="2"/>
        <charset val="1"/>
      </rPr>
      <t xml:space="preserve">[2] Howard P, Meylan W. PHYSPROP DATABASE. Syracuse Research Corp.,  Environmental Science Center,  N. Syracuse, NY, Sept. </t>
    </r>
    <r>
      <rPr>
        <b/>
        <u/>
        <sz val="11"/>
        <rFont val="Calibri"/>
        <family val="2"/>
        <charset val="1"/>
      </rPr>
      <t>1999.</t>
    </r>
  </si>
  <si>
    <r>
      <rPr>
        <u/>
        <sz val="11"/>
        <rFont val="Calibri"/>
        <family val="2"/>
        <charset val="1"/>
      </rPr>
      <t xml:space="preserve">[3] Huuskonen J. Estimation of aqueous Solubility for a diverse set of organic compounds based on molecular topology. J. Chem. Inf. Comput. Sci. </t>
    </r>
    <r>
      <rPr>
        <b/>
        <u/>
        <sz val="11"/>
        <rFont val="Calibri"/>
        <family val="2"/>
        <charset val="1"/>
      </rPr>
      <t>2000,</t>
    </r>
    <r>
      <rPr>
        <u/>
        <sz val="11"/>
        <rFont val="Calibri"/>
        <family val="2"/>
        <charset val="1"/>
      </rPr>
      <t xml:space="preserve"> 40, 773-777.</t>
    </r>
  </si>
  <si>
    <r>
      <rPr>
        <sz val="11"/>
        <rFont val="Calibri"/>
        <family val="2"/>
        <charset val="1"/>
      </rPr>
      <t>[4] Avdeef A, Berger CM, Brownell C. pH-metric solubility. 2.  Correlation between the acid-base titration and the saturation shake-flask solubility-pH methods. Pharm. Res. 17</t>
    </r>
    <r>
      <rPr>
        <b/>
        <sz val="11"/>
        <rFont val="Calibri"/>
        <family val="2"/>
        <charset val="1"/>
      </rPr>
      <t xml:space="preserve"> (2000)</t>
    </r>
    <r>
      <rPr>
        <sz val="11"/>
        <rFont val="Calibri"/>
        <family val="2"/>
        <charset val="1"/>
      </rPr>
      <t xml:space="preserve"> 85-89.</t>
    </r>
  </si>
  <si>
    <r>
      <rPr>
        <sz val="11"/>
        <rFont val="Calibri"/>
        <family val="2"/>
        <charset val="1"/>
      </rPr>
      <t xml:space="preserve">[5] Avdeef A, Berger CM. pH-metric solubility. 3. Dissolution titration template method for solubility determination. Eur. J. Pharm. Sci. 14 </t>
    </r>
    <r>
      <rPr>
        <b/>
        <sz val="11"/>
        <rFont val="Calibri"/>
        <family val="2"/>
        <charset val="1"/>
      </rPr>
      <t>(2001)</t>
    </r>
    <r>
      <rPr>
        <sz val="11"/>
        <rFont val="Calibri"/>
        <family val="2"/>
        <charset val="1"/>
      </rPr>
      <t xml:space="preserve"> 281-291.</t>
    </r>
  </si>
  <si>
    <r>
      <rPr>
        <sz val="11"/>
        <rFont val="Calibri"/>
        <family val="2"/>
        <charset val="1"/>
      </rPr>
      <t xml:space="preserve">[6] Bergstrom, C. A.; Norinder, U.; Luthman, K.; Artursson, P. Experimental and computational screening models for prediction of aqueous drug solubility. Pharm. Res. </t>
    </r>
    <r>
      <rPr>
        <b/>
        <sz val="11"/>
        <rFont val="Calibri"/>
        <family val="2"/>
        <charset val="1"/>
      </rPr>
      <t>2002,</t>
    </r>
    <r>
      <rPr>
        <sz val="11"/>
        <rFont val="Calibri"/>
        <family val="2"/>
        <charset val="1"/>
      </rPr>
      <t xml:space="preserve"> 19, 182-188.</t>
    </r>
  </si>
  <si>
    <r>
      <rPr>
        <u/>
        <sz val="11"/>
        <rFont val="Calibri"/>
        <family val="2"/>
        <charset val="1"/>
      </rPr>
      <t xml:space="preserve">[7] Yalkowsky SH, He Y, Jain P. Handbook of Aqueous Solubility Data. CRC Press - Taylor &amp; Francis Group: Boca Raton, FL, </t>
    </r>
    <r>
      <rPr>
        <b/>
        <u/>
        <sz val="11"/>
        <rFont val="Calibri"/>
        <family val="2"/>
        <charset val="1"/>
      </rPr>
      <t>2003.</t>
    </r>
  </si>
  <si>
    <r>
      <rPr>
        <sz val="11"/>
        <rFont val="Calibri"/>
        <family val="2"/>
        <charset val="1"/>
      </rPr>
      <t xml:space="preserve">[8] Bergstrom, C. A.; Wassvik, C. M.; Norinder, U.; Luthman, K.; Artursson, P. Global and local computational models for aqueous solubility prediction of druglike molecules. J. Chem. Inf. Comput. Sci. </t>
    </r>
    <r>
      <rPr>
        <b/>
        <sz val="11"/>
        <rFont val="Calibri"/>
        <family val="2"/>
        <charset val="1"/>
      </rPr>
      <t>2004,</t>
    </r>
    <r>
      <rPr>
        <sz val="11"/>
        <rFont val="Calibri"/>
        <family val="2"/>
        <charset val="1"/>
      </rPr>
      <t xml:space="preserve"> 44, 1477-1488.</t>
    </r>
  </si>
  <si>
    <r>
      <rPr>
        <sz val="11"/>
        <rFont val="Calibri"/>
        <family val="2"/>
        <charset val="1"/>
      </rPr>
      <t xml:space="preserve">[9] Bergström CAS, Luthman K, Artursson P. Accuracy of calculated pH-dependent aqueous drug solubility.  Eur. J. Pharm. Sci. </t>
    </r>
    <r>
      <rPr>
        <b/>
        <sz val="11"/>
        <rFont val="Calibri"/>
        <family val="2"/>
        <charset val="1"/>
      </rPr>
      <t>2004,</t>
    </r>
    <r>
      <rPr>
        <sz val="11"/>
        <rFont val="Calibri"/>
        <family val="2"/>
        <charset val="1"/>
      </rPr>
      <t xml:space="preserve"> 22, 387-398.</t>
    </r>
  </si>
  <si>
    <r>
      <rPr>
        <u/>
        <sz val="11"/>
        <rFont val="Calibri"/>
        <family val="2"/>
        <charset val="1"/>
      </rPr>
      <t xml:space="preserve">[10] Rytting E, Lentz KA, Chen XQ, Qian F, Venkatesh S. A quantitative structure-property relationship for predicting drug solubility in PEG400/water cosolvent systems. Pharm Res. </t>
    </r>
    <r>
      <rPr>
        <b/>
        <u/>
        <sz val="11"/>
        <rFont val="Calibri"/>
        <family val="2"/>
        <charset val="1"/>
      </rPr>
      <t>2004;</t>
    </r>
    <r>
      <rPr>
        <u/>
        <sz val="11"/>
        <rFont val="Calibri"/>
        <family val="2"/>
        <charset val="1"/>
      </rPr>
      <t xml:space="preserve"> 21:237-244.</t>
    </r>
  </si>
  <si>
    <r>
      <rPr>
        <u/>
        <sz val="11"/>
        <rFont val="Calibri"/>
        <family val="2"/>
        <charset val="1"/>
      </rPr>
      <t xml:space="preserve">[11] Rytting E, Lentz KA, Chen XQ, Qian F, Venkatesh S. Aqueous and cosolvent solubility data for drug-like organic compounds.  AAPS J. </t>
    </r>
    <r>
      <rPr>
        <b/>
        <u/>
        <sz val="11"/>
        <rFont val="Calibri"/>
        <family val="2"/>
        <charset val="1"/>
      </rPr>
      <t>2005,</t>
    </r>
    <r>
      <rPr>
        <u/>
        <sz val="11"/>
        <rFont val="Calibri"/>
        <family val="2"/>
        <charset val="1"/>
      </rPr>
      <t xml:space="preserve"> 7(1) Article 10, E78-E105.</t>
    </r>
  </si>
  <si>
    <r>
      <rPr>
        <sz val="11"/>
        <rFont val="Calibri"/>
        <family val="2"/>
        <charset val="1"/>
      </rPr>
      <t xml:space="preserve">[12] Sköld C, Winiwarter S, Wernevik J, Bergström F, Engström L, Allen R, Box K, Comer J, Mole J, Hallberg A, Lennernäs H, Lundstedt T, Ungell A-L, Karlén A. Presentation of a structurally diverse and commercially available drug data set for correlation and benchmarking studies.  J. Med. Chem. </t>
    </r>
    <r>
      <rPr>
        <b/>
        <sz val="11"/>
        <rFont val="Calibri"/>
        <family val="2"/>
        <charset val="1"/>
      </rPr>
      <t>2006,</t>
    </r>
    <r>
      <rPr>
        <sz val="11"/>
        <rFont val="Calibri"/>
        <family val="2"/>
        <charset val="1"/>
      </rPr>
      <t xml:space="preserve"> 49, 6660-6671.</t>
    </r>
  </si>
  <si>
    <r>
      <rPr>
        <sz val="11"/>
        <rFont val="Calibri"/>
        <family val="2"/>
        <charset val="1"/>
      </rPr>
      <t xml:space="preserve">[13] Wassvik, C. M.; Holmen, A. G.; Bergstrom, C. A.; Zamora, I.; Artursson, P. Contribution of solid-state properties to the aqueous solubility of drugs. Eur. J. Pharm. Sci. </t>
    </r>
    <r>
      <rPr>
        <b/>
        <sz val="11"/>
        <rFont val="Calibri"/>
        <family val="2"/>
        <charset val="1"/>
      </rPr>
      <t>2006,</t>
    </r>
    <r>
      <rPr>
        <sz val="11"/>
        <rFont val="Calibri"/>
        <family val="2"/>
        <charset val="1"/>
      </rPr>
      <t xml:space="preserve"> 29, 294-305</t>
    </r>
  </si>
  <si>
    <r>
      <rPr>
        <sz val="11"/>
        <rFont val="Calibri"/>
        <family val="2"/>
        <charset val="1"/>
      </rPr>
      <t xml:space="preserve">[14] Llinàs A, Glen RC, Goodman JM. Solubility challenge: Can you predict solubilities of 32 molecules using a database of 100 reliable measurements? J. Chem. Inf. Model. </t>
    </r>
    <r>
      <rPr>
        <b/>
        <sz val="11"/>
        <rFont val="Calibri"/>
        <family val="2"/>
        <charset val="1"/>
      </rPr>
      <t>2008,</t>
    </r>
    <r>
      <rPr>
        <sz val="11"/>
        <rFont val="Calibri"/>
        <family val="2"/>
        <charset val="1"/>
      </rPr>
      <t xml:space="preserve"> 48, 1289-1303.</t>
    </r>
  </si>
  <si>
    <r>
      <rPr>
        <sz val="11"/>
        <rFont val="Calibri"/>
        <family val="2"/>
        <charset val="1"/>
      </rPr>
      <t xml:space="preserve">[15] Hopfinger AJ, Esposito EX, Llinàs A, Glen RC, Goodman JM. Findings of the challenge to predict aqueous solubility. J. Chem. Inf. Model. </t>
    </r>
    <r>
      <rPr>
        <b/>
        <sz val="11"/>
        <rFont val="Calibri"/>
        <family val="2"/>
        <charset val="1"/>
      </rPr>
      <t>2009,</t>
    </r>
    <r>
      <rPr>
        <sz val="11"/>
        <rFont val="Calibri"/>
        <family val="2"/>
        <charset val="1"/>
      </rPr>
      <t xml:space="preserve"> 49, 1-5.</t>
    </r>
  </si>
  <si>
    <r>
      <rPr>
        <u/>
        <sz val="11"/>
        <rFont val="Calibri"/>
        <family val="2"/>
        <charset val="1"/>
      </rPr>
      <t xml:space="preserve">[16] Yalkowsky SH, He Y, Jain P. Handbook of Aqueous Solubility Data. Second Edition.  CRC Press - Taylor &amp; Francis Group: Boca Raton, FL, </t>
    </r>
    <r>
      <rPr>
        <b/>
        <u/>
        <sz val="11"/>
        <rFont val="Calibri"/>
        <family val="2"/>
        <charset val="1"/>
      </rPr>
      <t>2010.</t>
    </r>
  </si>
  <si>
    <t xml:space="preserve">[17] Boobier S, Osbourn A, Mitchell JBO. Can human experts predict solubility better than computers? J. Cheminform. (2017) 9:63. https://doi: 10.1186/s13321-017-0250-y. </t>
  </si>
  <si>
    <t>[18] Baek K, Jeon SB, Kim BK, Kang NS.Method validation for equilibrium solubility and determination of temperature effect on the ionization constant and intrinsic solubility of drugs. J Pharm Sci Emerg Drugs 6 (2018) 1-6. DOI: 10.4172/2380-9477.1000125.</t>
  </si>
  <si>
    <r>
      <rPr>
        <sz val="11"/>
        <color theme="1"/>
        <rFont val="Calibri"/>
        <family val="2"/>
        <scheme val="minor"/>
      </rPr>
      <t xml:space="preserve">(Please add your most important references, </t>
    </r>
    <r>
      <rPr>
        <i/>
        <sz val="11"/>
        <color rgb="FF000000"/>
        <rFont val="Calibri"/>
        <family val="2"/>
        <charset val="1"/>
      </rPr>
      <t>if not in the above list</t>
    </r>
    <r>
      <rPr>
        <sz val="11"/>
        <color theme="1"/>
        <rFont val="Calibri"/>
        <family val="2"/>
        <scheme val="minor"/>
      </rPr>
      <t>. We intend to publish the combined lists of recommended data sourses.)</t>
    </r>
  </si>
  <si>
    <t>Faller , B. ; Wohnsland , F. Physicochemical parameters as tools in drug discovery and lead optimization . In: Testa , B. ; van de Waterbeemd , H. ; Folkers , G. ; Guy , R. (eds.). Pharmacokinetic Optimization in Drug Research , Verlag Helvetica Chimica Acta , Z ü rich ; and Wiley - VCH , Weinheim , 2001 , pp. 257 – 274</t>
  </si>
  <si>
    <t>lightGBM</t>
  </si>
  <si>
    <t>[3] Huuskonen J. Estimation of aqueous Solubility for a diverse set of organic compounds based on molecular topology. J. Chem. Inf. Comput. Sci. 2000, 40, 773-777.</t>
  </si>
  <si>
    <t>[4] Avdeef A, Berger CM, Brownell C. pH-metric solubility. 2.  Correlation between the acid-base titration and the saturation shake-flask solubility-pH methods. Pharm. Res. 17 (2000) 85-89.</t>
  </si>
  <si>
    <t>[5] Avdeef A, Berger CM. pH-metric solubility. 3. Dissolution titration template method for solubility determination. Eur. J. Pharm. Sci. 14 (2001) 281-291.</t>
  </si>
  <si>
    <t>[6] Bergstrom, C. A.; Norinder, U.; Luthman, K.; Artursson, P. Experimental and computational screening models for prediction of aqueous drug solubility. Pharm. Res. 2002, 19, 182-188.</t>
  </si>
  <si>
    <r>
      <rPr>
        <sz val="8"/>
        <rFont val="Calibri"/>
        <family val="2"/>
        <charset val="1"/>
      </rPr>
      <t xml:space="preserve">[8] Bergstrom, C. A.; Wassvik, C. M.; Norinder, U.; Luthman, K.; Artursson, P. Global and local computational models for aqueous solubility prediction of druglike molecules. J. Chem. Inf. Comput. Sci. </t>
    </r>
    <r>
      <rPr>
        <b/>
        <sz val="8"/>
        <rFont val="Calibri"/>
        <family val="2"/>
        <charset val="1"/>
      </rPr>
      <t>2004,</t>
    </r>
    <r>
      <rPr>
        <sz val="8"/>
        <rFont val="Calibri"/>
        <family val="2"/>
        <charset val="1"/>
      </rPr>
      <t xml:space="preserve"> 44, 1477-1488.</t>
    </r>
  </si>
  <si>
    <r>
      <rPr>
        <sz val="8"/>
        <rFont val="Calibri"/>
        <family val="2"/>
        <charset val="1"/>
      </rPr>
      <t xml:space="preserve">[9] Bergström CAS, Luthman K, Artursson P. Accuracy of calculated pH-dependent aqueous drug solubility.  Eur. J. Pharm. Sci. </t>
    </r>
    <r>
      <rPr>
        <b/>
        <sz val="8"/>
        <rFont val="Calibri"/>
        <family val="2"/>
        <charset val="1"/>
      </rPr>
      <t>2004,</t>
    </r>
    <r>
      <rPr>
        <sz val="8"/>
        <rFont val="Calibri"/>
        <family val="2"/>
        <charset val="1"/>
      </rPr>
      <t xml:space="preserve"> 22, 387-398.</t>
    </r>
  </si>
  <si>
    <r>
      <rPr>
        <sz val="8"/>
        <rFont val="Calibri"/>
        <family val="2"/>
        <charset val="1"/>
      </rPr>
      <t xml:space="preserve">[11] Rytting E, Lentz KA, Chen XQ, Qian F, Venkatesh S. Aqueous and cosolvent solubility data for drug-like organic compounds.  AAPS J. </t>
    </r>
    <r>
      <rPr>
        <b/>
        <sz val="8"/>
        <rFont val="Calibri"/>
        <family val="2"/>
        <charset val="1"/>
      </rPr>
      <t>2005,</t>
    </r>
    <r>
      <rPr>
        <sz val="8"/>
        <rFont val="Calibri"/>
        <family val="2"/>
        <charset val="1"/>
      </rPr>
      <t xml:space="preserve"> 7(1) Article 10, E78-E105.</t>
    </r>
  </si>
  <si>
    <r>
      <rPr>
        <sz val="8"/>
        <rFont val="Calibri"/>
        <family val="2"/>
        <charset val="1"/>
      </rPr>
      <t xml:space="preserve">[12] Sköld C, Winiwarter S, Wernevik J, Bergström F, Engström L, Allen R, Box K, Comer J, Mole J, Hallberg A, Lennernäs H, Lundstedt T, Ungell A-L, Karlén A. Presentation of a structurally diverse and commercially available drug data set for correlation and benchmarking studies.  J. Med. Chem. </t>
    </r>
    <r>
      <rPr>
        <b/>
        <sz val="8"/>
        <rFont val="Calibri"/>
        <family val="2"/>
        <charset val="1"/>
      </rPr>
      <t>2006,</t>
    </r>
    <r>
      <rPr>
        <sz val="8"/>
        <rFont val="Calibri"/>
        <family val="2"/>
        <charset val="1"/>
      </rPr>
      <t xml:space="preserve"> 49, 6660-6671.</t>
    </r>
  </si>
  <si>
    <r>
      <rPr>
        <sz val="8"/>
        <rFont val="Calibri"/>
        <family val="2"/>
        <charset val="1"/>
      </rPr>
      <t xml:space="preserve">[13] Wassvik, C. M.; Holmen, A. G.; Bergstrom, C. A.; Zamora, I.; Artursson, P. Contribution of solid-state properties to the aqueous solubility of drugs. Eur. J. Pharm. Sci. </t>
    </r>
    <r>
      <rPr>
        <b/>
        <sz val="8"/>
        <rFont val="Calibri"/>
        <family val="2"/>
        <charset val="1"/>
      </rPr>
      <t>2006,</t>
    </r>
    <r>
      <rPr>
        <sz val="8"/>
        <rFont val="Calibri"/>
        <family val="2"/>
        <charset val="1"/>
      </rPr>
      <t xml:space="preserve"> 29, 294-305</t>
    </r>
  </si>
  <si>
    <r>
      <rPr>
        <sz val="8"/>
        <rFont val="Calibri"/>
        <family val="2"/>
        <charset val="1"/>
      </rPr>
      <t xml:space="preserve">[14] Llinàs A, Glen RC, Goodman JM. Solubility challenge: Can you predict solubilities of 32 molecules using a database of 100 reliable measurements? J. Chem. Inf. Model. </t>
    </r>
    <r>
      <rPr>
        <b/>
        <sz val="8"/>
        <rFont val="Calibri"/>
        <family val="2"/>
        <charset val="1"/>
      </rPr>
      <t>2008,</t>
    </r>
    <r>
      <rPr>
        <sz val="8"/>
        <rFont val="Calibri"/>
        <family val="2"/>
        <charset val="1"/>
      </rPr>
      <t xml:space="preserve"> 48, 1289-1303.</t>
    </r>
  </si>
  <si>
    <r>
      <rPr>
        <sz val="8"/>
        <rFont val="Calibri"/>
        <family val="2"/>
        <charset val="1"/>
      </rPr>
      <t xml:space="preserve">[15] Hopfinger AJ, Esposito EX, Llinàs A, Glen RC, Goodman JM. Findings of the challenge to predict aqueous solubility. J. Chem. Inf. Model. </t>
    </r>
    <r>
      <rPr>
        <b/>
        <sz val="8"/>
        <rFont val="Calibri"/>
        <family val="2"/>
        <charset val="1"/>
      </rPr>
      <t>2009,</t>
    </r>
    <r>
      <rPr>
        <sz val="8"/>
        <rFont val="Calibri"/>
        <family val="2"/>
        <charset val="1"/>
      </rPr>
      <t xml:space="preserve"> 49, 1-5.</t>
    </r>
  </si>
  <si>
    <r>
      <rPr>
        <sz val="8"/>
        <rFont val="Calibri"/>
        <family val="2"/>
        <charset val="1"/>
      </rPr>
      <t xml:space="preserve">[18] Baek K, Jeon SB, Kim BK, Kang NS.Method validation for equilibrium solubility and determination of temperature effect on the ionization constant and intrinsic solubility of drugs. J Pharm Sci Emerg Drugs 6 </t>
    </r>
    <r>
      <rPr>
        <b/>
        <sz val="8"/>
        <rFont val="Calibri"/>
        <family val="2"/>
        <charset val="1"/>
      </rPr>
      <t>(2018)</t>
    </r>
    <r>
      <rPr>
        <sz val="8"/>
        <rFont val="Calibri"/>
        <family val="2"/>
        <charset val="1"/>
      </rPr>
      <t xml:space="preserve"> 1-6. DOI: 10.4172/2380-9477.1000125.</t>
    </r>
  </si>
  <si>
    <t>Dragon 6.0 all descriptors</t>
  </si>
  <si>
    <t>RDKIT FP</t>
  </si>
  <si>
    <r>
      <rPr>
        <sz val="11"/>
        <rFont val="Calibri"/>
        <family val="2"/>
        <charset val="1"/>
      </rPr>
      <t xml:space="preserve">[17] Boobier S, Osbourn A, Mitchell JBO. Can human experts predict solubility better than computers? J. Cheminform. </t>
    </r>
    <r>
      <rPr>
        <b/>
        <sz val="11"/>
        <rFont val="Calibri"/>
        <family val="2"/>
        <charset val="1"/>
      </rPr>
      <t>(2017)</t>
    </r>
    <r>
      <rPr>
        <sz val="11"/>
        <rFont val="Calibri"/>
        <family val="2"/>
        <charset val="1"/>
      </rPr>
      <t xml:space="preserve"> 9:63. https://doi: 10.1186/s13321-017-0250-y. </t>
    </r>
  </si>
  <si>
    <r>
      <rPr>
        <sz val="11"/>
        <rFont val="Calibri"/>
        <family val="2"/>
        <charset val="1"/>
      </rPr>
      <t xml:space="preserve">[18] Baek K, Jeon SB, Kim BK, Kang NS.Method validation for equilibrium solubility and determination of temperature effect on the ionization constant and intrinsic solubility of drugs. J Pharm Sci Emerg Drugs 6 </t>
    </r>
    <r>
      <rPr>
        <b/>
        <sz val="11"/>
        <rFont val="Calibri"/>
        <family val="2"/>
        <charset val="1"/>
      </rPr>
      <t>(2018)</t>
    </r>
    <r>
      <rPr>
        <sz val="11"/>
        <rFont val="Calibri"/>
        <family val="2"/>
        <charset val="1"/>
      </rPr>
      <t xml:space="preserve"> 1-6. DOI: 10.4172/2380-9477.1000125.</t>
    </r>
  </si>
  <si>
    <r>
      <rPr>
        <sz val="11"/>
        <color theme="1"/>
        <rFont val="Calibri"/>
        <family val="2"/>
        <scheme val="minor"/>
      </rPr>
      <t xml:space="preserve">[19] Stuart M, Box K. Chasing equilibrium: solubility of weak acids and bases. Anal. Chem. 77 </t>
    </r>
    <r>
      <rPr>
        <b/>
        <sz val="11"/>
        <color rgb="FF000000"/>
        <rFont val="Calibri"/>
        <family val="2"/>
        <charset val="1"/>
      </rPr>
      <t>(2005)</t>
    </r>
    <r>
      <rPr>
        <sz val="11"/>
        <color theme="1"/>
        <rFont val="Calibri"/>
        <family val="2"/>
        <scheme val="minor"/>
      </rPr>
      <t xml:space="preserve"> 983-990</t>
    </r>
  </si>
  <si>
    <r>
      <rPr>
        <sz val="11"/>
        <color theme="1"/>
        <rFont val="Calibri"/>
        <family val="2"/>
        <scheme val="minor"/>
      </rPr>
      <t>[20] Narasimham YS L, Barhate VD. Kinetic and intrinsic solubility determination of some b-blockers and antidiabetics by potentiometry. J. Pharm. Res. 4(2)</t>
    </r>
    <r>
      <rPr>
        <b/>
        <sz val="11"/>
        <color rgb="FF000000"/>
        <rFont val="Calibri"/>
        <family val="2"/>
        <charset val="1"/>
      </rPr>
      <t xml:space="preserve"> (2011)</t>
    </r>
    <r>
      <rPr>
        <sz val="11"/>
        <color theme="1"/>
        <rFont val="Calibri"/>
        <family val="2"/>
        <scheme val="minor"/>
      </rPr>
      <t xml:space="preserve"> 532-536</t>
    </r>
  </si>
  <si>
    <r>
      <rPr>
        <sz val="11"/>
        <color theme="1"/>
        <rFont val="Calibri"/>
        <family val="2"/>
        <scheme val="minor"/>
      </rPr>
      <t xml:space="preserve">[21] Palmer DS, Llinas A, Morao I, Day GM, Goodman JM, Glen RC, Mitchell JBO. Predicting intrinsic aqueous solubility by a thermodynamic cycle. Mol. Pharm. 5(2) </t>
    </r>
    <r>
      <rPr>
        <b/>
        <sz val="11"/>
        <color rgb="FF000000"/>
        <rFont val="Calibri"/>
        <family val="2"/>
        <charset val="1"/>
      </rPr>
      <t>(2008)</t>
    </r>
    <r>
      <rPr>
        <sz val="11"/>
        <color theme="1"/>
        <rFont val="Calibri"/>
        <family val="2"/>
        <scheme val="minor"/>
      </rPr>
      <t xml:space="preserve"> 266-279</t>
    </r>
  </si>
  <si>
    <r>
      <rPr>
        <sz val="11"/>
        <color theme="1"/>
        <rFont val="Calibri"/>
        <family val="2"/>
        <scheme val="minor"/>
      </rPr>
      <t xml:space="preserve">[22] Delaney JS. ESOL: Estimating aqueous solubility directly from molecular structure. J. Chem. Inf. Comput. Sci. 44 </t>
    </r>
    <r>
      <rPr>
        <b/>
        <sz val="11"/>
        <color rgb="FF000000"/>
        <rFont val="Calibri"/>
        <family val="2"/>
        <charset val="1"/>
      </rPr>
      <t>(2004)</t>
    </r>
    <r>
      <rPr>
        <sz val="11"/>
        <color theme="1"/>
        <rFont val="Calibri"/>
        <family val="2"/>
        <scheme val="minor"/>
      </rPr>
      <t xml:space="preserve"> 1000-1005</t>
    </r>
  </si>
  <si>
    <r>
      <rPr>
        <sz val="11"/>
        <color theme="1"/>
        <rFont val="Calibri"/>
        <family val="2"/>
        <scheme val="minor"/>
      </rPr>
      <t xml:space="preserve">[23] Bergström CAS, Strafford M, Lazorova L, Avdeef A, Luthman K, Artursson P. Absorption classification of oral drugs based on molecular surface properties. J. Med. Chem. 46 </t>
    </r>
    <r>
      <rPr>
        <b/>
        <sz val="11"/>
        <color rgb="FF000000"/>
        <rFont val="Calibri"/>
        <family val="2"/>
        <charset val="1"/>
      </rPr>
      <t>(2003)</t>
    </r>
    <r>
      <rPr>
        <sz val="11"/>
        <color theme="1"/>
        <rFont val="Calibri"/>
        <family val="2"/>
        <scheme val="minor"/>
      </rPr>
      <t xml:space="preserve"> 558-570. </t>
    </r>
  </si>
  <si>
    <r>
      <rPr>
        <sz val="11"/>
        <color theme="1"/>
        <rFont val="Calibri"/>
        <family val="2"/>
        <scheme val="minor"/>
      </rPr>
      <t>[24] Shareef A, Angove MJ, Wells JD, Johnson BB. Aqueous Solubilities of Estrone, 17beta-Estradiol, 17alpha-Ethynylestradiol, and Bisphenol A. J. Chem. Eng. Data 51</t>
    </r>
    <r>
      <rPr>
        <b/>
        <sz val="11"/>
        <color rgb="FF000000"/>
        <rFont val="Calibri"/>
        <family val="2"/>
        <charset val="1"/>
      </rPr>
      <t xml:space="preserve"> (2006)</t>
    </r>
    <r>
      <rPr>
        <sz val="11"/>
        <color theme="1"/>
        <rFont val="Calibri"/>
        <family val="2"/>
        <scheme val="minor"/>
      </rPr>
      <t xml:space="preserve"> 879-881</t>
    </r>
  </si>
  <si>
    <r>
      <rPr>
        <sz val="11"/>
        <color theme="1"/>
        <rFont val="Calibri"/>
        <family val="2"/>
        <scheme val="minor"/>
      </rPr>
      <t>[25] McFarland JW, Avdeef A, Berger CM, Raevsky OA. Estimating the Water Solubilities of Crystalline Compounds from Their Chemical Structures Alone. J. Chem. Inf. Comput. Sci. 41</t>
    </r>
    <r>
      <rPr>
        <b/>
        <sz val="11"/>
        <color rgb="FF000000"/>
        <rFont val="Calibri"/>
        <family val="2"/>
        <charset val="1"/>
      </rPr>
      <t xml:space="preserve"> (2001)</t>
    </r>
    <r>
      <rPr>
        <sz val="11"/>
        <color theme="1"/>
        <rFont val="Calibri"/>
        <family val="2"/>
        <scheme val="minor"/>
      </rPr>
      <t xml:space="preserve"> 1355-1359</t>
    </r>
  </si>
  <si>
    <r>
      <rPr>
        <sz val="11"/>
        <color theme="1"/>
        <rFont val="Calibri"/>
        <family val="2"/>
        <scheme val="minor"/>
      </rPr>
      <t xml:space="preserve">[26] Avdeef A. Multi-lab intrinsic solubility measurement reproducibility in CheqSol and shake-flask methods. ADMET &amp; DMPK X(Y) </t>
    </r>
    <r>
      <rPr>
        <b/>
        <sz val="11"/>
        <color rgb="FF000000"/>
        <rFont val="Calibri"/>
        <family val="2"/>
        <charset val="1"/>
      </rPr>
      <t>(2019)</t>
    </r>
    <r>
      <rPr>
        <sz val="11"/>
        <color theme="1"/>
        <rFont val="Calibri"/>
        <family val="2"/>
        <scheme val="minor"/>
      </rPr>
      <t xml:space="preserve"> pp-pp</t>
    </r>
  </si>
  <si>
    <r>
      <rPr>
        <sz val="11"/>
        <color theme="1"/>
        <rFont val="Calibri"/>
        <family val="2"/>
        <scheme val="minor"/>
      </rPr>
      <t xml:space="preserve">[27] Box KJ, Comer JEA. Using Measured pKa, LogP and Solubility to Investigate Supersaturation and Predict BCS Class. Current Drug Metabolism 9 </t>
    </r>
    <r>
      <rPr>
        <b/>
        <sz val="11"/>
        <color rgb="FF000000"/>
        <rFont val="Calibri"/>
        <family val="2"/>
        <charset val="1"/>
      </rPr>
      <t>(2008)</t>
    </r>
    <r>
      <rPr>
        <sz val="11"/>
        <color theme="1"/>
        <rFont val="Calibri"/>
        <family val="2"/>
        <scheme val="minor"/>
      </rPr>
      <t xml:space="preserve"> 869-878</t>
    </r>
  </si>
  <si>
    <r>
      <rPr>
        <sz val="11"/>
        <color theme="1"/>
        <rFont val="Calibri"/>
        <family val="2"/>
        <scheme val="minor"/>
      </rPr>
      <t xml:space="preserve">[28] Etherson K, Halbert G, Elliott M. Determination of excipient based solubility increases using the CheqSol method. Int. J. Pharm. 465 </t>
    </r>
    <r>
      <rPr>
        <b/>
        <sz val="11"/>
        <color rgb="FF000000"/>
        <rFont val="Calibri"/>
        <family val="2"/>
        <charset val="1"/>
      </rPr>
      <t>(2014)</t>
    </r>
    <r>
      <rPr>
        <sz val="11"/>
        <color theme="1"/>
        <rFont val="Calibri"/>
        <family val="2"/>
        <scheme val="minor"/>
      </rPr>
      <t xml:space="preserve"> 202–209</t>
    </r>
  </si>
  <si>
    <r>
      <rPr>
        <sz val="11"/>
        <color theme="1"/>
        <rFont val="Calibri"/>
        <family val="2"/>
        <scheme val="minor"/>
      </rPr>
      <t xml:space="preserve">[29] Fornellsa E, Fugueta E, Mañéa M, Ruizc R, Boxc K, Boscha E, Ràfols C. Effect of vinylpyrrolidone polymers on the solubility and supersaturation of drugs; a study using the Cheqsol method. Eur. J. Pharm. Sci. 117 </t>
    </r>
    <r>
      <rPr>
        <b/>
        <sz val="11"/>
        <color rgb="FF000000"/>
        <rFont val="Calibri"/>
        <family val="2"/>
        <charset val="1"/>
      </rPr>
      <t>(2018)</t>
    </r>
    <r>
      <rPr>
        <sz val="11"/>
        <color theme="1"/>
        <rFont val="Calibri"/>
        <family val="2"/>
        <scheme val="minor"/>
      </rPr>
      <t xml:space="preserve"> 227–235 </t>
    </r>
  </si>
  <si>
    <r>
      <rPr>
        <sz val="11"/>
        <color theme="1"/>
        <rFont val="Calibri"/>
        <family val="2"/>
        <scheme val="minor"/>
      </rPr>
      <t xml:space="preserve">[30] Llinàs A, Burley JC, Box KJ, Glen RC, Goodman JM. Diclofenac Solubility: Independent Determination of the Intrinsic Solubility of Three Crystal Forms. J. Med. Chem. 50 </t>
    </r>
    <r>
      <rPr>
        <b/>
        <sz val="11"/>
        <color rgb="FF000000"/>
        <rFont val="Calibri"/>
        <family val="2"/>
        <charset val="1"/>
      </rPr>
      <t>(2007)</t>
    </r>
    <r>
      <rPr>
        <sz val="11"/>
        <color theme="1"/>
        <rFont val="Calibri"/>
        <family val="2"/>
        <scheme val="minor"/>
      </rPr>
      <t xml:space="preserve"> 979-983</t>
    </r>
  </si>
  <si>
    <r>
      <rPr>
        <sz val="11"/>
        <color theme="1"/>
        <rFont val="Calibri"/>
        <family val="2"/>
        <scheme val="minor"/>
      </rPr>
      <t xml:space="preserve">[31] Schönherr D, Wollatz U, Haznar-Garbacz D, Hanke U, Box KJ, Taylor R, Ruiz R, Beato S, Becker D, Weitschies W, Characterisation of selected active agents regarding pKa values, solubilityconcentrations and pH profiles by SiriusT3. Eur. J. Pharm. Biopharm. 92 </t>
    </r>
    <r>
      <rPr>
        <b/>
        <sz val="11"/>
        <color rgb="FF000000"/>
        <rFont val="Calibri"/>
        <family val="2"/>
        <charset val="1"/>
      </rPr>
      <t>(2015)</t>
    </r>
    <r>
      <rPr>
        <sz val="11"/>
        <color theme="1"/>
        <rFont val="Calibri"/>
        <family val="2"/>
        <scheme val="minor"/>
      </rPr>
      <t xml:space="preserve"> 155–170</t>
    </r>
  </si>
  <si>
    <r>
      <rPr>
        <sz val="11"/>
        <color theme="1"/>
        <rFont val="Calibri"/>
        <family val="2"/>
        <scheme val="minor"/>
      </rPr>
      <t xml:space="preserve">[32] Abraham MH, Le J. The Correlation and Prediction of the Solubility of Compounds in Water Using an Amended Solvation Energy Relationship. J. Pharm. Sci. 88(9) </t>
    </r>
    <r>
      <rPr>
        <b/>
        <sz val="11"/>
        <color rgb="FF000000"/>
        <rFont val="Calibri"/>
        <family val="2"/>
        <charset val="1"/>
      </rPr>
      <t xml:space="preserve">(1999) </t>
    </r>
    <r>
      <rPr>
        <sz val="11"/>
        <color theme="1"/>
        <rFont val="Calibri"/>
        <family val="2"/>
        <scheme val="minor"/>
      </rPr>
      <t>868-880</t>
    </r>
  </si>
  <si>
    <r>
      <rPr>
        <sz val="11"/>
        <color theme="1"/>
        <rFont val="Calibri"/>
        <family val="2"/>
        <scheme val="minor"/>
      </rPr>
      <t>[33] Mitchell BE, Jurs PC. Prediction of Aqueous Solubility of Organic Compounds from Molecular Structure. J. Chem. Inf. Comput. Sci. 38</t>
    </r>
    <r>
      <rPr>
        <b/>
        <sz val="11"/>
        <color rgb="FF000000"/>
        <rFont val="Calibri"/>
        <family val="2"/>
        <charset val="1"/>
      </rPr>
      <t xml:space="preserve"> (1998)</t>
    </r>
    <r>
      <rPr>
        <sz val="11"/>
        <color theme="1"/>
        <rFont val="Calibri"/>
        <family val="2"/>
        <scheme val="minor"/>
      </rPr>
      <t xml:space="preserve"> 489-496</t>
    </r>
  </si>
  <si>
    <t>lightgbm</t>
  </si>
  <si>
    <t>all Dragon 6.0 all descriptors</t>
  </si>
  <si>
    <t>all Dragon 6.0 descriptors</t>
  </si>
  <si>
    <t>RDKIT FingerPrints</t>
  </si>
  <si>
    <t xml:space="preserve"> </t>
  </si>
  <si>
    <t>-1.91444</t>
  </si>
  <si>
    <t>-2.02124</t>
  </si>
  <si>
    <t>-2.99829</t>
  </si>
  <si>
    <t>-3.6676</t>
  </si>
  <si>
    <t>-4.77283</t>
  </si>
  <si>
    <t>-5.86036</t>
  </si>
  <si>
    <t>-3.18597</t>
  </si>
  <si>
    <t>-2.28331</t>
  </si>
  <si>
    <t>-1.80288</t>
  </si>
  <si>
    <t>-3.6372</t>
  </si>
  <si>
    <t>-3.99952</t>
  </si>
  <si>
    <t>AqSolDB [19]</t>
  </si>
  <si>
    <t>-5.50213</t>
  </si>
  <si>
    <t>-4.20842</t>
  </si>
  <si>
    <t>-3.67597</t>
  </si>
  <si>
    <t>-3.03514</t>
  </si>
  <si>
    <t>-2.68027</t>
  </si>
  <si>
    <t>-2.61705</t>
  </si>
  <si>
    <t>-5.54256</t>
  </si>
  <si>
    <t>-2.39781</t>
  </si>
  <si>
    <t>-2.90787</t>
  </si>
  <si>
    <t>-4.78329</t>
  </si>
  <si>
    <t>-4.57042</t>
  </si>
  <si>
    <t>-2.73322</t>
  </si>
  <si>
    <t>-3.51252</t>
  </si>
  <si>
    <t>-4.18334</t>
  </si>
  <si>
    <t>-4.08453</t>
  </si>
  <si>
    <t>-3.96552</t>
  </si>
  <si>
    <t>-4.09186</t>
  </si>
  <si>
    <t>-3.05872</t>
  </si>
  <si>
    <t>-3.44094</t>
  </si>
  <si>
    <t>-3.38844</t>
  </si>
  <si>
    <t>-3.35948</t>
  </si>
  <si>
    <t>-4.71931</t>
  </si>
  <si>
    <t>-4.11333</t>
  </si>
  <si>
    <t>-3.45096</t>
  </si>
  <si>
    <t>-3.22547</t>
  </si>
  <si>
    <t>-3.22926</t>
  </si>
  <si>
    <t>-1.64188</t>
  </si>
  <si>
    <t>4 fold cross val</t>
  </si>
  <si>
    <t>-3.00143</t>
  </si>
  <si>
    <t>-4.36216</t>
  </si>
  <si>
    <t>-4.63359</t>
  </si>
  <si>
    <t>-2.94986</t>
  </si>
  <si>
    <t>LogP(calc)</t>
  </si>
  <si>
    <t>-3.32895</t>
  </si>
  <si>
    <t>atom counts</t>
  </si>
  <si>
    <t>-3.07661</t>
  </si>
  <si>
    <t>ring count</t>
  </si>
  <si>
    <t>-3.88779</t>
  </si>
  <si>
    <t>bond count</t>
  </si>
  <si>
    <t>-3.83228</t>
  </si>
  <si>
    <t>-3.97344</t>
  </si>
  <si>
    <t>H bond Donor</t>
  </si>
  <si>
    <t>-3.7772</t>
  </si>
  <si>
    <t>H bond Acceptor</t>
  </si>
  <si>
    <t>-2.1047</t>
  </si>
  <si>
    <t>-3.72428</t>
  </si>
  <si>
    <t>-4.04537</t>
  </si>
  <si>
    <t>-5.00265</t>
  </si>
  <si>
    <t>-4.96565</t>
  </si>
  <si>
    <t>-4.09505</t>
  </si>
  <si>
    <t>-4.72617</t>
  </si>
  <si>
    <t>-4.10464</t>
  </si>
  <si>
    <t>-3.64566</t>
  </si>
  <si>
    <t>-4.75241</t>
  </si>
  <si>
    <t>-4.23254</t>
  </si>
  <si>
    <t>-4.00925</t>
  </si>
  <si>
    <t>-3.39521</t>
  </si>
  <si>
    <t>-4.0446</t>
  </si>
  <si>
    <t>-3.87174</t>
  </si>
  <si>
    <t>-3.64067</t>
  </si>
  <si>
    <t>-4.38559</t>
  </si>
  <si>
    <t>-3.19538</t>
  </si>
  <si>
    <t>-4.37856</t>
  </si>
  <si>
    <t>-4.05989</t>
  </si>
  <si>
    <t>-2.4489</t>
  </si>
  <si>
    <t>-3.94324</t>
  </si>
  <si>
    <t>-4.21914</t>
  </si>
  <si>
    <t>-4.33283</t>
  </si>
  <si>
    <t>-4.04136</t>
  </si>
  <si>
    <t>-2.11866</t>
  </si>
  <si>
    <t>-3.56526</t>
  </si>
  <si>
    <t>-2.77706</t>
  </si>
  <si>
    <t>-2.85852</t>
  </si>
  <si>
    <t>-3.3078</t>
  </si>
  <si>
    <t>-2.13291</t>
  </si>
  <si>
    <t>-3.21837</t>
  </si>
  <si>
    <t>-4.45468</t>
  </si>
  <si>
    <t>-4.45352</t>
  </si>
  <si>
    <t>-5.19715</t>
  </si>
  <si>
    <t>-2.80225</t>
  </si>
  <si>
    <t>-4.84239</t>
  </si>
  <si>
    <t>-4.126</t>
  </si>
  <si>
    <t>-5.04201</t>
  </si>
  <si>
    <t>-2.9881</t>
  </si>
  <si>
    <t>-4.18328</t>
  </si>
  <si>
    <t>-2.93953</t>
  </si>
  <si>
    <t>-2.9311</t>
  </si>
  <si>
    <t>-3.05306</t>
  </si>
  <si>
    <t>-4.43269</t>
  </si>
  <si>
    <t>-2.29913</t>
  </si>
  <si>
    <t>-2.70531</t>
  </si>
  <si>
    <t>-2.50135</t>
  </si>
  <si>
    <t>-2.36144</t>
  </si>
  <si>
    <t>-3.07726</t>
  </si>
  <si>
    <t>-4.18305</t>
  </si>
  <si>
    <t>-2.72371</t>
  </si>
  <si>
    <t>-1.93995</t>
  </si>
  <si>
    <t>-7.69449</t>
  </si>
  <si>
    <t>-5.43281</t>
  </si>
  <si>
    <t>-1.84777</t>
  </si>
  <si>
    <t>-4.87068</t>
  </si>
  <si>
    <t>-4.51512</t>
  </si>
  <si>
    <t>-6.24264</t>
  </si>
  <si>
    <t>-6.34749</t>
  </si>
  <si>
    <t>-4.00941</t>
  </si>
  <si>
    <t>-6.06722</t>
  </si>
  <si>
    <t>-1.82273</t>
  </si>
  <si>
    <t>-4.21421</t>
  </si>
  <si>
    <t>-3.7043</t>
  </si>
  <si>
    <t>-2.82811</t>
  </si>
  <si>
    <t>-5.59943</t>
  </si>
  <si>
    <t>-5.27294</t>
  </si>
  <si>
    <t>-4.48435</t>
  </si>
  <si>
    <t>-5.42579</t>
  </si>
  <si>
    <t>-6.27219</t>
  </si>
  <si>
    <t>-7.15067</t>
  </si>
  <si>
    <t>-4.35819</t>
  </si>
  <si>
    <t>-4.42368</t>
  </si>
  <si>
    <t>-2.25815</t>
  </si>
  <si>
    <t>-3.18879</t>
  </si>
  <si>
    <t>-6.14148</t>
  </si>
  <si>
    <t>-4.47834</t>
  </si>
  <si>
    <t>-5.16887</t>
  </si>
  <si>
    <t>-3.01874</t>
  </si>
  <si>
    <t>-7.03876</t>
  </si>
  <si>
    <t>-6.93412</t>
  </si>
  <si>
    <t>-6.21435</t>
  </si>
  <si>
    <t>H bond Donor/Acceptor</t>
  </si>
  <si>
    <t>-2.61498</t>
  </si>
  <si>
    <t>Carbon types</t>
  </si>
  <si>
    <t>[19] Sorkun, M. C., Khetan, A., &amp; Er, S. (2019). AqSolDB, a curated reference set of aqueous solubility and 2D descriptors for a diverse set of compounds. Scientific data, 6(1), 1-8.</t>
  </si>
  <si>
    <r>
      <rPr>
        <b/>
        <sz val="18"/>
        <rFont val="Calibri"/>
        <family val="2"/>
        <scheme val="minor"/>
      </rPr>
      <t>PARTICIPANTS USE THEIR OWN INTRINSIC SOLUBILITY (</t>
    </r>
    <r>
      <rPr>
        <b/>
        <i/>
        <sz val="18"/>
        <rFont val="Calibri"/>
        <family val="2"/>
        <scheme val="minor"/>
      </rPr>
      <t>log S</t>
    </r>
    <r>
      <rPr>
        <b/>
        <i/>
        <vertAlign val="subscript"/>
        <sz val="18"/>
        <rFont val="Calibri"/>
        <family val="2"/>
        <scheme val="minor"/>
      </rPr>
      <t>0</t>
    </r>
    <r>
      <rPr>
        <b/>
        <sz val="18"/>
        <rFont val="Calibri"/>
        <family val="2"/>
        <scheme val="minor"/>
      </rPr>
      <t xml:space="preserve">) TRAINING SET OF COMPOUNDS - enter the predicted values in log </t>
    </r>
    <r>
      <rPr>
        <b/>
        <sz val="18"/>
        <color rgb="FFFF0000"/>
        <rFont val="Calibri"/>
        <family val="2"/>
        <scheme val="minor"/>
      </rPr>
      <t>molarity</t>
    </r>
    <r>
      <rPr>
        <b/>
        <sz val="18"/>
        <rFont val="Calibri"/>
        <family val="2"/>
        <scheme val="minor"/>
      </rPr>
      <t xml:space="preserve"> units</t>
    </r>
  </si>
  <si>
    <r>
      <rPr>
        <b/>
        <sz val="11"/>
        <color rgb="FFFF0000"/>
        <rFont val="Calibri"/>
        <family val="2"/>
        <scheme val="minor"/>
      </rPr>
      <t xml:space="preserve">SELECT </t>
    </r>
    <r>
      <rPr>
        <b/>
        <u/>
        <sz val="11"/>
        <color rgb="FFFF0000"/>
        <rFont val="Calibri"/>
        <family val="2"/>
        <scheme val="minor"/>
      </rPr>
      <t>ONE</t>
    </r>
    <r>
      <rPr>
        <b/>
        <sz val="11"/>
        <color rgb="FFFF0000"/>
        <rFont val="Calibri"/>
        <family val="2"/>
        <scheme val="minor"/>
      </rPr>
      <t xml:space="preserve"> OF THE THREE OPTIONS:</t>
    </r>
  </si>
  <si>
    <r>
      <rPr>
        <b/>
        <sz val="11"/>
        <color rgb="FFFF0000"/>
        <rFont val="Calibri"/>
        <family val="2"/>
        <scheme val="minor"/>
      </rPr>
      <t xml:space="preserve">               (i) None of the external test set molecules in the lists below was used in training the prediction model; i.e., all test set molecules found in the training set have been </t>
    </r>
    <r>
      <rPr>
        <b/>
        <u/>
        <sz val="11"/>
        <color rgb="FFFF0000"/>
        <rFont val="Calibri"/>
        <family val="2"/>
        <scheme val="minor"/>
      </rPr>
      <t>removed</t>
    </r>
    <r>
      <rPr>
        <b/>
        <sz val="11"/>
        <color rgb="FFFF0000"/>
        <rFont val="Calibri"/>
        <family val="2"/>
        <scheme val="minor"/>
      </rPr>
      <t xml:space="preserve"> and the model was re-trained.</t>
    </r>
  </si>
  <si>
    <r>
      <rPr>
        <b/>
        <sz val="11"/>
        <rFont val="Calibri"/>
        <family val="2"/>
        <scheme val="minor"/>
      </rPr>
      <t xml:space="preserve">Please note: Yalkowsky's General Solubility Equation (GSE) results are cited below as a semi-empirical  benchmark for predicting solubility (using </t>
    </r>
    <r>
      <rPr>
        <b/>
        <i/>
        <sz val="11"/>
        <rFont val="Calibri"/>
        <family val="2"/>
        <scheme val="minor"/>
      </rPr>
      <t>experimental</t>
    </r>
    <r>
      <rPr>
        <b/>
        <sz val="11"/>
        <rFont val="Calibri"/>
        <family val="2"/>
        <scheme val="minor"/>
      </rPr>
      <t xml:space="preserve"> melting points and </t>
    </r>
    <r>
      <rPr>
        <b/>
        <i/>
        <sz val="11"/>
        <rFont val="Calibri"/>
        <family val="2"/>
        <scheme val="minor"/>
      </rPr>
      <t>calculated</t>
    </r>
    <r>
      <rPr>
        <b/>
        <sz val="11"/>
        <rFont val="Calibri"/>
        <family val="2"/>
        <scheme val="minor"/>
      </rPr>
      <t xml:space="preserve"> octanol-water </t>
    </r>
    <r>
      <rPr>
        <b/>
        <i/>
        <sz val="11"/>
        <rFont val="Calibri"/>
        <family val="2"/>
        <scheme val="minor"/>
      </rPr>
      <t>log P</t>
    </r>
    <r>
      <rPr>
        <b/>
        <sz val="11"/>
        <rFont val="Calibri"/>
        <family val="2"/>
        <scheme val="minor"/>
      </rPr>
      <t>).</t>
    </r>
  </si>
  <si>
    <r>
      <rPr>
        <b/>
        <sz val="20"/>
        <rFont val="Calibri"/>
        <family val="2"/>
        <scheme val="minor"/>
      </rPr>
      <t>INTRINSIC SOLUBILITY (MOLARITY) EXTERNAL TEST SET 1 (</t>
    </r>
    <r>
      <rPr>
        <b/>
        <i/>
        <sz val="22"/>
        <rFont val="Castellar"/>
        <charset val="134"/>
      </rPr>
      <t>AVERAGE</t>
    </r>
    <r>
      <rPr>
        <b/>
        <sz val="20"/>
        <rFont val="Calibri"/>
        <family val="2"/>
        <scheme val="minor"/>
      </rPr>
      <t xml:space="preserve"> interlab SD)</t>
    </r>
  </si>
  <si>
    <r>
      <rPr>
        <b/>
        <sz val="9"/>
        <rFont val="Calibri"/>
        <family val="2"/>
      </rPr>
      <t xml:space="preserve">PREDICTED  </t>
    </r>
    <r>
      <rPr>
        <b/>
        <i/>
        <sz val="9"/>
        <rFont val="Calibri"/>
        <family val="2"/>
      </rPr>
      <t>log S</t>
    </r>
    <r>
      <rPr>
        <b/>
        <i/>
        <vertAlign val="subscript"/>
        <sz val="9"/>
        <rFont val="Calibri"/>
        <family val="2"/>
      </rPr>
      <t>0</t>
    </r>
    <r>
      <rPr>
        <b/>
        <vertAlign val="subscript"/>
        <sz val="9"/>
        <rFont val="Calibri"/>
        <family val="2"/>
      </rPr>
      <t xml:space="preserve"> </t>
    </r>
    <r>
      <rPr>
        <b/>
        <sz val="9"/>
        <rFont val="Calibri"/>
        <family val="2"/>
      </rPr>
      <t xml:space="preserve">(25 `C) </t>
    </r>
  </si>
  <si>
    <r>
      <rPr>
        <b/>
        <sz val="9"/>
        <rFont val="Calibri"/>
        <family val="2"/>
      </rPr>
      <t xml:space="preserve">Avg. Interlab.  </t>
    </r>
    <r>
      <rPr>
        <b/>
        <i/>
        <sz val="9"/>
        <rFont val="Calibri"/>
        <family val="2"/>
      </rPr>
      <t>log S</t>
    </r>
    <r>
      <rPr>
        <b/>
        <i/>
        <vertAlign val="subscript"/>
        <sz val="9"/>
        <rFont val="Calibri"/>
        <family val="2"/>
      </rPr>
      <t>0</t>
    </r>
    <r>
      <rPr>
        <b/>
        <vertAlign val="subscript"/>
        <sz val="9"/>
        <rFont val="Calibri"/>
        <family val="2"/>
      </rPr>
      <t xml:space="preserve"> </t>
    </r>
    <r>
      <rPr>
        <b/>
        <sz val="9"/>
        <rFont val="Calibri"/>
        <family val="2"/>
      </rPr>
      <t xml:space="preserve">(25 `C) </t>
    </r>
  </si>
  <si>
    <r>
      <rPr>
        <b/>
        <i/>
        <sz val="9"/>
        <rFont val="Calibri"/>
        <family val="2"/>
      </rPr>
      <t>log P</t>
    </r>
    <r>
      <rPr>
        <b/>
        <vertAlign val="subscript"/>
        <sz val="9"/>
        <rFont val="Calibri"/>
        <family val="2"/>
      </rPr>
      <t>oct-water</t>
    </r>
    <r>
      <rPr>
        <b/>
        <sz val="9"/>
        <rFont val="Calibri"/>
        <family val="2"/>
      </rPr>
      <t xml:space="preserve">  calc in RDKit</t>
    </r>
  </si>
  <si>
    <r>
      <rPr>
        <b/>
        <i/>
        <sz val="9"/>
        <rFont val="Calibri"/>
        <family val="2"/>
      </rPr>
      <t>log S</t>
    </r>
    <r>
      <rPr>
        <b/>
        <i/>
        <vertAlign val="subscript"/>
        <sz val="9"/>
        <rFont val="Calibri"/>
        <family val="2"/>
      </rPr>
      <t>0</t>
    </r>
    <r>
      <rPr>
        <b/>
        <sz val="9"/>
        <rFont val="Calibri"/>
        <family val="2"/>
      </rPr>
      <t xml:space="preserve">     calc by GSE</t>
    </r>
  </si>
  <si>
    <t>Graph Convolution Neural Network</t>
  </si>
  <si>
    <t>1.Sorkun, Murat Cihan, Abhishek Khetan, and Süleyman Er. "AqSolDB, a curated reference set of aqueous solubility and 2D descriptors for a diverse set of compounds." Scientific Data6.1 (2019): 1-8.</t>
  </si>
  <si>
    <t>Here, we used molecule groph as Descritors. The atom and adjacency matrix of molecule were calculated. The method of Graph Convolution Neural Network(GCN) was used to represent the relational mapping between atoms in molecular graphs. Finally, we find that the best relationship of molecules can be learned through the five-layer graph convolution network.</t>
  </si>
  <si>
    <r>
      <rPr>
        <b/>
        <sz val="20"/>
        <rFont val="Calibri"/>
        <family val="2"/>
        <scheme val="minor"/>
      </rPr>
      <t>INTRINSIC SOLUBILITY (MOLARITY) EXTERNAL TEST SET 2 (</t>
    </r>
    <r>
      <rPr>
        <b/>
        <i/>
        <sz val="22"/>
        <rFont val="Castellar"/>
        <charset val="134"/>
      </rPr>
      <t>HIGH</t>
    </r>
    <r>
      <rPr>
        <b/>
        <sz val="20"/>
        <rFont val="Calibri"/>
        <family val="2"/>
        <scheme val="minor"/>
      </rPr>
      <t xml:space="preserve"> interlab SD)</t>
    </r>
  </si>
  <si>
    <r>
      <rPr>
        <b/>
        <sz val="9"/>
        <rFont val="Calibri"/>
        <family val="2"/>
      </rPr>
      <t xml:space="preserve">PREDICTED </t>
    </r>
    <r>
      <rPr>
        <b/>
        <i/>
        <sz val="9"/>
        <rFont val="Calibri"/>
        <family val="2"/>
      </rPr>
      <t xml:space="preserve"> log S</t>
    </r>
    <r>
      <rPr>
        <b/>
        <i/>
        <vertAlign val="subscript"/>
        <sz val="9"/>
        <rFont val="Calibri"/>
        <family val="2"/>
      </rPr>
      <t>0</t>
    </r>
    <r>
      <rPr>
        <b/>
        <vertAlign val="subscript"/>
        <sz val="9"/>
        <rFont val="Calibri"/>
        <family val="2"/>
      </rPr>
      <t xml:space="preserve"> </t>
    </r>
    <r>
      <rPr>
        <b/>
        <sz val="9"/>
        <rFont val="Calibri"/>
        <family val="2"/>
      </rPr>
      <t xml:space="preserve">(25 `C) </t>
    </r>
  </si>
  <si>
    <r>
      <rPr>
        <sz val="11"/>
        <color theme="1"/>
        <rFont val="Calibri"/>
        <family val="2"/>
        <scheme val="minor"/>
      </rPr>
      <t xml:space="preserve">NOTE: three underlined melting points (in red) were calculated by open-source program: </t>
    </r>
    <r>
      <rPr>
        <u/>
        <sz val="11"/>
        <color rgb="FF0070C0"/>
        <rFont val="Calibri"/>
        <family val="2"/>
        <scheme val="minor"/>
      </rPr>
      <t xml:space="preserve">www.qsardb.org/repository/predictor/10967/104?model=rf </t>
    </r>
  </si>
  <si>
    <r>
      <rPr>
        <sz val="11"/>
        <color theme="1"/>
        <rFont val="Calibri"/>
        <family val="2"/>
        <scheme val="minor"/>
      </rPr>
      <t xml:space="preserve">n(tr) = number of molecules in the </t>
    </r>
    <r>
      <rPr>
        <u/>
        <sz val="11"/>
        <color theme="1"/>
        <rFont val="Calibri"/>
        <family val="2"/>
        <scheme val="minor"/>
      </rPr>
      <t>training</t>
    </r>
    <r>
      <rPr>
        <sz val="11"/>
        <color theme="1"/>
        <rFont val="Calibri"/>
        <family val="2"/>
        <scheme val="minor"/>
      </rPr>
      <t xml:space="preserve"> set;  n(va) = number in the </t>
    </r>
    <r>
      <rPr>
        <u/>
        <sz val="11"/>
        <color theme="1"/>
        <rFont val="Calibri"/>
        <family val="2"/>
        <scheme val="minor"/>
      </rPr>
      <t>validation</t>
    </r>
    <r>
      <rPr>
        <sz val="11"/>
        <color theme="1"/>
        <rFont val="Calibri"/>
        <family val="2"/>
        <scheme val="minor"/>
      </rPr>
      <t xml:space="preserve"> set; n(oob) = number in the RFR </t>
    </r>
    <r>
      <rPr>
        <u/>
        <sz val="11"/>
        <color theme="1"/>
        <rFont val="Calibri"/>
        <family val="2"/>
        <scheme val="minor"/>
      </rPr>
      <t>out-of-bag</t>
    </r>
    <r>
      <rPr>
        <sz val="11"/>
        <color theme="1"/>
        <rFont val="Calibri"/>
        <family val="2"/>
        <scheme val="minor"/>
      </rPr>
      <t xml:space="preserve"> validation set; n(te) = number in the external </t>
    </r>
    <r>
      <rPr>
        <u/>
        <sz val="11"/>
        <color theme="1"/>
        <rFont val="Calibri"/>
        <family val="2"/>
        <scheme val="minor"/>
      </rPr>
      <t>test</t>
    </r>
    <r>
      <rPr>
        <sz val="11"/>
        <color theme="1"/>
        <rFont val="Calibri"/>
        <family val="2"/>
        <scheme val="minor"/>
      </rPr>
      <t xml:space="preserve"> set.</t>
    </r>
  </si>
  <si>
    <r>
      <rPr>
        <b/>
        <sz val="12"/>
        <rFont val="Calibri"/>
        <family val="2"/>
        <scheme val="minor"/>
      </rPr>
      <t xml:space="preserve">Note: </t>
    </r>
    <r>
      <rPr>
        <b/>
        <u/>
        <sz val="12"/>
        <rFont val="Calibri"/>
        <family val="2"/>
        <scheme val="minor"/>
      </rPr>
      <t xml:space="preserve">underlined </t>
    </r>
    <r>
      <rPr>
        <b/>
        <sz val="12"/>
        <rFont val="Calibri"/>
        <family val="2"/>
        <scheme val="minor"/>
      </rPr>
      <t xml:space="preserve">references mainly contain compilations of solubility values in water, </t>
    </r>
    <r>
      <rPr>
        <b/>
        <i/>
        <sz val="12"/>
        <rFont val="Calibri"/>
        <family val="2"/>
        <scheme val="minor"/>
      </rPr>
      <t>S</t>
    </r>
    <r>
      <rPr>
        <b/>
        <i/>
        <vertAlign val="subscript"/>
        <sz val="12"/>
        <rFont val="Calibri"/>
        <family val="2"/>
        <scheme val="minor"/>
      </rPr>
      <t>w</t>
    </r>
    <r>
      <rPr>
        <b/>
        <sz val="12"/>
        <rFont val="Calibri"/>
        <family val="2"/>
        <scheme val="minor"/>
      </rPr>
      <t xml:space="preserve">,which is not always the same as intrinsic solubility values, </t>
    </r>
    <r>
      <rPr>
        <b/>
        <i/>
        <sz val="12"/>
        <rFont val="Calibri"/>
        <family val="2"/>
        <scheme val="minor"/>
      </rPr>
      <t>S</t>
    </r>
    <r>
      <rPr>
        <b/>
        <i/>
        <vertAlign val="subscript"/>
        <sz val="12"/>
        <rFont val="Calibri"/>
        <family val="2"/>
        <scheme val="minor"/>
      </rPr>
      <t>0</t>
    </r>
    <r>
      <rPr>
        <b/>
        <sz val="12"/>
        <rFont val="Calibri"/>
        <family val="2"/>
        <scheme val="minor"/>
      </rPr>
      <t xml:space="preserve">.  </t>
    </r>
  </si>
  <si>
    <r>
      <rPr>
        <b/>
        <sz val="12"/>
        <rFont val="Calibri"/>
        <family val="2"/>
        <scheme val="minor"/>
      </rPr>
      <t xml:space="preserve">The other references contain mostly </t>
    </r>
    <r>
      <rPr>
        <b/>
        <i/>
        <sz val="12"/>
        <rFont val="Calibri"/>
        <family val="2"/>
        <scheme val="minor"/>
      </rPr>
      <t>druglike</t>
    </r>
    <r>
      <rPr>
        <b/>
        <sz val="12"/>
        <rFont val="Calibri"/>
        <family val="2"/>
        <scheme val="minor"/>
      </rPr>
      <t xml:space="preserve"> molecules.</t>
    </r>
  </si>
  <si>
    <r>
      <rPr>
        <u/>
        <sz val="11"/>
        <color rgb="FFFF0000"/>
        <rFont val="Calibri"/>
        <family val="2"/>
        <scheme val="minor"/>
      </rPr>
      <t>[1]</t>
    </r>
    <r>
      <rPr>
        <u/>
        <sz val="11"/>
        <rFont val="Calibri"/>
        <family val="2"/>
        <scheme val="minor"/>
      </rPr>
      <t xml:space="preserve"> Yalkowsky SH, Dannenfelser RM. </t>
    </r>
    <r>
      <rPr>
        <b/>
        <u/>
        <sz val="11"/>
        <rFont val="Calibri"/>
        <family val="2"/>
        <scheme val="minor"/>
      </rPr>
      <t>1992.</t>
    </r>
    <r>
      <rPr>
        <u/>
        <sz val="11"/>
        <rFont val="Calibri"/>
        <family val="2"/>
        <scheme val="minor"/>
      </rPr>
      <t xml:space="preserve"> Aquasol Database of Aqueous Solubility, Version 5. College of Pharmacy, Univ. of Ariz, Tucson, AZ.</t>
    </r>
  </si>
  <si>
    <r>
      <rPr>
        <u/>
        <sz val="11"/>
        <rFont val="Calibri"/>
        <family val="2"/>
        <scheme val="minor"/>
      </rPr>
      <t xml:space="preserve">[2] Howard P, Meylan W. PHYSPROP DATABASE. Syracuse Research Corp.,  Environmental Science Center,  N. Syracuse, NY, Sept. </t>
    </r>
    <r>
      <rPr>
        <b/>
        <u/>
        <sz val="11"/>
        <rFont val="Calibri"/>
        <family val="2"/>
        <scheme val="minor"/>
      </rPr>
      <t>1999.</t>
    </r>
  </si>
  <si>
    <r>
      <rPr>
        <u/>
        <sz val="11"/>
        <color rgb="FFFF0000"/>
        <rFont val="Calibri"/>
        <family val="2"/>
        <scheme val="minor"/>
      </rPr>
      <t>[3]</t>
    </r>
    <r>
      <rPr>
        <u/>
        <sz val="11"/>
        <rFont val="Calibri"/>
        <family val="2"/>
        <scheme val="minor"/>
      </rPr>
      <t xml:space="preserve"> Huuskonen J. Estimation of aqueous Solubility for a diverse set of organic compounds based on molecular topology. J. Chem. Inf. Comput. Sci. </t>
    </r>
    <r>
      <rPr>
        <b/>
        <u/>
        <sz val="11"/>
        <rFont val="Calibri"/>
        <family val="2"/>
        <scheme val="minor"/>
      </rPr>
      <t>2000,</t>
    </r>
    <r>
      <rPr>
        <u/>
        <sz val="11"/>
        <rFont val="Calibri"/>
        <family val="2"/>
        <scheme val="minor"/>
      </rPr>
      <t xml:space="preserve"> 40, 773-777.</t>
    </r>
  </si>
  <si>
    <r>
      <rPr>
        <sz val="11"/>
        <rFont val="Calibri"/>
        <family val="2"/>
        <scheme val="minor"/>
      </rPr>
      <t>[4] Avdeef A, Berger CM, Brownell C. pH-metric solubility. 2.  Correlation between the acid-base titration and the saturation shake-flask solubility-pH methods. Pharm. Res. 17</t>
    </r>
    <r>
      <rPr>
        <b/>
        <sz val="11"/>
        <rFont val="Calibri"/>
        <family val="2"/>
        <scheme val="minor"/>
      </rPr>
      <t xml:space="preserve"> (2000)</t>
    </r>
    <r>
      <rPr>
        <sz val="11"/>
        <rFont val="Calibri"/>
        <family val="2"/>
        <scheme val="minor"/>
      </rPr>
      <t xml:space="preserve"> 85-89.</t>
    </r>
  </si>
  <si>
    <r>
      <rPr>
        <sz val="11"/>
        <rFont val="Calibri"/>
        <family val="2"/>
        <scheme val="minor"/>
      </rPr>
      <t xml:space="preserve">[5] Avdeef A, Berger CM. pH-metric solubility. 3. Dissolution titration template method for solubility determination. Eur. J. Pharm. Sci. 14 </t>
    </r>
    <r>
      <rPr>
        <b/>
        <sz val="11"/>
        <rFont val="Calibri"/>
        <family val="2"/>
        <scheme val="minor"/>
      </rPr>
      <t>(2001)</t>
    </r>
    <r>
      <rPr>
        <sz val="11"/>
        <rFont val="Calibri"/>
        <family val="2"/>
        <scheme val="minor"/>
      </rPr>
      <t xml:space="preserve"> 281-291.</t>
    </r>
  </si>
  <si>
    <r>
      <rPr>
        <sz val="11"/>
        <rFont val="Calibri"/>
        <family val="2"/>
        <scheme val="minor"/>
      </rPr>
      <t xml:space="preserve">[6] Bergstrom, C. A.; Norinder, U.; Luthman, K.; Artursson, P. Experimental and computational screening models for prediction of aqueous drug solubility. Pharm. Res. </t>
    </r>
    <r>
      <rPr>
        <b/>
        <sz val="11"/>
        <rFont val="Calibri"/>
        <family val="2"/>
        <scheme val="minor"/>
      </rPr>
      <t>2002,</t>
    </r>
    <r>
      <rPr>
        <sz val="11"/>
        <rFont val="Calibri"/>
        <family val="2"/>
        <scheme val="minor"/>
      </rPr>
      <t xml:space="preserve"> 19, 182-188.</t>
    </r>
  </si>
  <si>
    <r>
      <rPr>
        <u/>
        <sz val="11"/>
        <rFont val="Calibri"/>
        <family val="2"/>
        <scheme val="minor"/>
      </rPr>
      <t xml:space="preserve">[7] Yalkowsky SH, He Y, Jain P. Handbook of Aqueous Solubility Data. CRC Press - Taylor &amp; Francis Group: Boca Raton, FL, </t>
    </r>
    <r>
      <rPr>
        <b/>
        <u/>
        <sz val="11"/>
        <rFont val="Calibri"/>
        <family val="2"/>
        <scheme val="minor"/>
      </rPr>
      <t>2003.</t>
    </r>
  </si>
  <si>
    <r>
      <rPr>
        <sz val="11"/>
        <rFont val="Calibri"/>
        <family val="2"/>
        <scheme val="minor"/>
      </rPr>
      <t xml:space="preserve">[8] Bergstrom, C. A.; Wassvik, C. M.; Norinder, U.; Luthman, K.; Artursson, P. Global and local computational models for aqueous solubility prediction of druglike molecules. J. Chem. Inf. Comput. Sci. </t>
    </r>
    <r>
      <rPr>
        <b/>
        <sz val="11"/>
        <rFont val="Calibri"/>
        <family val="2"/>
        <scheme val="minor"/>
      </rPr>
      <t>2004,</t>
    </r>
    <r>
      <rPr>
        <sz val="11"/>
        <rFont val="Calibri"/>
        <family val="2"/>
        <scheme val="minor"/>
      </rPr>
      <t xml:space="preserve"> 44, 1477-1488.</t>
    </r>
  </si>
  <si>
    <r>
      <rPr>
        <sz val="11"/>
        <rFont val="Calibri"/>
        <family val="2"/>
        <scheme val="minor"/>
      </rPr>
      <t xml:space="preserve">[9] Bergström CAS, Luthman K, Artursson P. Accuracy of calculated pH-dependent aqueous drug solubility.  Eur. J. Pharm. Sci. </t>
    </r>
    <r>
      <rPr>
        <b/>
        <sz val="11"/>
        <rFont val="Calibri"/>
        <family val="2"/>
        <scheme val="minor"/>
      </rPr>
      <t>2004,</t>
    </r>
    <r>
      <rPr>
        <sz val="11"/>
        <rFont val="Calibri"/>
        <family val="2"/>
        <scheme val="minor"/>
      </rPr>
      <t xml:space="preserve"> 22, 387-398.</t>
    </r>
  </si>
  <si>
    <r>
      <rPr>
        <u/>
        <sz val="11"/>
        <rFont val="Calibri"/>
        <family val="2"/>
        <scheme val="minor"/>
      </rPr>
      <t xml:space="preserve">[10] Rytting E, Lentz KA, Chen XQ, Qian F, Venkatesh S. A quantitative structure-property relationship for predicting drug solubility in PEG400/water cosolvent systems. Pharm Res. </t>
    </r>
    <r>
      <rPr>
        <b/>
        <u/>
        <sz val="11"/>
        <rFont val="Calibri"/>
        <family val="2"/>
        <scheme val="minor"/>
      </rPr>
      <t>2004;</t>
    </r>
    <r>
      <rPr>
        <u/>
        <sz val="11"/>
        <rFont val="Calibri"/>
        <family val="2"/>
        <scheme val="minor"/>
      </rPr>
      <t xml:space="preserve"> 21:237-244.</t>
    </r>
  </si>
  <si>
    <r>
      <rPr>
        <u/>
        <sz val="11"/>
        <rFont val="Calibri"/>
        <family val="2"/>
        <scheme val="minor"/>
      </rPr>
      <t xml:space="preserve">[11] Rytting E, Lentz KA, Chen XQ, Qian F, Venkatesh S. Aqueous and cosolvent solubility data for drug-like organic compounds.  AAPS J. </t>
    </r>
    <r>
      <rPr>
        <b/>
        <u/>
        <sz val="11"/>
        <rFont val="Calibri"/>
        <family val="2"/>
        <scheme val="minor"/>
      </rPr>
      <t>2005,</t>
    </r>
    <r>
      <rPr>
        <u/>
        <sz val="11"/>
        <rFont val="Calibri"/>
        <family val="2"/>
        <scheme val="minor"/>
      </rPr>
      <t xml:space="preserve"> 7(1) Article 10, E78-E105.</t>
    </r>
  </si>
  <si>
    <r>
      <rPr>
        <sz val="11"/>
        <rFont val="Calibri"/>
        <family val="2"/>
        <scheme val="minor"/>
      </rPr>
      <t xml:space="preserve">[12] Sköld C, Winiwarter S, Wernevik J, Bergström F, Engström L, Allen R, Box K, Comer J, Mole J, Hallberg A, Lennernäs H, Lundstedt T, Ungell A-L, Karlén A. Presentation of a structurally diverse and commercially available drug data set for correlation and benchmarking studies.  J. Med. Chem. </t>
    </r>
    <r>
      <rPr>
        <b/>
        <sz val="11"/>
        <rFont val="Calibri"/>
        <family val="2"/>
        <scheme val="minor"/>
      </rPr>
      <t>2006,</t>
    </r>
    <r>
      <rPr>
        <sz val="11"/>
        <rFont val="Calibri"/>
        <family val="2"/>
        <scheme val="minor"/>
      </rPr>
      <t xml:space="preserve"> 49, 6660-6671.</t>
    </r>
  </si>
  <si>
    <r>
      <rPr>
        <sz val="11"/>
        <rFont val="Calibri"/>
        <family val="2"/>
        <scheme val="minor"/>
      </rPr>
      <t xml:space="preserve">[13] Wassvik, C. M.; Holmen, A. G.; Bergstrom, C. A.; Zamora, I.; Artursson, P. Contribution of solid-state properties to the aqueous solubility of drugs. Eur. J. Pharm. Sci. </t>
    </r>
    <r>
      <rPr>
        <b/>
        <sz val="11"/>
        <rFont val="Calibri"/>
        <family val="2"/>
        <scheme val="minor"/>
      </rPr>
      <t>2006,</t>
    </r>
    <r>
      <rPr>
        <sz val="11"/>
        <rFont val="Calibri"/>
        <family val="2"/>
        <scheme val="minor"/>
      </rPr>
      <t xml:space="preserve"> 29, 294-305</t>
    </r>
  </si>
  <si>
    <r>
      <rPr>
        <sz val="11"/>
        <rFont val="Calibri"/>
        <family val="2"/>
        <scheme val="minor"/>
      </rPr>
      <t xml:space="preserve">[14] Llinàs A, Glen RC, Goodman JM. Solubility challenge: Can you predict solubilities of 32 molecules using a database of 100 reliable measurements? J. Chem. Inf. Model. </t>
    </r>
    <r>
      <rPr>
        <b/>
        <sz val="11"/>
        <rFont val="Calibri"/>
        <family val="2"/>
        <scheme val="minor"/>
      </rPr>
      <t>2008,</t>
    </r>
    <r>
      <rPr>
        <sz val="11"/>
        <rFont val="Calibri"/>
        <family val="2"/>
        <scheme val="minor"/>
      </rPr>
      <t xml:space="preserve"> 48, 1289-1303.</t>
    </r>
  </si>
  <si>
    <r>
      <rPr>
        <sz val="11"/>
        <rFont val="Calibri"/>
        <family val="2"/>
        <scheme val="minor"/>
      </rPr>
      <t xml:space="preserve">[15] Hopfinger AJ, Esposito EX, Llinàs A, Glen RC, Goodman JM. Findings of the challenge to predict aqueous solubility. J. Chem. Inf. Model. </t>
    </r>
    <r>
      <rPr>
        <b/>
        <sz val="11"/>
        <rFont val="Calibri"/>
        <family val="2"/>
        <scheme val="minor"/>
      </rPr>
      <t>2009,</t>
    </r>
    <r>
      <rPr>
        <sz val="11"/>
        <rFont val="Calibri"/>
        <family val="2"/>
        <scheme val="minor"/>
      </rPr>
      <t xml:space="preserve"> 49, 1-5.</t>
    </r>
  </si>
  <si>
    <r>
      <rPr>
        <u/>
        <sz val="11"/>
        <rFont val="Calibri"/>
        <family val="2"/>
        <scheme val="minor"/>
      </rPr>
      <t xml:space="preserve">[16] Yalkowsky SH, He Y, Jain P. Handbook of Aqueous Solubility Data. Second Edition.  CRC Press - Taylor &amp; Francis Group: Boca Raton, FL, </t>
    </r>
    <r>
      <rPr>
        <b/>
        <u/>
        <sz val="11"/>
        <rFont val="Calibri"/>
        <family val="2"/>
        <scheme val="minor"/>
      </rPr>
      <t>2010.</t>
    </r>
  </si>
  <si>
    <r>
      <rPr>
        <sz val="11"/>
        <rFont val="Calibri"/>
        <family val="2"/>
        <scheme val="minor"/>
      </rPr>
      <t xml:space="preserve">[17] Boobier S, Osbourn A, Mitchell JBO. Can human experts predict solubility better than computers? J. Cheminform. </t>
    </r>
    <r>
      <rPr>
        <b/>
        <sz val="11"/>
        <rFont val="Calibri"/>
        <family val="2"/>
        <scheme val="minor"/>
      </rPr>
      <t>(2017)</t>
    </r>
    <r>
      <rPr>
        <sz val="11"/>
        <rFont val="Calibri"/>
        <family val="2"/>
        <scheme val="minor"/>
      </rPr>
      <t xml:space="preserve"> 9:63. https://doi: 10.1186/s13321-017-0250-y. </t>
    </r>
  </si>
  <si>
    <r>
      <rPr>
        <sz val="11"/>
        <rFont val="Calibri"/>
        <family val="2"/>
        <scheme val="minor"/>
      </rPr>
      <t xml:space="preserve">[18] Baek K, Jeon SB, Kim BK, Kang NS.Method validation for equilibrium solubility and determination of temperature effect on the ionization constant and intrinsic solubility of drugs. J Pharm Sci Emerg Drugs 6 </t>
    </r>
    <r>
      <rPr>
        <b/>
        <sz val="11"/>
        <rFont val="Calibri"/>
        <family val="2"/>
        <scheme val="minor"/>
      </rPr>
      <t>(2018)</t>
    </r>
    <r>
      <rPr>
        <sz val="11"/>
        <rFont val="Calibri"/>
        <family val="2"/>
        <scheme val="minor"/>
      </rPr>
      <t xml:space="preserve"> 1-6. DOI: 10.4172/2380-9477.1000125.</t>
    </r>
  </si>
  <si>
    <r>
      <rPr>
        <sz val="11"/>
        <color theme="1"/>
        <rFont val="Calibri"/>
        <family val="2"/>
        <scheme val="minor"/>
      </rPr>
      <t xml:space="preserve">(Please add your most important references, </t>
    </r>
    <r>
      <rPr>
        <i/>
        <sz val="11"/>
        <color theme="1"/>
        <rFont val="Calibri"/>
        <family val="2"/>
        <scheme val="minor"/>
      </rPr>
      <t>if not in the above list</t>
    </r>
    <r>
      <rPr>
        <sz val="11"/>
        <color theme="1"/>
        <rFont val="Calibri"/>
        <family val="2"/>
        <scheme val="minor"/>
      </rPr>
      <t>. We intend to publish the combined lists of recommended data sourses.)</t>
    </r>
  </si>
  <si>
    <t>Sorkun, Murat Cihan, Abhishek Khetan, and Süleyman Er. "AqSolDB, a curated reference set of aqueous solubility and 2D descriptors for a diverse set of compounds." Scientific Data6.1 (2019): 1-8.</t>
  </si>
  <si>
    <t>Here, we used molecule groph as Descritors. The atom and adjacency matrix of molecule were calculated. The method of Graph Convolution Neural Network(GCN) was used to represent the relational mapping between atoms in molecular graphs. Finally, we find that the best relationship of molecules can be learned through the five-layer graph convolution network.We also use some methods to prevent over-fitting.</t>
  </si>
  <si>
    <r>
      <t xml:space="preserve">[6] Bergstrom, C. A.; Norinder, U.; Luthman, K.; Artursson, P. Experimental and computational screening models for prediction of aqueous drug solubility. Pharm. Res. </t>
    </r>
    <r>
      <rPr>
        <b/>
        <sz val="8"/>
        <rFont val="Calibri"/>
        <family val="2"/>
        <scheme val="minor"/>
      </rPr>
      <t>2002,</t>
    </r>
    <r>
      <rPr>
        <sz val="8"/>
        <rFont val="Calibri"/>
        <family val="2"/>
        <scheme val="minor"/>
      </rPr>
      <t xml:space="preserve"> 19, 182-188.</t>
    </r>
  </si>
  <si>
    <t xml:space="preserve">Avdeef, Alex. (2019). Multi-lab intrinsic solubility measurement reproducibility in CheqSol and shake-flask methods. ADMET and DMPK. 7. 1-10. 10.5599/admet.698. </t>
  </si>
  <si>
    <t>0.626</t>
  </si>
  <si>
    <t>0.959</t>
  </si>
  <si>
    <t>MOE 2D Descriptors (all)</t>
  </si>
  <si>
    <r>
      <t>PARTICIPANTS USE THEIR OWN INTRINSIC SOLUBILITY (</t>
    </r>
    <r>
      <rPr>
        <b/>
        <i/>
        <sz val="18"/>
        <rFont val="Calibri"/>
        <family val="2"/>
      </rPr>
      <t>log S</t>
    </r>
    <r>
      <rPr>
        <b/>
        <i/>
        <vertAlign val="subscript"/>
        <sz val="18"/>
        <rFont val="Calibri"/>
        <family val="2"/>
      </rPr>
      <t>0</t>
    </r>
    <r>
      <rPr>
        <b/>
        <sz val="18"/>
        <rFont val="Calibri"/>
        <family val="2"/>
      </rPr>
      <t xml:space="preserve">) TRAINING SET OF COMPOUNDS - enter the predicted values in log </t>
    </r>
    <r>
      <rPr>
        <b/>
        <sz val="18"/>
        <color rgb="FFFF0000"/>
        <rFont val="Calibri"/>
        <family val="2"/>
      </rPr>
      <t>molarity</t>
    </r>
    <r>
      <rPr>
        <b/>
        <sz val="18"/>
        <rFont val="Calibri"/>
        <family val="2"/>
      </rPr>
      <t xml:space="preserve"> units</t>
    </r>
  </si>
  <si>
    <r>
      <t xml:space="preserve">SELECT </t>
    </r>
    <r>
      <rPr>
        <b/>
        <u/>
        <sz val="11"/>
        <color rgb="FFFF0000"/>
        <rFont val="Calibri"/>
        <family val="2"/>
      </rPr>
      <t>ONE</t>
    </r>
    <r>
      <rPr>
        <b/>
        <sz val="11"/>
        <color rgb="FFFF0000"/>
        <rFont val="Calibri"/>
        <family val="2"/>
      </rPr>
      <t xml:space="preserve"> OF THE THREE OPTIONS:</t>
    </r>
  </si>
  <si>
    <r>
      <t xml:space="preserve">               (i) None of the external test set molecules in the lists below was used in training the prediction model; i.e., all test set molecules found in the training set have been </t>
    </r>
    <r>
      <rPr>
        <b/>
        <u/>
        <sz val="11"/>
        <color rgb="FFFF0000"/>
        <rFont val="Calibri"/>
        <family val="2"/>
      </rPr>
      <t>removed</t>
    </r>
    <r>
      <rPr>
        <b/>
        <sz val="11"/>
        <color rgb="FFFF0000"/>
        <rFont val="Calibri"/>
        <family val="2"/>
      </rPr>
      <t xml:space="preserve"> and the model was re-trained.</t>
    </r>
  </si>
  <si>
    <r>
      <t xml:space="preserve">Please note: Yalkowsky's General Solubility Equation (GSE) results are cited below as a semi-empirical  benchmark for predicting solubility (using </t>
    </r>
    <r>
      <rPr>
        <b/>
        <i/>
        <sz val="11"/>
        <rFont val="Calibri"/>
        <family val="2"/>
      </rPr>
      <t>experimental</t>
    </r>
    <r>
      <rPr>
        <b/>
        <sz val="11"/>
        <rFont val="Calibri"/>
        <family val="2"/>
      </rPr>
      <t xml:space="preserve"> melting points and </t>
    </r>
    <r>
      <rPr>
        <b/>
        <i/>
        <sz val="11"/>
        <rFont val="Calibri"/>
        <family val="2"/>
      </rPr>
      <t>calculated</t>
    </r>
    <r>
      <rPr>
        <b/>
        <sz val="11"/>
        <rFont val="Calibri"/>
        <family val="2"/>
      </rPr>
      <t xml:space="preserve"> octanol-water </t>
    </r>
    <r>
      <rPr>
        <b/>
        <i/>
        <sz val="11"/>
        <rFont val="Calibri"/>
        <family val="2"/>
      </rPr>
      <t>log P</t>
    </r>
    <r>
      <rPr>
        <b/>
        <sz val="11"/>
        <rFont val="Calibri"/>
        <family val="2"/>
      </rPr>
      <t>).</t>
    </r>
  </si>
  <si>
    <r>
      <t>INTRINSIC SOLUBILITY (MOLARITY) EXTERNAL TEST SET 1 (</t>
    </r>
    <r>
      <rPr>
        <b/>
        <i/>
        <sz val="22"/>
        <rFont val="Castellar"/>
      </rPr>
      <t>AVERAGE</t>
    </r>
    <r>
      <rPr>
        <b/>
        <sz val="20"/>
        <rFont val="Calibri"/>
        <family val="2"/>
      </rPr>
      <t xml:space="preserve"> interlab SD)</t>
    </r>
  </si>
  <si>
    <r>
      <t xml:space="preserve">PREDICTED  </t>
    </r>
    <r>
      <rPr>
        <b/>
        <i/>
        <sz val="9"/>
        <rFont val="Calibri"/>
        <family val="2"/>
      </rPr>
      <t>log S</t>
    </r>
    <r>
      <rPr>
        <b/>
        <i/>
        <vertAlign val="subscript"/>
        <sz val="9"/>
        <rFont val="Calibri"/>
        <family val="2"/>
      </rPr>
      <t>0</t>
    </r>
    <r>
      <rPr>
        <b/>
        <vertAlign val="subscript"/>
        <sz val="9"/>
        <rFont val="Calibri"/>
        <family val="2"/>
      </rPr>
      <t xml:space="preserve"> </t>
    </r>
    <r>
      <rPr>
        <b/>
        <sz val="9"/>
        <rFont val="Calibri"/>
        <family val="2"/>
      </rPr>
      <t xml:space="preserve">(25 `C) </t>
    </r>
  </si>
  <si>
    <r>
      <t xml:space="preserve">Avg. Interlab.  </t>
    </r>
    <r>
      <rPr>
        <b/>
        <i/>
        <sz val="9"/>
        <rFont val="Calibri"/>
        <family val="2"/>
      </rPr>
      <t>log S</t>
    </r>
    <r>
      <rPr>
        <b/>
        <i/>
        <vertAlign val="subscript"/>
        <sz val="9"/>
        <rFont val="Calibri"/>
        <family val="2"/>
      </rPr>
      <t>0</t>
    </r>
    <r>
      <rPr>
        <b/>
        <vertAlign val="subscript"/>
        <sz val="9"/>
        <rFont val="Calibri"/>
        <family val="2"/>
      </rPr>
      <t xml:space="preserve"> </t>
    </r>
    <r>
      <rPr>
        <b/>
        <sz val="9"/>
        <rFont val="Calibri"/>
        <family val="2"/>
      </rPr>
      <t xml:space="preserve">(25 `C) </t>
    </r>
  </si>
  <si>
    <r>
      <rPr>
        <b/>
        <i/>
        <sz val="9"/>
        <rFont val="Calibri"/>
        <family val="2"/>
      </rPr>
      <t>log P</t>
    </r>
    <r>
      <rPr>
        <b/>
        <vertAlign val="subscript"/>
        <sz val="9"/>
        <rFont val="Calibri"/>
        <family val="2"/>
      </rPr>
      <t>oct-water</t>
    </r>
    <r>
      <rPr>
        <b/>
        <sz val="9"/>
        <rFont val="Calibri"/>
        <family val="2"/>
      </rPr>
      <t xml:space="preserve">  calc in RDKit</t>
    </r>
  </si>
  <si>
    <r>
      <rPr>
        <b/>
        <i/>
        <sz val="9"/>
        <rFont val="Calibri"/>
        <family val="2"/>
      </rPr>
      <t>log S</t>
    </r>
    <r>
      <rPr>
        <b/>
        <i/>
        <vertAlign val="subscript"/>
        <sz val="9"/>
        <rFont val="Calibri"/>
        <family val="2"/>
      </rPr>
      <t>0</t>
    </r>
    <r>
      <rPr>
        <b/>
        <sz val="9"/>
        <rFont val="Calibri"/>
        <family val="2"/>
      </rPr>
      <t xml:space="preserve">     calc by GSE</t>
    </r>
  </si>
  <si>
    <t>message passing neural network (https://pubs.acs.org/doi/pdf/10.1021/acs.jcim.9b00237?rand=dwyp9l0b, https://github.com/swansonk14/chemprop/)</t>
  </si>
  <si>
    <t>From below:</t>
  </si>
  <si>
    <t>[4] Avdeef</t>
  </si>
  <si>
    <t>[5] Avdeef</t>
  </si>
  <si>
    <t>[6] Bergstrom</t>
  </si>
  <si>
    <t>[8] Bergstrom</t>
  </si>
  <si>
    <t>[9] Bergstrom</t>
  </si>
  <si>
    <t>[12] Skold</t>
  </si>
  <si>
    <t>[13] Wassvik</t>
  </si>
  <si>
    <t>[14] Llinas</t>
  </si>
  <si>
    <t>[15] Hopfinger</t>
  </si>
  <si>
    <t>[17] Boobier</t>
  </si>
  <si>
    <t>[18] Baek</t>
  </si>
  <si>
    <t>Additional sources:</t>
  </si>
  <si>
    <t>AqSolDB (https://www.nature.com/articles/s41597-019-0151-1)</t>
  </si>
  <si>
    <t>ESOL (https://pubs.acs.org/doi/10.1021/ci034243x)</t>
  </si>
  <si>
    <t>Please see the list of atom and bond features on page 3373 of https://pubs.acs.org/doi/pdf/10.1021/acs.jcim.9b00237?rand=dwyp9l0b and the list of 200 RDKit features on pages S41 to S44 of https://pubs.acs.org/doi/suppl/10.1021/acs.jcim.9b00237/suppl_file/ci9b00237_si_001.pdf</t>
  </si>
  <si>
    <r>
      <t>INTRINSIC SOLUBILITY (MOLARITY) EXTERNAL TEST SET 2 (</t>
    </r>
    <r>
      <rPr>
        <b/>
        <i/>
        <sz val="22"/>
        <rFont val="Castellar"/>
      </rPr>
      <t>HIGH</t>
    </r>
    <r>
      <rPr>
        <b/>
        <sz val="20"/>
        <rFont val="Calibri"/>
        <family val="2"/>
      </rPr>
      <t xml:space="preserve"> interlab SD)</t>
    </r>
  </si>
  <si>
    <r>
      <t xml:space="preserve">PREDICTED </t>
    </r>
    <r>
      <rPr>
        <b/>
        <i/>
        <sz val="9"/>
        <rFont val="Calibri"/>
        <family val="2"/>
      </rPr>
      <t xml:space="preserve"> log S</t>
    </r>
    <r>
      <rPr>
        <b/>
        <i/>
        <vertAlign val="subscript"/>
        <sz val="9"/>
        <rFont val="Calibri"/>
        <family val="2"/>
      </rPr>
      <t>0</t>
    </r>
    <r>
      <rPr>
        <b/>
        <vertAlign val="subscript"/>
        <sz val="9"/>
        <rFont val="Calibri"/>
        <family val="2"/>
      </rPr>
      <t xml:space="preserve"> </t>
    </r>
    <r>
      <rPr>
        <b/>
        <sz val="9"/>
        <rFont val="Calibri"/>
        <family val="2"/>
      </rPr>
      <t xml:space="preserve">(25 `C) </t>
    </r>
  </si>
  <si>
    <r>
      <t xml:space="preserve">NOTE: three underlined melting points (in red) were calculated by open-source program: </t>
    </r>
    <r>
      <rPr>
        <u/>
        <sz val="11"/>
        <color rgb="FF0070C0"/>
        <rFont val="Calibri"/>
        <family val="2"/>
      </rPr>
      <t xml:space="preserve">www.qsardb.org/repository/predictor/10967/104?model=rf </t>
    </r>
  </si>
  <si>
    <r>
      <t xml:space="preserve">n(tr) = number of molecules in the </t>
    </r>
    <r>
      <rPr>
        <u/>
        <sz val="11"/>
        <color theme="1"/>
        <rFont val="Calibri"/>
        <family val="2"/>
      </rPr>
      <t>training</t>
    </r>
    <r>
      <rPr>
        <sz val="11"/>
        <color theme="1"/>
        <rFont val="Calibri"/>
        <family val="2"/>
      </rPr>
      <t xml:space="preserve"> set;  n(va) = number in the </t>
    </r>
    <r>
      <rPr>
        <u/>
        <sz val="11"/>
        <color theme="1"/>
        <rFont val="Calibri"/>
        <family val="2"/>
      </rPr>
      <t>validation</t>
    </r>
    <r>
      <rPr>
        <sz val="11"/>
        <color theme="1"/>
        <rFont val="Calibri"/>
        <family val="2"/>
      </rPr>
      <t xml:space="preserve"> set; n(oob) = number in the RFR </t>
    </r>
    <r>
      <rPr>
        <u/>
        <sz val="11"/>
        <color theme="1"/>
        <rFont val="Calibri"/>
        <family val="2"/>
      </rPr>
      <t>out-of-bag</t>
    </r>
    <r>
      <rPr>
        <sz val="11"/>
        <color theme="1"/>
        <rFont val="Calibri"/>
        <family val="2"/>
      </rPr>
      <t xml:space="preserve"> validation set; n(te) = number in the external </t>
    </r>
    <r>
      <rPr>
        <u/>
        <sz val="11"/>
        <color theme="1"/>
        <rFont val="Calibri"/>
        <family val="2"/>
      </rPr>
      <t>test</t>
    </r>
    <r>
      <rPr>
        <sz val="11"/>
        <color theme="1"/>
        <rFont val="Calibri"/>
        <family val="2"/>
      </rPr>
      <t xml:space="preserve"> set.</t>
    </r>
  </si>
  <si>
    <r>
      <t xml:space="preserve">Note: </t>
    </r>
    <r>
      <rPr>
        <b/>
        <u/>
        <sz val="12"/>
        <rFont val="Calibri"/>
        <family val="2"/>
      </rPr>
      <t xml:space="preserve">underlined </t>
    </r>
    <r>
      <rPr>
        <b/>
        <sz val="12"/>
        <rFont val="Calibri"/>
        <family val="2"/>
      </rPr>
      <t xml:space="preserve">references mainly contain compilations of solubility values in water, </t>
    </r>
    <r>
      <rPr>
        <b/>
        <i/>
        <sz val="12"/>
        <rFont val="Calibri"/>
        <family val="2"/>
      </rPr>
      <t>S</t>
    </r>
    <r>
      <rPr>
        <b/>
        <i/>
        <vertAlign val="subscript"/>
        <sz val="12"/>
        <rFont val="Calibri"/>
        <family val="2"/>
      </rPr>
      <t>w</t>
    </r>
    <r>
      <rPr>
        <b/>
        <sz val="12"/>
        <rFont val="Calibri"/>
        <family val="2"/>
      </rPr>
      <t xml:space="preserve">,which is not always the same as intrinsic solubility values, </t>
    </r>
    <r>
      <rPr>
        <b/>
        <i/>
        <sz val="12"/>
        <rFont val="Calibri"/>
        <family val="2"/>
      </rPr>
      <t>S</t>
    </r>
    <r>
      <rPr>
        <b/>
        <i/>
        <vertAlign val="subscript"/>
        <sz val="12"/>
        <rFont val="Calibri"/>
        <family val="2"/>
      </rPr>
      <t>0</t>
    </r>
    <r>
      <rPr>
        <b/>
        <sz val="12"/>
        <rFont val="Calibri"/>
        <family val="2"/>
      </rPr>
      <t xml:space="preserve">.  </t>
    </r>
  </si>
  <si>
    <r>
      <t xml:space="preserve">The other references contain mostly </t>
    </r>
    <r>
      <rPr>
        <b/>
        <i/>
        <sz val="12"/>
        <rFont val="Calibri"/>
        <family val="2"/>
      </rPr>
      <t>druglike</t>
    </r>
    <r>
      <rPr>
        <b/>
        <sz val="12"/>
        <rFont val="Calibri"/>
        <family val="2"/>
      </rPr>
      <t xml:space="preserve"> molecules.</t>
    </r>
  </si>
  <si>
    <r>
      <t xml:space="preserve">[1] Yalkowsky SH, Dannenfelser RM. </t>
    </r>
    <r>
      <rPr>
        <b/>
        <u/>
        <sz val="11"/>
        <rFont val="Calibri"/>
        <family val="2"/>
      </rPr>
      <t>1992.</t>
    </r>
    <r>
      <rPr>
        <u/>
        <sz val="11"/>
        <rFont val="Calibri"/>
        <family val="2"/>
      </rPr>
      <t xml:space="preserve"> Aquasol Database of Aqueous Solubility, Version 5. College of Pharmacy, Univ. of Ariz, Tucson, AZ.</t>
    </r>
  </si>
  <si>
    <r>
      <t xml:space="preserve">[2] Howard P, Meylan W. PHYSPROP DATABASE. Syracuse Research Corp.,  Environmental Science Center,  N. Syracuse, NY, Sept. </t>
    </r>
    <r>
      <rPr>
        <b/>
        <u/>
        <sz val="11"/>
        <rFont val="Calibri"/>
        <family val="2"/>
      </rPr>
      <t>1999.</t>
    </r>
  </si>
  <si>
    <r>
      <t xml:space="preserve">[3] Huuskonen J. Estimation of aqueous Solubility for a diverse set of organic compounds based on molecular topology. J. Chem. Inf. Comput. Sci. </t>
    </r>
    <r>
      <rPr>
        <b/>
        <u/>
        <sz val="11"/>
        <rFont val="Calibri"/>
        <family val="2"/>
      </rPr>
      <t>2000,</t>
    </r>
    <r>
      <rPr>
        <u/>
        <sz val="11"/>
        <rFont val="Calibri"/>
        <family val="2"/>
      </rPr>
      <t xml:space="preserve"> 40, 773-777.</t>
    </r>
  </si>
  <si>
    <r>
      <t>[4] Avdeef A, Berger CM, Brownell C. pH-metric solubility. 2.  Correlation between the acid-base titration and the saturation shake-flask solubility-pH methods. Pharm. Res. 17</t>
    </r>
    <r>
      <rPr>
        <b/>
        <sz val="11"/>
        <rFont val="Calibri"/>
        <family val="2"/>
      </rPr>
      <t xml:space="preserve"> (2000)</t>
    </r>
    <r>
      <rPr>
        <sz val="11"/>
        <rFont val="Calibri"/>
        <family val="2"/>
      </rPr>
      <t xml:space="preserve"> 85-89.</t>
    </r>
  </si>
  <si>
    <r>
      <t xml:space="preserve">[5] Avdeef A, Berger CM. pH-metric solubility. 3. Dissolution titration template method for solubility determination. Eur. J. Pharm. Sci. 14 </t>
    </r>
    <r>
      <rPr>
        <b/>
        <sz val="11"/>
        <rFont val="Calibri"/>
        <family val="2"/>
      </rPr>
      <t>(2001)</t>
    </r>
    <r>
      <rPr>
        <sz val="11"/>
        <rFont val="Calibri"/>
        <family val="2"/>
      </rPr>
      <t xml:space="preserve"> 281-291.</t>
    </r>
  </si>
  <si>
    <r>
      <t xml:space="preserve">[6] Bergstrom, C. A.; Norinder, U.; Luthman, K.; Artursson, P. Experimental and computational screening models for prediction of aqueous drug solubility. Pharm. Res. </t>
    </r>
    <r>
      <rPr>
        <b/>
        <sz val="11"/>
        <rFont val="Calibri"/>
        <family val="2"/>
      </rPr>
      <t>2002,</t>
    </r>
    <r>
      <rPr>
        <sz val="11"/>
        <rFont val="Calibri"/>
        <family val="2"/>
      </rPr>
      <t xml:space="preserve"> 19, 182-188.</t>
    </r>
  </si>
  <si>
    <r>
      <t xml:space="preserve">[7] Yalkowsky SH, He Y, Jain P. Handbook of Aqueous Solubility Data. CRC Press - Taylor &amp; Francis Group: Boca Raton, FL, </t>
    </r>
    <r>
      <rPr>
        <b/>
        <u/>
        <sz val="11"/>
        <rFont val="Calibri"/>
        <family val="2"/>
      </rPr>
      <t>2003.</t>
    </r>
  </si>
  <si>
    <r>
      <t xml:space="preserve">[8] Bergstrom, C. A.; Wassvik, C. M.; Norinder, U.; Luthman, K.; Artursson, P. Global and local computational models for aqueous solubility prediction of druglike molecules. J. Chem. Inf. Comput. Sci. </t>
    </r>
    <r>
      <rPr>
        <b/>
        <sz val="11"/>
        <rFont val="Calibri"/>
        <family val="2"/>
      </rPr>
      <t>2004,</t>
    </r>
    <r>
      <rPr>
        <sz val="11"/>
        <rFont val="Calibri"/>
        <family val="2"/>
      </rPr>
      <t xml:space="preserve"> 44, 1477-1488.</t>
    </r>
  </si>
  <si>
    <r>
      <t xml:space="preserve">[9] Bergström CAS, Luthman K, Artursson P. Accuracy of calculated pH-dependent aqueous drug solubility.  Eur. J. Pharm. Sci. </t>
    </r>
    <r>
      <rPr>
        <b/>
        <sz val="11"/>
        <rFont val="Calibri"/>
        <family val="2"/>
      </rPr>
      <t>2004,</t>
    </r>
    <r>
      <rPr>
        <sz val="11"/>
        <rFont val="Calibri"/>
        <family val="2"/>
      </rPr>
      <t xml:space="preserve"> 22, 387-398.</t>
    </r>
  </si>
  <si>
    <r>
      <t xml:space="preserve">[10] Rytting E, Lentz KA, Chen XQ, Qian F, Venkatesh S. A quantitative structure-property relationship for predicting drug solubility in PEG400/water cosolvent systems. Pharm Res. </t>
    </r>
    <r>
      <rPr>
        <b/>
        <u/>
        <sz val="11"/>
        <rFont val="Calibri"/>
        <family val="2"/>
      </rPr>
      <t>2004;</t>
    </r>
    <r>
      <rPr>
        <u/>
        <sz val="11"/>
        <rFont val="Calibri"/>
        <family val="2"/>
      </rPr>
      <t xml:space="preserve"> 21:237-244.</t>
    </r>
  </si>
  <si>
    <r>
      <t xml:space="preserve">[11] Rytting E, Lentz KA, Chen XQ, Qian F, Venkatesh S. Aqueous and cosolvent solubility data for drug-like organic compounds.  AAPS J. </t>
    </r>
    <r>
      <rPr>
        <b/>
        <u/>
        <sz val="11"/>
        <rFont val="Calibri"/>
        <family val="2"/>
      </rPr>
      <t>2005,</t>
    </r>
    <r>
      <rPr>
        <u/>
        <sz val="11"/>
        <rFont val="Calibri"/>
        <family val="2"/>
      </rPr>
      <t xml:space="preserve"> 7(1) Article 10, E78-E105.</t>
    </r>
  </si>
  <si>
    <r>
      <t xml:space="preserve">[12] Sköld C, Winiwarter S, Wernevik J, Bergström F, Engström L, Allen R, Box K, Comer J, Mole J, Hallberg A, Lennernäs H, Lundstedt T, Ungell A-L, Karlén A. Presentation of a structurally diverse and commercially available drug data set for correlation and benchmarking studies.  J. Med. Chem. </t>
    </r>
    <r>
      <rPr>
        <b/>
        <sz val="11"/>
        <rFont val="Calibri"/>
        <family val="2"/>
      </rPr>
      <t>2006,</t>
    </r>
    <r>
      <rPr>
        <sz val="11"/>
        <rFont val="Calibri"/>
        <family val="2"/>
      </rPr>
      <t xml:space="preserve"> 49, 6660-6671.</t>
    </r>
  </si>
  <si>
    <r>
      <t xml:space="preserve">[13] Wassvik, C. M.; Holmen, A. G.; Bergstrom, C. A.; Zamora, I.; Artursson, P. Contribution of solid-state properties to the aqueous solubility of drugs. Eur. J. Pharm. Sci. </t>
    </r>
    <r>
      <rPr>
        <b/>
        <sz val="11"/>
        <rFont val="Calibri"/>
        <family val="2"/>
      </rPr>
      <t>2006,</t>
    </r>
    <r>
      <rPr>
        <sz val="11"/>
        <rFont val="Calibri"/>
        <family val="2"/>
      </rPr>
      <t xml:space="preserve"> 29, 294-305</t>
    </r>
  </si>
  <si>
    <r>
      <t xml:space="preserve">[14] Llinàs A, Glen RC, Goodman JM. Solubility challenge: Can you predict solubilities of 32 molecules using a database of 100 reliable measurements? J. Chem. Inf. Model. </t>
    </r>
    <r>
      <rPr>
        <b/>
        <sz val="11"/>
        <rFont val="Calibri"/>
        <family val="2"/>
      </rPr>
      <t>2008,</t>
    </r>
    <r>
      <rPr>
        <sz val="11"/>
        <rFont val="Calibri"/>
        <family val="2"/>
      </rPr>
      <t xml:space="preserve"> 48, 1289-1303.</t>
    </r>
  </si>
  <si>
    <r>
      <t xml:space="preserve">[15] Hopfinger AJ, Esposito EX, Llinàs A, Glen RC, Goodman JM. Findings of the challenge to predict aqueous solubility. J. Chem. Inf. Model. </t>
    </r>
    <r>
      <rPr>
        <b/>
        <sz val="11"/>
        <rFont val="Calibri"/>
        <family val="2"/>
      </rPr>
      <t>2009,</t>
    </r>
    <r>
      <rPr>
        <sz val="11"/>
        <rFont val="Calibri"/>
        <family val="2"/>
      </rPr>
      <t xml:space="preserve"> 49, 1-5.</t>
    </r>
  </si>
  <si>
    <r>
      <t xml:space="preserve">[16] Yalkowsky SH, He Y, Jain P. Handbook of Aqueous Solubility Data. Second Edition.  CRC Press - Taylor &amp; Francis Group: Boca Raton, FL, </t>
    </r>
    <r>
      <rPr>
        <b/>
        <u/>
        <sz val="11"/>
        <rFont val="Calibri"/>
        <family val="2"/>
      </rPr>
      <t>2010.</t>
    </r>
  </si>
  <si>
    <r>
      <t xml:space="preserve">[17] Boobier S, Osbourn A, Mitchell JBO. Can human experts predict solubility better than computers? J. Cheminform. </t>
    </r>
    <r>
      <rPr>
        <b/>
        <sz val="11"/>
        <rFont val="Calibri"/>
        <family val="2"/>
      </rPr>
      <t>(2017)</t>
    </r>
    <r>
      <rPr>
        <sz val="11"/>
        <rFont val="Calibri"/>
        <family val="2"/>
      </rPr>
      <t xml:space="preserve"> 9:63. https://doi: 10.1186/s13321-017-0250-y. </t>
    </r>
  </si>
  <si>
    <r>
      <t xml:space="preserve">[18] Baek K, Jeon SB, Kim BK, Kang NS.Method validation for equilibrium solubility and determination of temperature effect on the ionization constant and intrinsic solubility of drugs. J Pharm Sci Emerg Drugs 6 </t>
    </r>
    <r>
      <rPr>
        <b/>
        <sz val="11"/>
        <rFont val="Calibri"/>
        <family val="2"/>
      </rPr>
      <t>(2018)</t>
    </r>
    <r>
      <rPr>
        <sz val="11"/>
        <rFont val="Calibri"/>
        <family val="2"/>
      </rPr>
      <t xml:space="preserve"> 1-6. DOI: 10.4172/2380-9477.1000125.</t>
    </r>
  </si>
  <si>
    <r>
      <t xml:space="preserve">(Please add your most important references, </t>
    </r>
    <r>
      <rPr>
        <i/>
        <sz val="11"/>
        <color theme="1"/>
        <rFont val="Calibri"/>
        <family val="2"/>
      </rPr>
      <t>if not in the above list</t>
    </r>
    <r>
      <rPr>
        <sz val="11"/>
        <color theme="1"/>
        <rFont val="Calibri"/>
        <family val="2"/>
      </rPr>
      <t>. We intend to publish the combined lists of recommended data sourses.)</t>
    </r>
  </si>
  <si>
    <t xml:space="preserve">Experimental water solubility from EPI suite database 
(https://www.epa.gov/tsca-screening-tools/epi-suitetm-estimation-program-interface)
Conversion from water solubility to intrinsic solubility by using the pKa predicted with a neural network, trained on pKa experimental data from the QSAR toolbox.
(https://qsartoolbox.org/
Acidic and basic behaviour predicted with nAcid and nBasic descriptors calculated with Mordred
https://github.com/mordred-descriptor/mordred
</t>
  </si>
  <si>
    <t>All the descriptors (exclued the experimental log(P_oct_water) present in EPI database) were calculated with the Python package Mordred
https://github.com/mordred-descriptor/mordred
All the used descriptors are listed below
We refer to the original publication regarding the Mordred package for the detailed descriptions of each descriptor (doi: 10.1186/s13321-018-0258-y)
log(P_oct_water)
ABC
ABCGG
SpAbs_A
SpMax_A
SpDiam_A
SpAD_A
SpMAD_A
LogEE_A
VE1_A
VE2_A
VE3_A
VR1_A
VR2_A
VR3_A
nAromAtom
nAromBond
nAtom
nHeavyAtom
nHetero
nH
nC
nN
nO
nF
nCl
nX
ATS0dv
ATS1dv
ATS2dv
ATS3dv
ATS4dv
ATS5dv
ATS6dv
ATS7dv
ATS8dv
ATS0d
ATS1d
ATS2d
ATS3d
ATS4d
ATS5d
ATS6d
ATS7d
ATS8d
ATS0s
ATS1s
ATS2s
ATS3s
ATS4s
ATS5s
ATS6s
ATS7s
ATS8s
ATS0Z
ATS1Z
ATS2Z
ATS3Z
ATS4Z
ATS5Z
ATS6Z
ATS7Z
ATS8Z
ATS0m
ATS1m
ATS2m
ATS3m
ATS4m
ATS5m
ATS6m
ATS7m
ATS8m
ATS0v
ATS1v
ATS2v
ATS3v
ATS4v
ATS5v
ATS6v
ATS7v
ATS8v
ATS0se
ATS1se
ATS2se
ATS3se
ATS4se
ATS5se
ATS6se
ATS7se
ATS8se
ATS0pe
ATS1pe
ATS2pe
ATS3pe
ATS4pe
ATS5pe
ATS6pe
ATS7pe
ATS8pe
ATS0are
ATS1are
ATS2are
ATS3are
ATS4are
ATS5are
ATS6are
ATS7are
ATS8are
ATS0p
ATS1p
ATS2p
ATS3p
ATS4p
ATS5p
ATS6p
ATS7p
ATS8p
ATS0i
ATS1i
ATS2i
ATS3i
ATS4i
ATS5i
ATS6i
ATS7i
ATS8i
AATS0dv
AATS1dv
AATS2dv
AATS3dv
AATS0d
AATS1d
AATS2d
AATS3d
AATS0s
AATS1s
AATS2s
AATS3s
AATS0Z
AATS1Z
AATS2Z
AATS3Z
AATS0m
AATS1m
AATS2m
AATS3m
AATS0v
AATS1v
AATS2v
AATS3v
AATS0se
AATS1se
AATS2se
AATS3se
AATS0pe
AATS1pe
AATS2pe
AATS3pe
AATS0are
AATS1are
AATS2are
AATS3are
AATS0p
AATS1p
AATS2p
AATS3p
AATS0i
AATS1i
AATS2i
AATS3i
ATSC0dv
ATSC1dv
ATSC2dv
ATSC3dv
ATSC4dv
ATSC5dv
ATSC6dv
ATSC7dv
ATSC8dv
ATSC0d
ATSC1d
ATSC2d
ATSC3d
ATSC4d
ATSC5d
ATSC6d
ATSC7d
ATSC8d
ATSC0s
ATSC1s
ATSC2s
ATSC3s
ATSC4s
ATSC5s
ATSC6s
ATSC7s
ATSC8s
ATSC0Z
ATSC1Z
ATSC2Z
ATSC3Z
ATSC4Z
ATSC5Z
ATSC6Z
ATSC7Z
ATSC8Z
ATSC0m
ATSC1m
ATSC2m
ATSC3m
ATSC4m
ATSC5m
ATSC6m
ATSC7m
ATSC8m
ATSC0v
ATSC1v
ATSC2v
ATSC3v
ATSC4v
ATSC5v
ATSC6v
ATSC7v
ATSC8v
ATSC0se
ATSC1se
ATSC2se
ATSC3se
ATSC4se
ATSC5se
ATSC6se
ATSC7se
ATSC8se
ATSC0pe
ATSC1pe
ATSC2pe
ATSC3pe
ATSC4pe
ATSC5pe
ATSC6pe
ATSC7pe
ATSC8pe
ATSC0are
ATSC1are
ATSC2are
ATSC3are
ATSC4are
ATSC5are
ATSC6are
ATSC7are
ATSC8are
ATSC0p
ATSC1p
ATSC2p
ATSC3p
ATSC4p
ATSC5p
ATSC6p
ATSC7p
ATSC8p
ATSC0i
ATSC1i
ATSC2i
ATSC3i
ATSC4i
ATSC5i
ATSC6i
ATSC7i
ATSC8i
AATSC0dv
AATSC1dv
AATSC2dv
AATSC3dv
AATSC0d
AATSC1d
AATSC2d
AATSC3d
AATSC0s
AATSC1s
AATSC2s
AATSC3s
AATSC0Z
AATSC1Z
AATSC2Z
AATSC3Z
AATSC0m
AATSC1m
AATSC2m
AATSC3m
AATSC0v
AATSC1v
AATSC2v
AATSC3v
AATSC0se
AATSC1se
AATSC2se
AATSC3se
AATSC0pe
AATSC1pe
AATSC2pe
AATSC3pe
AATSC0are
AATSC1are
AATSC2are
AATSC3are
AATSC0p
AATSC1p
AATSC2p
AATSC3p
AATSC0i
AATSC1i
AATSC2i
AATSC3i
MATS1dv
MATS2dv
MATS3dv
MATS1d
MATS2d
MATS3d
MATS1s
MATS2s
MATS3s
MATS1Z
MATS2Z
MATS3Z
MATS1m
MATS2m
MATS3m
MATS1v
MATS2v
MATS3v
MATS1se
MATS2se
MATS3se
MATS1pe
MATS2pe
MATS3pe
MATS1are
MATS2are
MATS3are
MATS1p
MATS2p
MATS3p
MATS1i
MATS2i
MATS3i
GATS1dv
GATS2dv
GATS3dv
GATS1d
GATS2d
GATS3d
GATS1s
GATS2s
GATS3s
GATS1Z
GATS2Z
GATS3Z
GATS1m
GATS2m
GATS3m
GATS1v
GATS2v
GATS3v
GATS1se
GATS2se
GATS3se
GATS1pe
GATS2pe
GATS3pe
GATS1are
GATS2are
GATS3are
GATS1p
GATS2p
GATS3p
GATS1i
GATS2i
GATS3i
BCUTdv_1h
BCUTdv_1l
BCUTd_1h
BCUTd_1l
BCUTs_1h
BCUTs_1l
BCUTZ_1h
BCUTZ_1l
BCUTm_1h
BCUTm_1l
BCUTv_1h
BCUTv_1l
BCUTse_1h
BCUTse_1l
BCUTpe_1h
BCUTpe_1l
BCUTare_1h
BCUTare_1l
BCUTp_1h
BCUTp_1l
BCUTi_1h
BCUTi_1l
BalabanJ
SpAbs_DzZ
SpMax_DzZ
SpDiam_DzZ
SpAD_DzZ
SpMAD_DzZ
LogEE_DzZ
SM1_DzZ
VE1_DzZ
VE2_DzZ
VE3_DzZ
VR1_DzZ
VR2_DzZ
VR3_DzZ
SpAbs_Dzm
SpMax_Dzm
SpDiam_Dzm
SpAD_Dzm
SpMAD_Dzm
LogEE_Dzm
SM1_Dzm
VE1_Dzm
VE2_Dzm
VE3_Dzm
VR1_Dzm
VR2_Dzm
VR3_Dzm
SpAbs_Dzv
SpMax_Dzv
SpDiam_Dzv
SpAD_Dzv
SpMAD_Dzv
LogEE_Dzv
SM1_Dzv
VE1_Dzv
VE2_Dzv
VE3_Dzv
VR1_Dzv
VR2_Dzv
VR3_Dzv
SpAbs_Dzse
SpMax_Dzse
SpDiam_Dzse
SpAD_Dzse
SpMAD_Dzse
LogEE_Dzse
SM1_Dzse
VE1_Dzse
VE2_Dzse
VE3_Dzse
VR1_Dzse
VR2_Dzse
VR3_Dzse
SpAbs_Dzpe
SpMax_Dzpe
SpDiam_Dzpe
SpAD_Dzpe
SpMAD_Dzpe
LogEE_Dzpe
SM1_Dzpe
VE1_Dzpe
VE2_Dzpe
VE3_Dzpe
VR1_Dzpe
VR2_Dzpe
VR3_Dzpe
SpAbs_Dzare
SpMax_Dzare
SpDiam_Dzare
SpAD_Dzare
SpMAD_Dzare
LogEE_Dzare
SM1_Dzare
VE1_Dzare
VE2_Dzare
VE3_Dzare
VR1_Dzare
VR2_Dzare
VR3_Dzare
SpAbs_Dzp
SpMax_Dzp
SpDiam_Dzp
SpAD_Dzp
SpMAD_Dzp
LogEE_Dzp
SM1_Dzp
VE1_Dzp
VE2_Dzp
VE3_Dzp
VR1_Dzp
VR2_Dzp
VR3_Dzp
SpAbs_Dzi
SpMax_Dzi
SpDiam_Dzi
SpAD_Dzi
SpMAD_Dzi
LogEE_Dzi
SM1_Dzi
VE1_Dzi
VE2_Dzi
VE3_Dzi
VR1_Dzi
VR2_Dzi
VR3_Dzi
BertzCT
nBonds
nBondsO
nBondsS
nBondsD
nBondsA
nBondsM
nBondsKS
nBondsKD
C2SP2
C3SP2
C1SP3
C2SP3
FCSP3
Xch_3d
Xch_4d
Xch_5d
Xch_6d
Xch_7d
Xch_3dv
Xch_4dv
Xch_5dv
Xch_6dv
Xch_7dv
Xc_3d
Xc_4d
Xc_5d
Xc_6d
Xc_3dv
Xc_4dv
Xc_5dv
Xc_6dv
Xpc_4d
Xpc_5d
Xpc_6d
Xpc_4dv
Xpc_5dv
Xpc_6dv
Xp_0d
Xp_1d
Xp_2d
Xp_3d
Xp_4d
Xp_5d
Xp_6d
Xp_7d
AXp_0d
AXp_1d
AXp_2d
Xp_0dv
Xp_1dv
Xp_2dv
Xp_3dv
Xp_4dv
Xp_5dv
Xp_6dv
Xp_7dv
AXp_0dv
AXp_1dv
AXp_2dv
SZ
Sm
Sv
Sse
Spe
Sare
Sp
Si
MZ
Mm
Mv
Mse
Mpe
Mare
Mp
Mi
SpAbs_Dt
SpMax_Dt
SpDiam_Dt
SpAD_Dt
SpMAD_Dt
LogEE_Dt
VE1_Dt
VE2_Dt
VE3_Dt
VR1_Dt
VR2_Dt
VR3_Dt
DetourIndex
SpAbs_D
SpMax_D
SpDiam_D
SpAD_D
SpMAD_D
LogEE_D
VE1_D
VE2_D
VE3_D
VR1_D
VR2_D
VR3_D
NsCH3
NssCH2
NdsCH
NaaCH
NsssCH
NdssC
NaasC
NssssC
NsOH
NssO
NsF
NsCl
SsCH3
SdCH2
SssCH2
StCH
SdsCH
SaaCH
SsssCH
SddC
StsC
SdssC
SaasC
SaaaC
SssssC</t>
  </si>
  <si>
    <t>Experimental water solubility from EPI suite database 
(https://www.epa.gov/tsca-screening-tools/epi-suitetm-estimation-program-interface)
Conversion from water solubility to intrinsic solubility by using the pKa predicted with a neural network, trained on pKa experimental data from the QSAR toolbox.
(https://qsartoolbox.org/
Acidic and basic behaviour predicted with nAcid and nBasic descriptors calculated with Mordred
https://github.com/mordred-descriptor/mordred</t>
  </si>
  <si>
    <t>EPI suite database https://www.epa.gov/tsca-screening-tools/epi-suitetm-estimation-program-interface</t>
  </si>
  <si>
    <r>
      <rPr>
        <b/>
        <sz val="18"/>
        <color indexed="8"/>
        <rFont val="Calibri"/>
        <family val="2"/>
      </rPr>
      <t>PARTICIPANTS USE THEIR OWN INTRINSIC SOLUBILITY (</t>
    </r>
    <r>
      <rPr>
        <b/>
        <i/>
        <sz val="18"/>
        <color indexed="8"/>
        <rFont val="Calibri"/>
        <family val="2"/>
      </rPr>
      <t>log S</t>
    </r>
    <r>
      <rPr>
        <b/>
        <i/>
        <vertAlign val="subscript"/>
        <sz val="18"/>
        <color indexed="8"/>
        <rFont val="Calibri"/>
        <family val="2"/>
      </rPr>
      <t>0</t>
    </r>
    <r>
      <rPr>
        <b/>
        <sz val="18"/>
        <color indexed="8"/>
        <rFont val="Calibri"/>
        <family val="2"/>
      </rPr>
      <t xml:space="preserve">) TRAINING SET OF COMPOUNDS - enter the predicted values in log </t>
    </r>
    <r>
      <rPr>
        <b/>
        <sz val="18"/>
        <color indexed="13"/>
        <rFont val="Calibri"/>
        <family val="2"/>
      </rPr>
      <t>molarity</t>
    </r>
    <r>
      <rPr>
        <b/>
        <sz val="18"/>
        <color indexed="8"/>
        <rFont val="Calibri"/>
        <family val="2"/>
      </rPr>
      <t xml:space="preserve"> units</t>
    </r>
  </si>
  <si>
    <r>
      <rPr>
        <b/>
        <sz val="11"/>
        <color indexed="13"/>
        <rFont val="Calibri"/>
        <family val="2"/>
      </rPr>
      <t xml:space="preserve">SELECT </t>
    </r>
    <r>
      <rPr>
        <b/>
        <u/>
        <sz val="11"/>
        <color indexed="13"/>
        <rFont val="Calibri"/>
        <family val="2"/>
      </rPr>
      <t>ONE</t>
    </r>
    <r>
      <rPr>
        <b/>
        <sz val="11"/>
        <color indexed="13"/>
        <rFont val="Calibri"/>
        <family val="2"/>
      </rPr>
      <t xml:space="preserve"> OF THE THREE OPTIONS:</t>
    </r>
  </si>
  <si>
    <r>
      <rPr>
        <b/>
        <sz val="11"/>
        <color indexed="13"/>
        <rFont val="Calibri"/>
        <family val="2"/>
      </rPr>
      <t xml:space="preserve">               (i) None of the external test set molecules in the lists below was used in training the prediction model; i.e., all test set molecules found in the training set have been </t>
    </r>
    <r>
      <rPr>
        <b/>
        <u/>
        <sz val="11"/>
        <color indexed="13"/>
        <rFont val="Calibri"/>
        <family val="2"/>
      </rPr>
      <t>removed</t>
    </r>
    <r>
      <rPr>
        <b/>
        <sz val="11"/>
        <color indexed="13"/>
        <rFont val="Calibri"/>
        <family val="2"/>
      </rPr>
      <t xml:space="preserve"> and the model was re-trained.</t>
    </r>
  </si>
  <si>
    <r>
      <rPr>
        <b/>
        <sz val="11"/>
        <color indexed="8"/>
        <rFont val="Calibri"/>
        <family val="2"/>
      </rPr>
      <t xml:space="preserve">Please note: Yalkowsky's General Solubility Equation (GSE) results are cited below as a semi-empirical  benchmark for predicting solubility (using </t>
    </r>
    <r>
      <rPr>
        <b/>
        <i/>
        <sz val="11"/>
        <color indexed="8"/>
        <rFont val="Calibri"/>
        <family val="2"/>
      </rPr>
      <t>experimental</t>
    </r>
    <r>
      <rPr>
        <b/>
        <sz val="11"/>
        <color indexed="8"/>
        <rFont val="Calibri"/>
        <family val="2"/>
      </rPr>
      <t xml:space="preserve"> melting points and </t>
    </r>
    <r>
      <rPr>
        <b/>
        <i/>
        <sz val="11"/>
        <color indexed="8"/>
        <rFont val="Calibri"/>
        <family val="2"/>
      </rPr>
      <t>calculated</t>
    </r>
    <r>
      <rPr>
        <b/>
        <sz val="11"/>
        <color indexed="8"/>
        <rFont val="Calibri"/>
        <family val="2"/>
      </rPr>
      <t xml:space="preserve"> octanol-water </t>
    </r>
    <r>
      <rPr>
        <b/>
        <i/>
        <sz val="11"/>
        <color indexed="8"/>
        <rFont val="Calibri"/>
        <family val="2"/>
      </rPr>
      <t>log P</t>
    </r>
    <r>
      <rPr>
        <b/>
        <sz val="11"/>
        <color indexed="8"/>
        <rFont val="Calibri"/>
        <family val="2"/>
      </rPr>
      <t>).</t>
    </r>
  </si>
  <si>
    <r>
      <rPr>
        <b/>
        <sz val="20"/>
        <color indexed="8"/>
        <rFont val="Calibri"/>
        <family val="2"/>
      </rPr>
      <t>INTRINSIC SOLUBILITY (MOLARITY) EXTERNAL TEST SET 1 (</t>
    </r>
    <r>
      <rPr>
        <sz val="22"/>
        <color indexed="8"/>
        <rFont val="Castellar"/>
      </rPr>
      <t>AVERAGE</t>
    </r>
    <r>
      <rPr>
        <b/>
        <sz val="20"/>
        <color indexed="8"/>
        <rFont val="Calibri"/>
        <family val="2"/>
      </rPr>
      <t xml:space="preserve"> interlab SD)</t>
    </r>
  </si>
  <si>
    <r>
      <rPr>
        <b/>
        <sz val="9"/>
        <color indexed="8"/>
        <rFont val="Calibri"/>
        <family val="2"/>
      </rPr>
      <t xml:space="preserve">PREDICTED  </t>
    </r>
    <r>
      <rPr>
        <b/>
        <i/>
        <sz val="9"/>
        <color indexed="8"/>
        <rFont val="Calibri"/>
        <family val="2"/>
      </rPr>
      <t>log S</t>
    </r>
    <r>
      <rPr>
        <b/>
        <i/>
        <vertAlign val="subscript"/>
        <sz val="9"/>
        <color indexed="8"/>
        <rFont val="Calibri"/>
        <family val="2"/>
      </rPr>
      <t>0</t>
    </r>
    <r>
      <rPr>
        <b/>
        <vertAlign val="subscript"/>
        <sz val="9"/>
        <color indexed="8"/>
        <rFont val="Calibri"/>
        <family val="2"/>
      </rPr>
      <t xml:space="preserve"> </t>
    </r>
    <r>
      <rPr>
        <b/>
        <sz val="9"/>
        <color indexed="8"/>
        <rFont val="Calibri"/>
        <family val="2"/>
      </rPr>
      <t xml:space="preserve">(25 `C) </t>
    </r>
  </si>
  <si>
    <r>
      <rPr>
        <b/>
        <sz val="9"/>
        <color indexed="8"/>
        <rFont val="Calibri"/>
        <family val="2"/>
      </rPr>
      <t xml:space="preserve">Avg. Interlab.  </t>
    </r>
    <r>
      <rPr>
        <b/>
        <i/>
        <sz val="9"/>
        <color indexed="8"/>
        <rFont val="Calibri"/>
        <family val="2"/>
      </rPr>
      <t>log S</t>
    </r>
    <r>
      <rPr>
        <b/>
        <i/>
        <vertAlign val="subscript"/>
        <sz val="9"/>
        <color indexed="8"/>
        <rFont val="Calibri"/>
        <family val="2"/>
      </rPr>
      <t>0</t>
    </r>
    <r>
      <rPr>
        <b/>
        <vertAlign val="subscript"/>
        <sz val="9"/>
        <color indexed="8"/>
        <rFont val="Calibri"/>
        <family val="2"/>
      </rPr>
      <t xml:space="preserve"> </t>
    </r>
    <r>
      <rPr>
        <b/>
        <sz val="9"/>
        <color indexed="8"/>
        <rFont val="Calibri"/>
        <family val="2"/>
      </rPr>
      <t xml:space="preserve">(25 `C) </t>
    </r>
  </si>
  <si>
    <r>
      <rPr>
        <b/>
        <i/>
        <sz val="9"/>
        <color indexed="8"/>
        <rFont val="Calibri"/>
        <family val="2"/>
      </rPr>
      <t>log P</t>
    </r>
    <r>
      <rPr>
        <b/>
        <vertAlign val="subscript"/>
        <sz val="9"/>
        <color indexed="8"/>
        <rFont val="Calibri"/>
        <family val="2"/>
      </rPr>
      <t>oct-water</t>
    </r>
    <r>
      <rPr>
        <b/>
        <sz val="9"/>
        <color indexed="8"/>
        <rFont val="Calibri"/>
        <family val="2"/>
      </rPr>
      <t xml:space="preserve">  calc in RDKit</t>
    </r>
  </si>
  <si>
    <r>
      <rPr>
        <b/>
        <i/>
        <sz val="9"/>
        <color indexed="8"/>
        <rFont val="Calibri"/>
        <family val="2"/>
      </rPr>
      <t>log S</t>
    </r>
    <r>
      <rPr>
        <b/>
        <i/>
        <vertAlign val="subscript"/>
        <sz val="9"/>
        <color indexed="8"/>
        <rFont val="Calibri"/>
        <family val="2"/>
      </rPr>
      <t>0</t>
    </r>
    <r>
      <rPr>
        <b/>
        <sz val="9"/>
        <color indexed="8"/>
        <rFont val="Calibri"/>
        <family val="2"/>
      </rPr>
      <t xml:space="preserve">     calc by GSE</t>
    </r>
  </si>
  <si>
    <r>
      <rPr>
        <sz val="8"/>
        <color indexed="8"/>
        <rFont val="Calibri"/>
        <family val="2"/>
      </rPr>
      <t xml:space="preserve">Message Passing Neural Network, Explanation: </t>
    </r>
    <r>
      <rPr>
        <u/>
        <sz val="8"/>
        <color indexed="12"/>
        <rFont val="Calibri"/>
        <family val="2"/>
      </rPr>
      <t>https://pubs.acs.org/doi/abs/10.1021/acs.jcim.9b00237</t>
    </r>
    <r>
      <rPr>
        <sz val="8"/>
        <color indexed="8"/>
        <rFont val="Calibri"/>
        <family val="2"/>
      </rPr>
      <t xml:space="preserve"> Code: </t>
    </r>
    <r>
      <rPr>
        <u/>
        <sz val="8"/>
        <color indexed="12"/>
        <rFont val="Calibri"/>
        <family val="2"/>
      </rPr>
      <t>https://github.com/swansonk14/chemprop/</t>
    </r>
  </si>
  <si>
    <r>
      <rPr>
        <u/>
        <sz val="11"/>
        <color indexed="8"/>
        <rFont val="Calibri"/>
        <family val="2"/>
      </rPr>
      <t xml:space="preserve">[16] Yalkowsky SH, He Y, Jain P. Handbook of Aqueous Solubility Data. Second Edition.  CRC Press - Taylor &amp; Francis Group: Boca Raton, FL, </t>
    </r>
    <r>
      <rPr>
        <b/>
        <u/>
        <sz val="11"/>
        <color indexed="8"/>
        <rFont val="Calibri"/>
        <family val="2"/>
      </rPr>
      <t>2010.</t>
    </r>
  </si>
  <si>
    <t>Delaney JS,ESOL:  Estimating Aqueous Solubility Directly from Molecular Structure, 2004</t>
  </si>
  <si>
    <r>
      <rPr>
        <u/>
        <sz val="11"/>
        <color indexed="8"/>
        <rFont val="Calibri"/>
        <family val="2"/>
      </rPr>
      <t xml:space="preserve"> Murat Cihan Sorkun</t>
    </r>
    <r>
      <rPr>
        <u/>
        <sz val="11"/>
        <color indexed="14"/>
        <rFont val="Calibri"/>
        <family val="2"/>
      </rPr>
      <t>, </t>
    </r>
    <r>
      <rPr>
        <u/>
        <sz val="11"/>
        <color indexed="8"/>
        <rFont val="Calibri"/>
        <family val="2"/>
      </rPr>
      <t>Abhishek Khetan</t>
    </r>
    <r>
      <rPr>
        <u/>
        <sz val="11"/>
        <color indexed="14"/>
        <rFont val="Calibri"/>
        <family val="2"/>
      </rPr>
      <t> &amp; </t>
    </r>
    <r>
      <rPr>
        <u/>
        <sz val="11"/>
        <color indexed="8"/>
        <rFont val="Calibri"/>
        <family val="2"/>
      </rPr>
      <t>Süleyman Er</t>
    </r>
    <r>
      <rPr>
        <u/>
        <sz val="11"/>
        <color indexed="14"/>
        <rFont val="Calibri"/>
        <family val="2"/>
      </rPr>
      <t>.AqSolDB, a curated reference set of aqueous solubility and 2D descriptors for a diverse set of compounds,2019</t>
    </r>
  </si>
  <si>
    <r>
      <rPr>
        <u/>
        <sz val="15"/>
        <color indexed="12"/>
        <rFont val="Helvetica"/>
        <family val="2"/>
      </rPr>
      <t>https://pubs.acs.org/doi/suppl/10.1021/acs.jcim.9b00237/suppl_file/ci9b00237_si_001.pdf</t>
    </r>
  </si>
  <si>
    <t>200 RDKit descriptors provided on S41 to S44</t>
  </si>
  <si>
    <r>
      <rPr>
        <b/>
        <sz val="20"/>
        <color indexed="8"/>
        <rFont val="Calibri"/>
        <family val="2"/>
      </rPr>
      <t>INTRINSIC SOLUBILITY (MOLARITY) EXTERNAL TEST SET 2 (</t>
    </r>
    <r>
      <rPr>
        <sz val="22"/>
        <color indexed="8"/>
        <rFont val="Castellar"/>
      </rPr>
      <t>HIGH</t>
    </r>
    <r>
      <rPr>
        <b/>
        <sz val="20"/>
        <color indexed="8"/>
        <rFont val="Calibri"/>
        <family val="2"/>
      </rPr>
      <t xml:space="preserve"> interlab SD)</t>
    </r>
  </si>
  <si>
    <r>
      <rPr>
        <b/>
        <sz val="9"/>
        <color indexed="8"/>
        <rFont val="Calibri"/>
        <family val="2"/>
      </rPr>
      <t xml:space="preserve">PREDICTED </t>
    </r>
    <r>
      <rPr>
        <b/>
        <i/>
        <sz val="9"/>
        <color indexed="8"/>
        <rFont val="Calibri"/>
        <family val="2"/>
      </rPr>
      <t xml:space="preserve"> log S</t>
    </r>
    <r>
      <rPr>
        <b/>
        <i/>
        <vertAlign val="subscript"/>
        <sz val="9"/>
        <color indexed="8"/>
        <rFont val="Calibri"/>
        <family val="2"/>
      </rPr>
      <t>0</t>
    </r>
    <r>
      <rPr>
        <b/>
        <vertAlign val="subscript"/>
        <sz val="9"/>
        <color indexed="8"/>
        <rFont val="Calibri"/>
        <family val="2"/>
      </rPr>
      <t xml:space="preserve"> </t>
    </r>
    <r>
      <rPr>
        <b/>
        <sz val="9"/>
        <color indexed="8"/>
        <rFont val="Calibri"/>
        <family val="2"/>
      </rPr>
      <t xml:space="preserve">(25 `C) </t>
    </r>
  </si>
  <si>
    <r>
      <rPr>
        <sz val="11"/>
        <color theme="1"/>
        <rFont val="Calibri"/>
        <family val="2"/>
        <scheme val="minor"/>
      </rPr>
      <t xml:space="preserve">NOTE: three underlined melting points (in red) were calculated by open-source program: </t>
    </r>
    <r>
      <rPr>
        <u/>
        <sz val="11"/>
        <color indexed="15"/>
        <rFont val="Calibri"/>
        <family val="2"/>
      </rPr>
      <t xml:space="preserve">www.qsardb.org/repository/predictor/10967/104?model=rf </t>
    </r>
  </si>
  <si>
    <r>
      <rPr>
        <sz val="11"/>
        <color theme="1"/>
        <rFont val="Calibri"/>
        <family val="2"/>
        <scheme val="minor"/>
      </rPr>
      <t xml:space="preserve">n(tr) = number of molecules in the </t>
    </r>
    <r>
      <rPr>
        <u/>
        <sz val="11"/>
        <color indexed="8"/>
        <rFont val="Calibri"/>
        <family val="2"/>
      </rPr>
      <t>training</t>
    </r>
    <r>
      <rPr>
        <sz val="11"/>
        <color theme="1"/>
        <rFont val="Calibri"/>
        <family val="2"/>
        <scheme val="minor"/>
      </rPr>
      <t xml:space="preserve"> set;  n(va) = number in the </t>
    </r>
    <r>
      <rPr>
        <u/>
        <sz val="11"/>
        <color indexed="8"/>
        <rFont val="Calibri"/>
        <family val="2"/>
      </rPr>
      <t>validation</t>
    </r>
    <r>
      <rPr>
        <sz val="11"/>
        <color theme="1"/>
        <rFont val="Calibri"/>
        <family val="2"/>
        <scheme val="minor"/>
      </rPr>
      <t xml:space="preserve"> set; n(oob) = number in the RFR </t>
    </r>
    <r>
      <rPr>
        <u/>
        <sz val="11"/>
        <color indexed="8"/>
        <rFont val="Calibri"/>
        <family val="2"/>
      </rPr>
      <t>out-of-bag</t>
    </r>
    <r>
      <rPr>
        <sz val="11"/>
        <color theme="1"/>
        <rFont val="Calibri"/>
        <family val="2"/>
        <scheme val="minor"/>
      </rPr>
      <t xml:space="preserve"> validation set; n(te) = number in the external </t>
    </r>
    <r>
      <rPr>
        <u/>
        <sz val="11"/>
        <color indexed="8"/>
        <rFont val="Calibri"/>
        <family val="2"/>
      </rPr>
      <t>test</t>
    </r>
    <r>
      <rPr>
        <sz val="11"/>
        <color theme="1"/>
        <rFont val="Calibri"/>
        <family val="2"/>
        <scheme val="minor"/>
      </rPr>
      <t xml:space="preserve"> set.</t>
    </r>
  </si>
  <si>
    <r>
      <rPr>
        <b/>
        <sz val="12"/>
        <color indexed="8"/>
        <rFont val="Calibri"/>
        <family val="2"/>
      </rPr>
      <t xml:space="preserve">Note: </t>
    </r>
    <r>
      <rPr>
        <b/>
        <u/>
        <sz val="12"/>
        <color indexed="8"/>
        <rFont val="Calibri"/>
        <family val="2"/>
      </rPr>
      <t xml:space="preserve">underlined </t>
    </r>
    <r>
      <rPr>
        <b/>
        <sz val="12"/>
        <color indexed="8"/>
        <rFont val="Calibri"/>
        <family val="2"/>
      </rPr>
      <t xml:space="preserve">references mainly contain compilations of solubility values in water, </t>
    </r>
    <r>
      <rPr>
        <b/>
        <i/>
        <sz val="12"/>
        <color indexed="8"/>
        <rFont val="Calibri"/>
        <family val="2"/>
      </rPr>
      <t>S</t>
    </r>
    <r>
      <rPr>
        <b/>
        <i/>
        <vertAlign val="subscript"/>
        <sz val="12"/>
        <color indexed="8"/>
        <rFont val="Calibri"/>
        <family val="2"/>
      </rPr>
      <t>w</t>
    </r>
    <r>
      <rPr>
        <b/>
        <sz val="12"/>
        <color indexed="8"/>
        <rFont val="Calibri"/>
        <family val="2"/>
      </rPr>
      <t xml:space="preserve">,which is not always the same as intrinsic solubility values, </t>
    </r>
    <r>
      <rPr>
        <b/>
        <i/>
        <sz val="12"/>
        <color indexed="8"/>
        <rFont val="Calibri"/>
        <family val="2"/>
      </rPr>
      <t>S</t>
    </r>
    <r>
      <rPr>
        <b/>
        <i/>
        <vertAlign val="subscript"/>
        <sz val="12"/>
        <color indexed="8"/>
        <rFont val="Calibri"/>
        <family val="2"/>
      </rPr>
      <t>0</t>
    </r>
    <r>
      <rPr>
        <b/>
        <sz val="12"/>
        <color indexed="8"/>
        <rFont val="Calibri"/>
        <family val="2"/>
      </rPr>
      <t xml:space="preserve">.  </t>
    </r>
  </si>
  <si>
    <r>
      <rPr>
        <b/>
        <sz val="12"/>
        <color indexed="8"/>
        <rFont val="Calibri"/>
        <family val="2"/>
      </rPr>
      <t xml:space="preserve">The other references contain mostly </t>
    </r>
    <r>
      <rPr>
        <b/>
        <i/>
        <sz val="12"/>
        <color indexed="8"/>
        <rFont val="Calibri"/>
        <family val="2"/>
      </rPr>
      <t>druglike</t>
    </r>
    <r>
      <rPr>
        <b/>
        <sz val="12"/>
        <color indexed="8"/>
        <rFont val="Calibri"/>
        <family val="2"/>
      </rPr>
      <t xml:space="preserve"> molecules.</t>
    </r>
  </si>
  <si>
    <r>
      <rPr>
        <u/>
        <sz val="11"/>
        <color indexed="8"/>
        <rFont val="Calibri"/>
        <family val="2"/>
      </rPr>
      <t xml:space="preserve">[1] Yalkowsky SH, Dannenfelser RM. </t>
    </r>
    <r>
      <rPr>
        <b/>
        <u/>
        <sz val="11"/>
        <color indexed="8"/>
        <rFont val="Calibri"/>
        <family val="2"/>
      </rPr>
      <t>1992.</t>
    </r>
    <r>
      <rPr>
        <u/>
        <sz val="11"/>
        <color indexed="8"/>
        <rFont val="Calibri"/>
        <family val="2"/>
      </rPr>
      <t xml:space="preserve"> Aquasol Database of Aqueous Solubility, Version 5. College of Pharmacy, Univ. of Ariz, Tucson, AZ.</t>
    </r>
  </si>
  <si>
    <r>
      <rPr>
        <u/>
        <sz val="11"/>
        <color indexed="8"/>
        <rFont val="Calibri"/>
        <family val="2"/>
      </rPr>
      <t xml:space="preserve">[2] Howard P, Meylan W. PHYSPROP DATABASE. Syracuse Research Corp.,  Environmental Science Center,  N. Syracuse, NY, Sept. </t>
    </r>
    <r>
      <rPr>
        <b/>
        <u/>
        <sz val="11"/>
        <color indexed="8"/>
        <rFont val="Calibri"/>
        <family val="2"/>
      </rPr>
      <t>1999.</t>
    </r>
  </si>
  <si>
    <r>
      <rPr>
        <u/>
        <sz val="11"/>
        <color indexed="8"/>
        <rFont val="Calibri"/>
        <family val="2"/>
      </rPr>
      <t xml:space="preserve">[3] Huuskonen J. Estimation of aqueous Solubility for a diverse set of organic compounds based on molecular topology. J. Chem. Inf. Comput. Sci. </t>
    </r>
    <r>
      <rPr>
        <b/>
        <u/>
        <sz val="11"/>
        <color indexed="8"/>
        <rFont val="Calibri"/>
        <family val="2"/>
      </rPr>
      <t>2000,</t>
    </r>
    <r>
      <rPr>
        <u/>
        <sz val="11"/>
        <color indexed="8"/>
        <rFont val="Calibri"/>
        <family val="2"/>
      </rPr>
      <t xml:space="preserve"> 40, 773-777.</t>
    </r>
  </si>
  <si>
    <r>
      <rPr>
        <sz val="11"/>
        <color theme="1"/>
        <rFont val="Calibri"/>
        <family val="2"/>
        <scheme val="minor"/>
      </rPr>
      <t>[4] Avdeef A, Berger CM, Brownell C. pH-metric solubility. 2.  Correlation between the acid-base titration and the saturation shake-flask solubility-pH methods. Pharm. Res. 17</t>
    </r>
    <r>
      <rPr>
        <b/>
        <sz val="11"/>
        <color indexed="8"/>
        <rFont val="Calibri"/>
        <family val="2"/>
      </rPr>
      <t xml:space="preserve"> (2000)</t>
    </r>
    <r>
      <rPr>
        <sz val="11"/>
        <color theme="1"/>
        <rFont val="Calibri"/>
        <family val="2"/>
        <scheme val="minor"/>
      </rPr>
      <t xml:space="preserve"> 85-89.</t>
    </r>
  </si>
  <si>
    <r>
      <rPr>
        <sz val="11"/>
        <color theme="1"/>
        <rFont val="Calibri"/>
        <family val="2"/>
        <scheme val="minor"/>
      </rPr>
      <t xml:space="preserve">[5] Avdeef A, Berger CM. pH-metric solubility. 3. Dissolution titration template method for solubility determination. Eur. J. Pharm. Sci. 14 </t>
    </r>
    <r>
      <rPr>
        <b/>
        <sz val="11"/>
        <color indexed="8"/>
        <rFont val="Calibri"/>
        <family val="2"/>
      </rPr>
      <t>(2001)</t>
    </r>
    <r>
      <rPr>
        <sz val="11"/>
        <color theme="1"/>
        <rFont val="Calibri"/>
        <family val="2"/>
        <scheme val="minor"/>
      </rPr>
      <t xml:space="preserve"> 281-291.</t>
    </r>
  </si>
  <si>
    <r>
      <rPr>
        <sz val="11"/>
        <color theme="1"/>
        <rFont val="Calibri"/>
        <family val="2"/>
        <scheme val="minor"/>
      </rPr>
      <t xml:space="preserve">[6] Bergstrom, C. A.; Norinder, U.; Luthman, K.; Artursson, P. Experimental and computational screening models for prediction of aqueous drug solubility. Pharm. Res. </t>
    </r>
    <r>
      <rPr>
        <b/>
        <sz val="11"/>
        <color indexed="8"/>
        <rFont val="Calibri"/>
        <family val="2"/>
      </rPr>
      <t>2002,</t>
    </r>
    <r>
      <rPr>
        <sz val="11"/>
        <color theme="1"/>
        <rFont val="Calibri"/>
        <family val="2"/>
        <scheme val="minor"/>
      </rPr>
      <t xml:space="preserve"> 19, 182-188.</t>
    </r>
  </si>
  <si>
    <r>
      <rPr>
        <u/>
        <sz val="11"/>
        <color indexed="8"/>
        <rFont val="Calibri"/>
        <family val="2"/>
      </rPr>
      <t xml:space="preserve">[7] Yalkowsky SH, He Y, Jain P. Handbook of Aqueous Solubility Data. CRC Press - Taylor &amp; Francis Group: Boca Raton, FL, </t>
    </r>
    <r>
      <rPr>
        <b/>
        <u/>
        <sz val="11"/>
        <color indexed="8"/>
        <rFont val="Calibri"/>
        <family val="2"/>
      </rPr>
      <t>2003.</t>
    </r>
  </si>
  <si>
    <r>
      <rPr>
        <sz val="11"/>
        <color theme="1"/>
        <rFont val="Calibri"/>
        <family val="2"/>
        <scheme val="minor"/>
      </rPr>
      <t xml:space="preserve">[8] Bergstrom, C. A.; Wassvik, C. M.; Norinder, U.; Luthman, K.; Artursson, P. Global and local computational models for aqueous solubility prediction of druglike molecules. J. Chem. Inf. Comput. Sci. </t>
    </r>
    <r>
      <rPr>
        <b/>
        <sz val="11"/>
        <color indexed="8"/>
        <rFont val="Calibri"/>
        <family val="2"/>
      </rPr>
      <t>2004,</t>
    </r>
    <r>
      <rPr>
        <sz val="11"/>
        <color theme="1"/>
        <rFont val="Calibri"/>
        <family val="2"/>
        <scheme val="minor"/>
      </rPr>
      <t xml:space="preserve"> 44, 1477-1488.</t>
    </r>
  </si>
  <si>
    <r>
      <rPr>
        <sz val="11"/>
        <color theme="1"/>
        <rFont val="Calibri"/>
        <family val="2"/>
        <scheme val="minor"/>
      </rPr>
      <t xml:space="preserve">[9] Bergström CAS, Luthman K, Artursson P. Accuracy of calculated pH-dependent aqueous drug solubility.  Eur. J. Pharm. Sci. </t>
    </r>
    <r>
      <rPr>
        <b/>
        <sz val="11"/>
        <color indexed="8"/>
        <rFont val="Calibri"/>
        <family val="2"/>
      </rPr>
      <t>2004,</t>
    </r>
    <r>
      <rPr>
        <sz val="11"/>
        <color theme="1"/>
        <rFont val="Calibri"/>
        <family val="2"/>
        <scheme val="minor"/>
      </rPr>
      <t xml:space="preserve"> 22, 387-398.</t>
    </r>
  </si>
  <si>
    <r>
      <rPr>
        <u/>
        <sz val="11"/>
        <color indexed="8"/>
        <rFont val="Calibri"/>
        <family val="2"/>
      </rPr>
      <t xml:space="preserve">[10] Rytting E, Lentz KA, Chen XQ, Qian F, Venkatesh S. A quantitative structure-property relationship for predicting drug solubility in PEG400/water cosolvent systems. Pharm Res. </t>
    </r>
    <r>
      <rPr>
        <b/>
        <u/>
        <sz val="11"/>
        <color indexed="8"/>
        <rFont val="Calibri"/>
        <family val="2"/>
      </rPr>
      <t>2004;</t>
    </r>
    <r>
      <rPr>
        <u/>
        <sz val="11"/>
        <color indexed="8"/>
        <rFont val="Calibri"/>
        <family val="2"/>
      </rPr>
      <t xml:space="preserve"> 21:237-244.</t>
    </r>
  </si>
  <si>
    <r>
      <rPr>
        <u/>
        <sz val="11"/>
        <color indexed="8"/>
        <rFont val="Calibri"/>
        <family val="2"/>
      </rPr>
      <t xml:space="preserve">[11] Rytting E, Lentz KA, Chen XQ, Qian F, Venkatesh S. Aqueous and cosolvent solubility data for drug-like organic compounds.  AAPS J. </t>
    </r>
    <r>
      <rPr>
        <b/>
        <u/>
        <sz val="11"/>
        <color indexed="8"/>
        <rFont val="Calibri"/>
        <family val="2"/>
      </rPr>
      <t>2005,</t>
    </r>
    <r>
      <rPr>
        <u/>
        <sz val="11"/>
        <color indexed="8"/>
        <rFont val="Calibri"/>
        <family val="2"/>
      </rPr>
      <t xml:space="preserve"> 7(1) Article 10, E78-E105.</t>
    </r>
  </si>
  <si>
    <r>
      <rPr>
        <sz val="11"/>
        <color theme="1"/>
        <rFont val="Calibri"/>
        <family val="2"/>
        <scheme val="minor"/>
      </rPr>
      <t xml:space="preserve">[12] Sköld C, Winiwarter S, Wernevik J, Bergström F, Engström L, Allen R, Box K, Comer J, Mole J, Hallberg A, Lennernäs H, Lundstedt T, Ungell A-L, Karlén A. Presentation of a structurally diverse and commercially available drug data set for correlation and benchmarking studies.  J. Med. Chem. </t>
    </r>
    <r>
      <rPr>
        <b/>
        <sz val="11"/>
        <color indexed="8"/>
        <rFont val="Calibri"/>
        <family val="2"/>
      </rPr>
      <t>2006,</t>
    </r>
    <r>
      <rPr>
        <sz val="11"/>
        <color theme="1"/>
        <rFont val="Calibri"/>
        <family val="2"/>
        <scheme val="minor"/>
      </rPr>
      <t xml:space="preserve"> 49, 6660-6671.</t>
    </r>
  </si>
  <si>
    <r>
      <rPr>
        <sz val="11"/>
        <color theme="1"/>
        <rFont val="Calibri"/>
        <family val="2"/>
        <scheme val="minor"/>
      </rPr>
      <t xml:space="preserve">[13] Wassvik, C. M.; Holmen, A. G.; Bergstrom, C. A.; Zamora, I.; Artursson, P. Contribution of solid-state properties to the aqueous solubility of drugs. Eur. J. Pharm. Sci. </t>
    </r>
    <r>
      <rPr>
        <b/>
        <sz val="11"/>
        <color indexed="8"/>
        <rFont val="Calibri"/>
        <family val="2"/>
      </rPr>
      <t>2006,</t>
    </r>
    <r>
      <rPr>
        <sz val="11"/>
        <color theme="1"/>
        <rFont val="Calibri"/>
        <family val="2"/>
        <scheme val="minor"/>
      </rPr>
      <t xml:space="preserve"> 29, 294-305</t>
    </r>
  </si>
  <si>
    <r>
      <rPr>
        <sz val="11"/>
        <color theme="1"/>
        <rFont val="Calibri"/>
        <family val="2"/>
        <scheme val="minor"/>
      </rPr>
      <t xml:space="preserve">[14] Llinàs A, Glen RC, Goodman JM. Solubility challenge: Can you predict solubilities of 32 molecules using a database of 100 reliable measurements? J. Chem. Inf. Model. </t>
    </r>
    <r>
      <rPr>
        <b/>
        <sz val="11"/>
        <color indexed="8"/>
        <rFont val="Calibri"/>
        <family val="2"/>
      </rPr>
      <t>2008,</t>
    </r>
    <r>
      <rPr>
        <sz val="11"/>
        <color theme="1"/>
        <rFont val="Calibri"/>
        <family val="2"/>
        <scheme val="minor"/>
      </rPr>
      <t xml:space="preserve"> 48, 1289-1303.</t>
    </r>
  </si>
  <si>
    <r>
      <rPr>
        <sz val="11"/>
        <color theme="1"/>
        <rFont val="Calibri"/>
        <family val="2"/>
        <scheme val="minor"/>
      </rPr>
      <t xml:space="preserve">[15] Hopfinger AJ, Esposito EX, Llinàs A, Glen RC, Goodman JM. Findings of the challenge to predict aqueous solubility. J. Chem. Inf. Model. </t>
    </r>
    <r>
      <rPr>
        <b/>
        <sz val="11"/>
        <color indexed="8"/>
        <rFont val="Calibri"/>
        <family val="2"/>
      </rPr>
      <t>2009,</t>
    </r>
    <r>
      <rPr>
        <sz val="11"/>
        <color theme="1"/>
        <rFont val="Calibri"/>
        <family val="2"/>
        <scheme val="minor"/>
      </rPr>
      <t xml:space="preserve"> 49, 1-5.</t>
    </r>
  </si>
  <si>
    <r>
      <rPr>
        <sz val="11"/>
        <color theme="1"/>
        <rFont val="Calibri"/>
        <family val="2"/>
        <scheme val="minor"/>
      </rPr>
      <t xml:space="preserve">[17] Boobier S, Osbourn A, Mitchell JBO. Can human experts predict solubility better than computers? J. Cheminform. </t>
    </r>
    <r>
      <rPr>
        <b/>
        <sz val="11"/>
        <color indexed="8"/>
        <rFont val="Calibri"/>
        <family val="2"/>
      </rPr>
      <t>(2017)</t>
    </r>
    <r>
      <rPr>
        <sz val="11"/>
        <color theme="1"/>
        <rFont val="Calibri"/>
        <family val="2"/>
        <scheme val="minor"/>
      </rPr>
      <t xml:space="preserve"> 9:63. https://doi: 10.1186/s13321-017-0250-y. </t>
    </r>
  </si>
  <si>
    <r>
      <rPr>
        <sz val="11"/>
        <color theme="1"/>
        <rFont val="Calibri"/>
        <family val="2"/>
        <scheme val="minor"/>
      </rPr>
      <t xml:space="preserve">[18] Baek K, Jeon SB, Kim BK, Kang NS.Method validation for equilibrium solubility and determination of temperature effect on the ionization constant and intrinsic solubility of drugs. J Pharm Sci Emerg Drugs 6 </t>
    </r>
    <r>
      <rPr>
        <b/>
        <sz val="11"/>
        <color indexed="8"/>
        <rFont val="Calibri"/>
        <family val="2"/>
      </rPr>
      <t>(2018)</t>
    </r>
    <r>
      <rPr>
        <sz val="11"/>
        <color theme="1"/>
        <rFont val="Calibri"/>
        <family val="2"/>
        <scheme val="minor"/>
      </rPr>
      <t xml:space="preserve"> 1-6. DOI: 10.4172/2380-9477.1000125.</t>
    </r>
  </si>
  <si>
    <r>
      <rPr>
        <sz val="11"/>
        <color theme="1"/>
        <rFont val="Calibri"/>
        <family val="2"/>
        <scheme val="minor"/>
      </rPr>
      <t xml:space="preserve">(Please add your most important references, </t>
    </r>
    <r>
      <rPr>
        <i/>
        <sz val="11"/>
        <color indexed="8"/>
        <rFont val="Calibri"/>
        <family val="2"/>
      </rPr>
      <t>if not in the above list</t>
    </r>
    <r>
      <rPr>
        <sz val="11"/>
        <color theme="1"/>
        <rFont val="Calibri"/>
        <family val="2"/>
        <scheme val="minor"/>
      </rPr>
      <t>. We intend to publish the combined lists of recommended data sourses.)</t>
    </r>
  </si>
  <si>
    <r>
      <rPr>
        <u/>
        <sz val="11"/>
        <color indexed="8"/>
        <rFont val="Calibri"/>
        <family val="2"/>
      </rPr>
      <t>Delaney JS.ESOL:  Estimating Aqueous Solubility Directly from Molecular Structure, 2004 | Murat Cihan Sorkun</t>
    </r>
    <r>
      <rPr>
        <u/>
        <sz val="11"/>
        <color indexed="14"/>
        <rFont val="Calibri"/>
        <family val="2"/>
      </rPr>
      <t>, </t>
    </r>
    <r>
      <rPr>
        <u/>
        <sz val="11"/>
        <color indexed="8"/>
        <rFont val="Calibri"/>
        <family val="2"/>
      </rPr>
      <t>Abhishek Khetan</t>
    </r>
    <r>
      <rPr>
        <u/>
        <sz val="11"/>
        <color indexed="14"/>
        <rFont val="Calibri"/>
        <family val="2"/>
      </rPr>
      <t> &amp; </t>
    </r>
    <r>
      <rPr>
        <u/>
        <sz val="11"/>
        <color indexed="8"/>
        <rFont val="Calibri"/>
        <family val="2"/>
      </rPr>
      <t>Süleyman Er</t>
    </r>
    <r>
      <rPr>
        <u/>
        <sz val="11"/>
        <color indexed="14"/>
        <rFont val="Calibri"/>
        <family val="2"/>
      </rPr>
      <t>.AqSolDB, a curated reference set of aqueous solubility and 2D descriptors for a diverse set of compounds,2019</t>
    </r>
  </si>
  <si>
    <t>All below</t>
  </si>
  <si>
    <t>RDKit MorganFingerprint, HashedAtomPairFingerprint, HashedTopologicalTorsionFingerprint,and MACCSKeysFingerprint all concatenated together</t>
  </si>
  <si>
    <t>All Below</t>
  </si>
  <si>
    <t>Molecular Graph, input to Graph Convolution Neural Network</t>
  </si>
  <si>
    <t>Custom curated data, can provide sources later (lab member out of town)</t>
  </si>
  <si>
    <t>Molecular graph, input to Graph Convolution Neural Network</t>
  </si>
  <si>
    <t>Consensus of ML methods</t>
  </si>
  <si>
    <t>[8]</t>
  </si>
  <si>
    <t>[13]</t>
  </si>
  <si>
    <t>[14]</t>
  </si>
  <si>
    <t>[15]</t>
  </si>
  <si>
    <t>[17]</t>
  </si>
  <si>
    <t>CDK (173 descriptors with non-zero variance used)</t>
  </si>
  <si>
    <t>Some SMILES were replaced with aromatised versions</t>
  </si>
  <si>
    <t>extraTrees regression</t>
  </si>
  <si>
    <t>SET</t>
  </si>
  <si>
    <r>
      <t>log</t>
    </r>
    <r>
      <rPr>
        <i/>
        <sz val="11"/>
        <color theme="1"/>
        <rFont val="Calibri"/>
        <family val="2"/>
        <scheme val="minor"/>
      </rPr>
      <t xml:space="preserve"> S</t>
    </r>
    <r>
      <rPr>
        <i/>
        <vertAlign val="subscript"/>
        <sz val="11"/>
        <color theme="1"/>
        <rFont val="Calibri"/>
        <family val="2"/>
        <scheme val="minor"/>
      </rPr>
      <t>0</t>
    </r>
  </si>
  <si>
    <t>SD</t>
  </si>
  <si>
    <t>n</t>
  </si>
  <si>
    <r>
      <t>mp (</t>
    </r>
    <r>
      <rPr>
        <vertAlign val="superscript"/>
        <sz val="11"/>
        <color theme="1"/>
        <rFont val="Calibri"/>
        <family val="2"/>
        <scheme val="minor"/>
      </rPr>
      <t>o</t>
    </r>
    <r>
      <rPr>
        <sz val="11"/>
        <color theme="1"/>
        <rFont val="Calibri"/>
        <family val="2"/>
        <scheme val="minor"/>
      </rPr>
      <t>C)</t>
    </r>
  </si>
  <si>
    <r>
      <t>log</t>
    </r>
    <r>
      <rPr>
        <i/>
        <sz val="11"/>
        <color theme="1"/>
        <rFont val="Calibri"/>
        <family val="2"/>
        <scheme val="minor"/>
      </rPr>
      <t xml:space="preserve"> P</t>
    </r>
  </si>
  <si>
    <r>
      <t>GSE-log</t>
    </r>
    <r>
      <rPr>
        <i/>
        <sz val="11"/>
        <color theme="1"/>
        <rFont val="Calibri"/>
        <family val="2"/>
        <scheme val="minor"/>
      </rPr>
      <t xml:space="preserve"> S</t>
    </r>
  </si>
  <si>
    <t>SET1</t>
  </si>
  <si>
    <t>Acetylsalicylic Acid</t>
  </si>
  <si>
    <r>
      <t xml:space="preserve">193 </t>
    </r>
    <r>
      <rPr>
        <vertAlign val="superscript"/>
        <sz val="10"/>
        <color theme="1"/>
        <rFont val="Calibri"/>
        <family val="2"/>
        <scheme val="minor"/>
      </rPr>
      <t>b</t>
    </r>
  </si>
  <si>
    <t>Candesartan Cilexetil</t>
  </si>
  <si>
    <t>Cholic Acid, Deoxy-</t>
  </si>
  <si>
    <t>Cortisone Acetate</t>
  </si>
  <si>
    <t>Cyclosporine A</t>
  </si>
  <si>
    <t>Diflorasone Diacetate</t>
  </si>
  <si>
    <t>Estradiol, 17α-</t>
  </si>
  <si>
    <t>Folic Acid</t>
  </si>
  <si>
    <t>Prednisolone, Methyl-</t>
  </si>
  <si>
    <t>Resveratrol, trans-</t>
  </si>
  <si>
    <t>SET2</t>
  </si>
  <si>
    <r>
      <t xml:space="preserve">124 </t>
    </r>
    <r>
      <rPr>
        <vertAlign val="superscript"/>
        <sz val="10"/>
        <color theme="1"/>
        <rFont val="Calibri"/>
        <family val="2"/>
        <scheme val="minor"/>
      </rPr>
      <t>b</t>
    </r>
  </si>
  <si>
    <t>Iopanoic Acid</t>
  </si>
  <si>
    <r>
      <t xml:space="preserve">176 </t>
    </r>
    <r>
      <rPr>
        <vertAlign val="superscript"/>
        <sz val="10"/>
        <color theme="1"/>
        <rFont val="Calibri"/>
        <family val="2"/>
        <scheme val="minor"/>
      </rPr>
      <t>b</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</si>
</sst>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_ "/>
    <numFmt numFmtId="165" formatCode="0.000"/>
    <numFmt numFmtId="166" formatCode="m/d/yy"/>
    <numFmt numFmtId="167" formatCode="d/m/yyyy"/>
    <numFmt numFmtId="168" formatCode="mm/dd/yy"/>
    <numFmt numFmtId="169" formatCode="0.0000"/>
  </numFmts>
  <fonts count="274">
    <font>
      <sz val="11"/>
      <color theme="1"/>
      <name val="Calibri"/>
      <family val="2"/>
      <scheme val="minor"/>
    </font>
    <font>
      <b/>
      <sz val="11"/>
      <color theme="1"/>
      <name val="Calibri"/>
      <family val="2"/>
      <scheme val="minor"/>
    </font>
    <font>
      <sz val="8"/>
      <color rgb="FF000000"/>
      <name val="Calibri"/>
      <family val="2"/>
    </font>
    <font>
      <sz val="8"/>
      <name val="Calibri"/>
      <family val="2"/>
    </font>
    <font>
      <u/>
      <sz val="11"/>
      <color rgb="FF0070C0"/>
      <name val="Calibri"/>
      <family val="2"/>
      <scheme val="minor"/>
    </font>
    <font>
      <b/>
      <sz val="16"/>
      <name val="Calibri"/>
      <family val="2"/>
      <scheme val="minor"/>
    </font>
    <font>
      <b/>
      <sz val="8"/>
      <color theme="1"/>
      <name val="Calibri"/>
      <family val="2"/>
      <scheme val="minor"/>
    </font>
    <font>
      <sz val="8"/>
      <color theme="1"/>
      <name val="Calibri"/>
      <family val="2"/>
      <scheme val="minor"/>
    </font>
    <font>
      <sz val="8"/>
      <name val="Calibri"/>
      <family val="2"/>
      <scheme val="minor"/>
    </font>
    <font>
      <u/>
      <sz val="8"/>
      <color rgb="FFFF0000"/>
      <name val="Calibri"/>
      <family val="2"/>
      <scheme val="minor"/>
    </font>
    <font>
      <b/>
      <sz val="9"/>
      <name val="Calibri"/>
      <family val="2"/>
    </font>
    <font>
      <b/>
      <sz val="14"/>
      <name val="Calibri"/>
      <family val="2"/>
    </font>
    <font>
      <b/>
      <vertAlign val="subscript"/>
      <sz val="9"/>
      <name val="Calibri"/>
      <family val="2"/>
    </font>
    <font>
      <b/>
      <i/>
      <sz val="9"/>
      <name val="Calibri"/>
      <family val="2"/>
    </font>
    <font>
      <b/>
      <i/>
      <vertAlign val="subscript"/>
      <sz val="9"/>
      <name val="Calibri"/>
      <family val="2"/>
    </font>
    <font>
      <b/>
      <sz val="14"/>
      <name val="Calibri"/>
      <family val="2"/>
      <scheme val="minor"/>
    </font>
    <font>
      <sz val="9"/>
      <name val="Calibri"/>
      <family val="2"/>
      <scheme val="minor"/>
    </font>
    <font>
      <sz val="11"/>
      <name val="Calibri"/>
      <family val="2"/>
      <scheme val="minor"/>
    </font>
    <font>
      <b/>
      <sz val="20"/>
      <name val="Calibri"/>
      <family val="2"/>
      <scheme val="minor"/>
    </font>
    <font>
      <b/>
      <sz val="22"/>
      <color rgb="FF000000"/>
      <name val="Calibri"/>
      <family val="2"/>
      <scheme val="minor"/>
    </font>
    <font>
      <b/>
      <sz val="11"/>
      <name val="Calibri"/>
      <family val="2"/>
      <scheme val="minor"/>
    </font>
    <font>
      <sz val="8"/>
      <color theme="0"/>
      <name val="Calibri"/>
      <family val="2"/>
      <scheme val="minor"/>
    </font>
    <font>
      <u/>
      <sz val="11"/>
      <color theme="1"/>
      <name val="Calibri"/>
      <family val="2"/>
      <scheme val="minor"/>
    </font>
    <font>
      <sz val="11"/>
      <color theme="1"/>
      <name val="Calibri"/>
      <family val="2"/>
    </font>
    <font>
      <vertAlign val="superscript"/>
      <sz val="10"/>
      <name val="Calibri"/>
      <family val="2"/>
      <scheme val="minor"/>
    </font>
    <font>
      <b/>
      <i/>
      <sz val="22"/>
      <name val="Castellar"/>
      <family val="1"/>
    </font>
    <font>
      <b/>
      <i/>
      <sz val="11"/>
      <name val="Calibri"/>
      <family val="2"/>
      <scheme val="minor"/>
    </font>
    <font>
      <b/>
      <sz val="9"/>
      <name val="Calibri"/>
      <family val="2"/>
      <scheme val="minor"/>
    </font>
    <font>
      <b/>
      <sz val="18"/>
      <name val="Calibri"/>
      <family val="2"/>
      <scheme val="minor"/>
    </font>
    <font>
      <b/>
      <sz val="26"/>
      <color rgb="FF000000"/>
      <name val="Calibri"/>
      <family val="2"/>
      <scheme val="minor"/>
    </font>
    <font>
      <b/>
      <i/>
      <sz val="18"/>
      <name val="Calibri"/>
      <family val="2"/>
      <scheme val="minor"/>
    </font>
    <font>
      <b/>
      <i/>
      <vertAlign val="subscript"/>
      <sz val="18"/>
      <name val="Calibri"/>
      <family val="2"/>
      <scheme val="minor"/>
    </font>
    <font>
      <b/>
      <sz val="18"/>
      <color rgb="FFFF0000"/>
      <name val="Calibri"/>
      <family val="2"/>
      <scheme val="minor"/>
    </font>
    <font>
      <sz val="11"/>
      <color rgb="FFFF0000"/>
      <name val="Calibri"/>
      <family val="2"/>
      <scheme val="minor"/>
    </font>
    <font>
      <b/>
      <sz val="11"/>
      <color rgb="FFFF0000"/>
      <name val="Calibri"/>
      <family val="2"/>
      <scheme val="minor"/>
    </font>
    <font>
      <b/>
      <u/>
      <sz val="11"/>
      <color rgb="FFFF0000"/>
      <name val="Calibri"/>
      <family val="2"/>
      <scheme val="minor"/>
    </font>
    <font>
      <i/>
      <sz val="16"/>
      <name val="Calibri"/>
      <family val="2"/>
    </font>
    <font>
      <sz val="14"/>
      <name val="Calibri"/>
      <family val="2"/>
      <scheme val="minor"/>
    </font>
    <font>
      <i/>
      <sz val="12"/>
      <name val="Calibri"/>
      <family val="2"/>
    </font>
    <font>
      <b/>
      <sz val="12"/>
      <name val="Calibri"/>
      <family val="2"/>
      <scheme val="minor"/>
    </font>
    <font>
      <b/>
      <u/>
      <sz val="12"/>
      <name val="Calibri"/>
      <family val="2"/>
      <scheme val="minor"/>
    </font>
    <font>
      <u/>
      <sz val="11"/>
      <name val="Calibri"/>
      <family val="2"/>
      <scheme val="minor"/>
    </font>
    <font>
      <b/>
      <u/>
      <sz val="11"/>
      <name val="Calibri"/>
      <family val="2"/>
      <scheme val="minor"/>
    </font>
    <font>
      <i/>
      <sz val="11"/>
      <color theme="1"/>
      <name val="Calibri"/>
      <family val="2"/>
      <scheme val="minor"/>
    </font>
    <font>
      <b/>
      <i/>
      <sz val="12"/>
      <name val="Calibri"/>
      <family val="2"/>
      <scheme val="minor"/>
    </font>
    <font>
      <b/>
      <i/>
      <vertAlign val="subscript"/>
      <sz val="12"/>
      <name val="Calibri"/>
      <family val="2"/>
      <scheme val="minor"/>
    </font>
    <font>
      <b/>
      <sz val="9"/>
      <color rgb="FF00B050"/>
      <name val="Calibri"/>
      <family val="2"/>
    </font>
    <font>
      <sz val="8"/>
      <color rgb="FF00B050"/>
      <name val="Calibri"/>
      <family val="2"/>
      <scheme val="minor"/>
    </font>
    <font>
      <sz val="11"/>
      <color rgb="FF00B050"/>
      <name val="Calibri"/>
      <family val="2"/>
      <scheme val="minor"/>
    </font>
    <font>
      <sz val="8"/>
      <color rgb="FF92D050"/>
      <name val="Calibri"/>
      <family val="2"/>
      <scheme val="minor"/>
    </font>
    <font>
      <b/>
      <sz val="8"/>
      <color rgb="FF92D050"/>
      <name val="Calibri"/>
      <family val="2"/>
      <scheme val="minor"/>
    </font>
    <font>
      <sz val="8"/>
      <color rgb="FFFF0000"/>
      <name val="Calibri"/>
      <family val="2"/>
      <scheme val="minor"/>
    </font>
    <font>
      <u/>
      <sz val="11"/>
      <color theme="10"/>
      <name val="Calibri"/>
      <family val="2"/>
      <scheme val="minor"/>
    </font>
    <font>
      <i/>
      <sz val="8"/>
      <color theme="1"/>
      <name val="Calibri"/>
      <family val="3"/>
      <charset val="134"/>
      <scheme val="minor"/>
    </font>
    <font>
      <b/>
      <sz val="8"/>
      <color theme="1"/>
      <name val="Calibri"/>
      <family val="3"/>
      <charset val="134"/>
      <scheme val="minor"/>
    </font>
    <font>
      <sz val="11"/>
      <color theme="1"/>
      <name val="Calibri"/>
      <family val="3"/>
      <charset val="129"/>
      <scheme val="minor"/>
    </font>
    <font>
      <sz val="11"/>
      <color theme="1"/>
      <name val="Calibri"/>
      <family val="2"/>
      <scheme val="minor"/>
    </font>
    <font>
      <sz val="10"/>
      <color rgb="FF000000"/>
      <name val="Sans"/>
    </font>
    <font>
      <sz val="11"/>
      <color rgb="FF000000"/>
      <name val="Calibri"/>
      <family val="2"/>
    </font>
    <font>
      <b/>
      <sz val="26"/>
      <color rgb="FF000000"/>
      <name val="Calibri"/>
      <family val="2"/>
    </font>
    <font>
      <b/>
      <sz val="22"/>
      <color rgb="FF000000"/>
      <name val="Calibri"/>
      <family val="2"/>
    </font>
    <font>
      <i/>
      <sz val="16"/>
      <color rgb="FF000000"/>
      <name val="Calibri"/>
      <family val="2"/>
    </font>
    <font>
      <sz val="14"/>
      <color rgb="FF000000"/>
      <name val="Calibri"/>
      <family val="2"/>
    </font>
    <font>
      <vertAlign val="superscript"/>
      <sz val="10"/>
      <color rgb="FF000000"/>
      <name val="Calibri"/>
      <family val="2"/>
    </font>
    <font>
      <i/>
      <sz val="12"/>
      <color rgb="FF000000"/>
      <name val="Calibri"/>
      <family val="2"/>
    </font>
    <font>
      <u/>
      <sz val="11"/>
      <color rgb="FF0000FF"/>
      <name val="Calibri"/>
      <family val="2"/>
    </font>
    <font>
      <b/>
      <sz val="18"/>
      <color rgb="FF000000"/>
      <name val="Calibri"/>
      <family val="2"/>
    </font>
    <font>
      <b/>
      <i/>
      <sz val="18"/>
      <name val="2"/>
    </font>
    <font>
      <b/>
      <i/>
      <vertAlign val="subscript"/>
      <sz val="18"/>
      <name val="2"/>
    </font>
    <font>
      <b/>
      <sz val="18"/>
      <name val="2"/>
    </font>
    <font>
      <b/>
      <sz val="18"/>
      <color indexed="10"/>
      <name val="2"/>
    </font>
    <font>
      <b/>
      <sz val="11"/>
      <color rgb="FFFF0000"/>
      <name val="Calibri"/>
      <family val="2"/>
    </font>
    <font>
      <b/>
      <u/>
      <sz val="11"/>
      <color indexed="10"/>
      <name val="2"/>
    </font>
    <font>
      <b/>
      <sz val="11"/>
      <color indexed="10"/>
      <name val="2"/>
    </font>
    <font>
      <sz val="11"/>
      <color rgb="FFFF0000"/>
      <name val="Calibri"/>
      <family val="2"/>
    </font>
    <font>
      <b/>
      <sz val="11"/>
      <color rgb="FF000000"/>
      <name val="Calibri"/>
      <family val="2"/>
    </font>
    <font>
      <b/>
      <i/>
      <sz val="11"/>
      <name val="2"/>
    </font>
    <font>
      <b/>
      <sz val="11"/>
      <name val="2"/>
    </font>
    <font>
      <b/>
      <sz val="20"/>
      <color rgb="FF000000"/>
      <name val="Calibri"/>
      <family val="2"/>
    </font>
    <font>
      <b/>
      <i/>
      <sz val="22"/>
      <name val="1"/>
    </font>
    <font>
      <b/>
      <sz val="20"/>
      <name val="2"/>
    </font>
    <font>
      <b/>
      <sz val="16"/>
      <color rgb="FF000000"/>
      <name val="Calibri"/>
      <family val="2"/>
    </font>
    <font>
      <sz val="9"/>
      <color rgb="FF000000"/>
      <name val="Calibri"/>
      <family val="2"/>
    </font>
    <font>
      <b/>
      <sz val="14"/>
      <color rgb="FF000000"/>
      <name val="Calibri"/>
      <family val="2"/>
    </font>
    <font>
      <b/>
      <sz val="9"/>
      <color rgb="FF000000"/>
      <name val="Calibri"/>
      <family val="2"/>
    </font>
    <font>
      <b/>
      <i/>
      <sz val="9"/>
      <name val="2"/>
    </font>
    <font>
      <b/>
      <i/>
      <vertAlign val="subscript"/>
      <sz val="9"/>
      <name val="2"/>
    </font>
    <font>
      <b/>
      <vertAlign val="subscript"/>
      <sz val="9"/>
      <name val="2"/>
    </font>
    <font>
      <b/>
      <sz val="9"/>
      <name val="2"/>
    </font>
    <font>
      <sz val="8"/>
      <color rgb="FFFFFFFF"/>
      <name val="Calibri"/>
      <family val="2"/>
    </font>
    <font>
      <sz val="8"/>
      <color rgb="FF000000"/>
      <name val="Calibri"/>
      <family val="2"/>
    </font>
    <font>
      <u/>
      <sz val="8"/>
      <color rgb="FFFF0000"/>
      <name val="Calibri"/>
      <family val="2"/>
    </font>
    <font>
      <b/>
      <sz val="8"/>
      <color rgb="FF000000"/>
      <name val="Calibri"/>
      <family val="2"/>
    </font>
    <font>
      <u/>
      <sz val="11"/>
      <color indexed="30"/>
      <name val="2"/>
    </font>
    <font>
      <u/>
      <sz val="11"/>
      <color indexed="8"/>
      <name val="2"/>
    </font>
    <font>
      <sz val="11"/>
      <color indexed="8"/>
      <name val="2"/>
    </font>
    <font>
      <b/>
      <sz val="12"/>
      <color rgb="FF000000"/>
      <name val="Calibri"/>
      <family val="2"/>
    </font>
    <font>
      <b/>
      <u/>
      <sz val="12"/>
      <name val="2"/>
    </font>
    <font>
      <b/>
      <sz val="12"/>
      <name val="2"/>
    </font>
    <font>
      <b/>
      <i/>
      <sz val="12"/>
      <name val="2"/>
    </font>
    <font>
      <b/>
      <i/>
      <vertAlign val="subscript"/>
      <sz val="12"/>
      <name val="2"/>
    </font>
    <font>
      <u/>
      <sz val="11"/>
      <color rgb="FF000000"/>
      <name val="Calibri"/>
      <family val="2"/>
    </font>
    <font>
      <b/>
      <u/>
      <sz val="11"/>
      <name val="2"/>
    </font>
    <font>
      <u/>
      <sz val="11"/>
      <name val="2"/>
    </font>
    <font>
      <sz val="11"/>
      <name val="2"/>
    </font>
    <font>
      <i/>
      <sz val="11"/>
      <color indexed="8"/>
      <name val="2"/>
    </font>
    <font>
      <vertAlign val="superscript"/>
      <sz val="11"/>
      <color theme="1"/>
      <name val="Calibri"/>
      <family val="2"/>
      <scheme val="minor"/>
    </font>
    <font>
      <sz val="11"/>
      <color rgb="FF000000"/>
      <name val="Calibri"/>
      <family val="2"/>
      <charset val="1"/>
    </font>
    <font>
      <b/>
      <sz val="26"/>
      <color rgb="FF000000"/>
      <name val="Calibri"/>
      <family val="2"/>
      <charset val="1"/>
    </font>
    <font>
      <b/>
      <sz val="22"/>
      <color rgb="FF000000"/>
      <name val="Calibri"/>
      <family val="2"/>
      <charset val="1"/>
    </font>
    <font>
      <sz val="11"/>
      <name val="Calibri"/>
      <family val="2"/>
      <charset val="1"/>
    </font>
    <font>
      <i/>
      <sz val="16"/>
      <name val="Calibri"/>
      <family val="2"/>
      <charset val="1"/>
    </font>
    <font>
      <sz val="14"/>
      <name val="Calibri"/>
      <family val="2"/>
      <charset val="1"/>
    </font>
    <font>
      <sz val="10"/>
      <name val="Calibri"/>
      <family val="2"/>
      <charset val="1"/>
    </font>
    <font>
      <i/>
      <sz val="12"/>
      <name val="Calibri"/>
      <family val="2"/>
      <charset val="1"/>
    </font>
    <font>
      <b/>
      <sz val="18"/>
      <name val="Calibri"/>
      <family val="2"/>
      <charset val="1"/>
    </font>
    <font>
      <b/>
      <i/>
      <sz val="18"/>
      <name val="Calibri"/>
      <family val="2"/>
      <charset val="1"/>
    </font>
    <font>
      <b/>
      <i/>
      <vertAlign val="subscript"/>
      <sz val="18"/>
      <name val="Calibri"/>
      <family val="2"/>
      <charset val="1"/>
    </font>
    <font>
      <b/>
      <sz val="18"/>
      <color rgb="FFFF0000"/>
      <name val="Calibri"/>
      <family val="2"/>
      <charset val="1"/>
    </font>
    <font>
      <b/>
      <sz val="11"/>
      <color rgb="FFFF0000"/>
      <name val="Calibri"/>
      <family val="2"/>
      <charset val="1"/>
    </font>
    <font>
      <b/>
      <u/>
      <sz val="11"/>
      <color rgb="FFFF0000"/>
      <name val="Calibri"/>
      <family val="2"/>
      <charset val="1"/>
    </font>
    <font>
      <sz val="11"/>
      <color rgb="FFFF0000"/>
      <name val="Calibri"/>
      <family val="2"/>
      <charset val="1"/>
    </font>
    <font>
      <b/>
      <sz val="11"/>
      <name val="Calibri"/>
      <family val="2"/>
      <charset val="1"/>
    </font>
    <font>
      <b/>
      <i/>
      <sz val="11"/>
      <name val="Calibri"/>
      <family val="2"/>
      <charset val="1"/>
    </font>
    <font>
      <b/>
      <sz val="20"/>
      <name val="Calibri"/>
      <family val="2"/>
      <charset val="1"/>
    </font>
    <font>
      <b/>
      <i/>
      <sz val="22"/>
      <name val="Castellar"/>
      <family val="1"/>
      <charset val="1"/>
    </font>
    <font>
      <b/>
      <sz val="16"/>
      <name val="Calibri"/>
      <family val="2"/>
      <charset val="1"/>
    </font>
    <font>
      <sz val="9"/>
      <name val="Calibri"/>
      <family val="2"/>
      <charset val="1"/>
    </font>
    <font>
      <b/>
      <sz val="14"/>
      <name val="Calibri"/>
      <family val="2"/>
      <charset val="1"/>
    </font>
    <font>
      <b/>
      <sz val="9"/>
      <name val="Calibri"/>
      <family val="2"/>
      <charset val="1"/>
    </font>
    <font>
      <b/>
      <i/>
      <sz val="9"/>
      <name val="Calibri"/>
      <family val="2"/>
      <charset val="1"/>
    </font>
    <font>
      <b/>
      <i/>
      <vertAlign val="subscript"/>
      <sz val="9"/>
      <name val="Calibri"/>
      <family val="2"/>
      <charset val="1"/>
    </font>
    <font>
      <b/>
      <vertAlign val="subscript"/>
      <sz val="9"/>
      <name val="Calibri"/>
      <family val="2"/>
      <charset val="1"/>
    </font>
    <font>
      <sz val="8"/>
      <name val="Calibri"/>
      <family val="2"/>
      <charset val="1"/>
    </font>
    <font>
      <sz val="8"/>
      <color rgb="FFFFFFFF"/>
      <name val="Calibri"/>
      <family val="2"/>
      <charset val="1"/>
    </font>
    <font>
      <sz val="8"/>
      <color rgb="FF000000"/>
      <name val="Calibri"/>
      <family val="2"/>
      <charset val="1"/>
    </font>
    <font>
      <u/>
      <sz val="8"/>
      <color rgb="FFFF0000"/>
      <name val="Calibri"/>
      <family val="2"/>
      <charset val="1"/>
    </font>
    <font>
      <b/>
      <sz val="11"/>
      <color rgb="FF000000"/>
      <name val="Calibri"/>
      <family val="2"/>
      <charset val="1"/>
    </font>
    <font>
      <b/>
      <sz val="8"/>
      <color rgb="FF000000"/>
      <name val="Calibri"/>
      <family val="2"/>
      <charset val="1"/>
    </font>
    <font>
      <u/>
      <sz val="11"/>
      <color rgb="FF0070C0"/>
      <name val="Calibri"/>
      <family val="2"/>
      <charset val="1"/>
    </font>
    <font>
      <u/>
      <sz val="11"/>
      <color rgb="FF000000"/>
      <name val="Calibri"/>
      <family val="2"/>
      <charset val="1"/>
    </font>
    <font>
      <b/>
      <sz val="12"/>
      <name val="Calibri"/>
      <family val="2"/>
      <charset val="1"/>
    </font>
    <font>
      <b/>
      <u/>
      <sz val="12"/>
      <name val="Calibri"/>
      <family val="2"/>
      <charset val="1"/>
    </font>
    <font>
      <b/>
      <i/>
      <sz val="12"/>
      <name val="Calibri"/>
      <family val="2"/>
      <charset val="1"/>
    </font>
    <font>
      <b/>
      <i/>
      <vertAlign val="subscript"/>
      <sz val="12"/>
      <name val="Calibri"/>
      <family val="2"/>
      <charset val="1"/>
    </font>
    <font>
      <u/>
      <sz val="11"/>
      <name val="Calibri"/>
      <family val="2"/>
      <charset val="1"/>
    </font>
    <font>
      <b/>
      <u/>
      <sz val="11"/>
      <name val="Calibri"/>
      <family val="2"/>
      <charset val="1"/>
    </font>
    <font>
      <i/>
      <sz val="11"/>
      <color rgb="FF000000"/>
      <name val="Calibri"/>
      <family val="2"/>
      <charset val="1"/>
    </font>
    <font>
      <sz val="10"/>
      <color rgb="FF000000"/>
      <name val="Times New Roman"/>
      <family val="1"/>
      <charset val="1"/>
    </font>
    <font>
      <b/>
      <sz val="8"/>
      <name val="Calibri"/>
      <family val="2"/>
      <charset val="1"/>
    </font>
    <font>
      <u/>
      <sz val="11"/>
      <color theme="10"/>
      <name val="Calibri"/>
      <family val="2"/>
    </font>
    <font>
      <sz val="11"/>
      <color theme="1"/>
      <name val="Calibri"/>
      <family val="2"/>
      <scheme val="minor"/>
    </font>
    <font>
      <b/>
      <sz val="26"/>
      <color rgb="FF000000"/>
      <name val="Calibri"/>
      <family val="2"/>
      <scheme val="minor"/>
    </font>
    <font>
      <b/>
      <sz val="22"/>
      <color rgb="FF000000"/>
      <name val="Calibri"/>
      <family val="2"/>
      <scheme val="minor"/>
    </font>
    <font>
      <sz val="11"/>
      <name val="Calibri"/>
      <family val="2"/>
      <scheme val="minor"/>
    </font>
    <font>
      <sz val="11"/>
      <color theme="1"/>
      <name val="Calibri"/>
      <family val="2"/>
    </font>
    <font>
      <i/>
      <sz val="16"/>
      <name val="Calibri"/>
      <family val="2"/>
    </font>
    <font>
      <sz val="14"/>
      <name val="Calibri"/>
      <family val="2"/>
      <scheme val="minor"/>
    </font>
    <font>
      <vertAlign val="superscript"/>
      <sz val="10"/>
      <name val="Calibri"/>
      <family val="2"/>
      <scheme val="minor"/>
    </font>
    <font>
      <i/>
      <sz val="12"/>
      <name val="Calibri"/>
      <family val="2"/>
    </font>
    <font>
      <u/>
      <sz val="11"/>
      <color rgb="FF0000FF"/>
      <name val="Calibri"/>
      <family val="2"/>
      <scheme val="minor"/>
    </font>
    <font>
      <u/>
      <sz val="11"/>
      <color rgb="FF800080"/>
      <name val="Calibri"/>
      <family val="2"/>
      <scheme val="minor"/>
    </font>
    <font>
      <b/>
      <sz val="18"/>
      <name val="Calibri"/>
      <family val="2"/>
      <scheme val="minor"/>
    </font>
    <font>
      <b/>
      <sz val="11"/>
      <color rgb="FFFF0000"/>
      <name val="Calibri"/>
      <family val="2"/>
      <scheme val="minor"/>
    </font>
    <font>
      <sz val="11"/>
      <color rgb="FFFF0000"/>
      <name val="Calibri"/>
      <family val="2"/>
      <scheme val="minor"/>
    </font>
    <font>
      <b/>
      <sz val="11"/>
      <name val="Calibri"/>
      <family val="2"/>
      <scheme val="minor"/>
    </font>
    <font>
      <b/>
      <sz val="20"/>
      <name val="Calibri"/>
      <family val="2"/>
      <scheme val="minor"/>
    </font>
    <font>
      <b/>
      <i/>
      <sz val="22"/>
      <name val="Castellar"/>
      <charset val="134"/>
    </font>
    <font>
      <b/>
      <sz val="16"/>
      <name val="Calibri"/>
      <family val="2"/>
      <scheme val="minor"/>
    </font>
    <font>
      <sz val="9"/>
      <name val="Calibri"/>
      <family val="2"/>
      <scheme val="minor"/>
    </font>
    <font>
      <b/>
      <sz val="14"/>
      <name val="Calibri"/>
      <family val="2"/>
    </font>
    <font>
      <b/>
      <sz val="9"/>
      <name val="Calibri"/>
      <family val="2"/>
    </font>
    <font>
      <b/>
      <i/>
      <sz val="9"/>
      <name val="Calibri"/>
      <family val="2"/>
    </font>
    <font>
      <b/>
      <sz val="14"/>
      <name val="Calibri"/>
      <family val="2"/>
      <scheme val="minor"/>
    </font>
    <font>
      <b/>
      <sz val="9"/>
      <name val="Calibri"/>
      <family val="2"/>
      <scheme val="minor"/>
    </font>
    <font>
      <sz val="10.5"/>
      <name val="宋体"/>
      <charset val="134"/>
    </font>
    <font>
      <sz val="8"/>
      <color theme="0"/>
      <name val="Calibri"/>
      <family val="2"/>
      <scheme val="minor"/>
    </font>
    <font>
      <sz val="8"/>
      <name val="Calibri"/>
      <family val="2"/>
      <scheme val="minor"/>
    </font>
    <font>
      <sz val="8"/>
      <color theme="1"/>
      <name val="Calibri"/>
      <family val="2"/>
      <scheme val="minor"/>
    </font>
    <font>
      <sz val="8"/>
      <name val="Calibri"/>
      <family val="2"/>
    </font>
    <font>
      <sz val="8"/>
      <color rgb="FF000000"/>
      <name val="Calibri"/>
      <family val="2"/>
    </font>
    <font>
      <u/>
      <sz val="8"/>
      <color rgb="FFFF0000"/>
      <name val="Calibri"/>
      <family val="2"/>
      <scheme val="minor"/>
    </font>
    <font>
      <b/>
      <sz val="11"/>
      <color theme="1"/>
      <name val="Calibri"/>
      <family val="2"/>
      <scheme val="minor"/>
    </font>
    <font>
      <sz val="10.5"/>
      <color theme="1"/>
      <name val="Calibri"/>
      <family val="2"/>
    </font>
    <font>
      <b/>
      <sz val="8"/>
      <color theme="1"/>
      <name val="Calibri"/>
      <family val="2"/>
      <scheme val="minor"/>
    </font>
    <font>
      <b/>
      <sz val="12"/>
      <name val="Calibri"/>
      <family val="2"/>
      <scheme val="minor"/>
    </font>
    <font>
      <u/>
      <sz val="11"/>
      <color rgb="FFFF0000"/>
      <name val="Calibri"/>
      <family val="2"/>
      <scheme val="minor"/>
    </font>
    <font>
      <u/>
      <sz val="11"/>
      <name val="Calibri"/>
      <family val="2"/>
      <scheme val="minor"/>
    </font>
    <font>
      <sz val="8"/>
      <color rgb="FF000000"/>
      <name val="Calibri"/>
      <family val="2"/>
      <scheme val="minor"/>
    </font>
    <font>
      <b/>
      <sz val="8"/>
      <name val="Calibri"/>
      <family val="2"/>
      <scheme val="minor"/>
    </font>
    <font>
      <sz val="11"/>
      <color theme="1"/>
      <name val="Arial"/>
      <family val="2"/>
    </font>
    <font>
      <sz val="11"/>
      <color theme="1"/>
      <name val="Calibri"/>
      <family val="2"/>
    </font>
    <font>
      <i/>
      <sz val="16"/>
      <color theme="1"/>
      <name val="Calibri"/>
      <family val="2"/>
    </font>
    <font>
      <sz val="14"/>
      <color theme="1"/>
      <name val="Calibri"/>
      <family val="2"/>
    </font>
    <font>
      <vertAlign val="superscript"/>
      <sz val="10"/>
      <color theme="1"/>
      <name val="Calibri"/>
      <family val="2"/>
    </font>
    <font>
      <i/>
      <sz val="12"/>
      <color theme="1"/>
      <name val="Calibri"/>
      <family val="2"/>
    </font>
    <font>
      <b/>
      <sz val="18"/>
      <color theme="1"/>
      <name val="Calibri"/>
      <family val="2"/>
    </font>
    <font>
      <b/>
      <i/>
      <sz val="18"/>
      <name val="Calibri"/>
      <family val="2"/>
    </font>
    <font>
      <b/>
      <i/>
      <vertAlign val="subscript"/>
      <sz val="18"/>
      <name val="Calibri"/>
      <family val="2"/>
    </font>
    <font>
      <b/>
      <sz val="18"/>
      <name val="Calibri"/>
      <family val="2"/>
    </font>
    <font>
      <b/>
      <sz val="18"/>
      <color rgb="FFFF0000"/>
      <name val="Calibri"/>
      <family val="2"/>
    </font>
    <font>
      <b/>
      <u/>
      <sz val="11"/>
      <color rgb="FFFF0000"/>
      <name val="Calibri"/>
      <family val="2"/>
    </font>
    <font>
      <b/>
      <sz val="11"/>
      <color theme="1"/>
      <name val="Calibri"/>
      <family val="2"/>
    </font>
    <font>
      <b/>
      <i/>
      <sz val="11"/>
      <name val="Calibri"/>
      <family val="2"/>
    </font>
    <font>
      <b/>
      <sz val="11"/>
      <name val="Calibri"/>
      <family val="2"/>
    </font>
    <font>
      <b/>
      <sz val="20"/>
      <color theme="1"/>
      <name val="Calibri"/>
      <family val="2"/>
    </font>
    <font>
      <b/>
      <i/>
      <sz val="22"/>
      <name val="Castellar"/>
    </font>
    <font>
      <b/>
      <sz val="20"/>
      <name val="Calibri"/>
      <family val="2"/>
    </font>
    <font>
      <b/>
      <sz val="16"/>
      <color theme="1"/>
      <name val="Calibri"/>
      <family val="2"/>
    </font>
    <font>
      <b/>
      <sz val="14"/>
      <color theme="1"/>
      <name val="Calibri"/>
      <family val="2"/>
    </font>
    <font>
      <b/>
      <sz val="9"/>
      <color theme="1"/>
      <name val="Calibri"/>
      <family val="2"/>
    </font>
    <font>
      <sz val="9"/>
      <color theme="1"/>
      <name val="Calibri"/>
      <family val="2"/>
    </font>
    <font>
      <sz val="8"/>
      <name val="Arial"/>
      <family val="2"/>
    </font>
    <font>
      <sz val="8"/>
      <color theme="0"/>
      <name val="Calibri"/>
      <family val="2"/>
    </font>
    <font>
      <sz val="8"/>
      <color theme="1"/>
      <name val="Calibri"/>
      <family val="2"/>
    </font>
    <font>
      <sz val="8"/>
      <color rgb="FF000000"/>
      <name val="Arial"/>
      <family val="2"/>
    </font>
    <font>
      <sz val="8"/>
      <name val="Calibri"/>
      <family val="2"/>
    </font>
    <font>
      <sz val="8"/>
      <color theme="1"/>
      <name val="Arial"/>
      <family val="2"/>
    </font>
    <font>
      <sz val="11"/>
      <name val="Arial"/>
      <family val="2"/>
    </font>
    <font>
      <sz val="9"/>
      <name val="Arial"/>
      <family val="2"/>
    </font>
    <font>
      <b/>
      <sz val="8"/>
      <color theme="1"/>
      <name val="Calibri"/>
      <family val="2"/>
    </font>
    <font>
      <u/>
      <sz val="11"/>
      <color rgb="FF0070C0"/>
      <name val="Calibri"/>
      <family val="2"/>
    </font>
    <font>
      <u/>
      <sz val="11"/>
      <color theme="1"/>
      <name val="Calibri"/>
      <family val="2"/>
    </font>
    <font>
      <b/>
      <sz val="12"/>
      <color theme="1"/>
      <name val="Calibri"/>
      <family val="2"/>
    </font>
    <font>
      <b/>
      <u/>
      <sz val="12"/>
      <name val="Calibri"/>
      <family val="2"/>
    </font>
    <font>
      <b/>
      <sz val="12"/>
      <name val="Calibri"/>
      <family val="2"/>
    </font>
    <font>
      <b/>
      <i/>
      <sz val="12"/>
      <name val="Calibri"/>
      <family val="2"/>
    </font>
    <font>
      <b/>
      <i/>
      <vertAlign val="subscript"/>
      <sz val="12"/>
      <name val="Calibri"/>
      <family val="2"/>
    </font>
    <font>
      <b/>
      <u/>
      <sz val="11"/>
      <name val="Calibri"/>
      <family val="2"/>
    </font>
    <font>
      <u/>
      <sz val="11"/>
      <name val="Calibri"/>
      <family val="2"/>
    </font>
    <font>
      <sz val="11"/>
      <name val="Calibri"/>
      <family val="2"/>
    </font>
    <font>
      <i/>
      <sz val="11"/>
      <color theme="1"/>
      <name val="Calibri"/>
      <family val="2"/>
    </font>
    <font>
      <sz val="11"/>
      <color indexed="8"/>
      <name val="Calibri"/>
      <family val="2"/>
    </font>
    <font>
      <b/>
      <sz val="26"/>
      <color indexed="8"/>
      <name val="Calibri"/>
      <family val="2"/>
    </font>
    <font>
      <b/>
      <sz val="22"/>
      <color indexed="8"/>
      <name val="Calibri"/>
      <family val="2"/>
    </font>
    <font>
      <i/>
      <sz val="16"/>
      <color indexed="8"/>
      <name val="Calibri"/>
      <family val="2"/>
    </font>
    <font>
      <sz val="14"/>
      <color indexed="8"/>
      <name val="Calibri"/>
      <family val="2"/>
    </font>
    <font>
      <vertAlign val="superscript"/>
      <sz val="10"/>
      <color indexed="8"/>
      <name val="Calibri"/>
      <family val="2"/>
    </font>
    <font>
      <i/>
      <sz val="12"/>
      <color indexed="8"/>
      <name val="Calibri"/>
      <family val="2"/>
    </font>
    <font>
      <b/>
      <sz val="18"/>
      <color indexed="8"/>
      <name val="Calibri"/>
      <family val="2"/>
    </font>
    <font>
      <b/>
      <i/>
      <sz val="18"/>
      <color indexed="8"/>
      <name val="Calibri"/>
      <family val="2"/>
    </font>
    <font>
      <b/>
      <i/>
      <vertAlign val="subscript"/>
      <sz val="18"/>
      <color indexed="8"/>
      <name val="Calibri"/>
      <family val="2"/>
    </font>
    <font>
      <b/>
      <sz val="18"/>
      <color indexed="13"/>
      <name val="Calibri"/>
      <family val="2"/>
    </font>
    <font>
      <b/>
      <sz val="11"/>
      <color indexed="13"/>
      <name val="Calibri"/>
      <family val="2"/>
    </font>
    <font>
      <b/>
      <u/>
      <sz val="11"/>
      <color indexed="13"/>
      <name val="Calibri"/>
      <family val="2"/>
    </font>
    <font>
      <b/>
      <sz val="11"/>
      <color indexed="8"/>
      <name val="Calibri"/>
      <family val="2"/>
    </font>
    <font>
      <b/>
      <i/>
      <sz val="11"/>
      <color indexed="8"/>
      <name val="Calibri"/>
      <family val="2"/>
    </font>
    <font>
      <b/>
      <sz val="20"/>
      <color indexed="8"/>
      <name val="Calibri"/>
      <family val="2"/>
    </font>
    <font>
      <sz val="22"/>
      <color indexed="8"/>
      <name val="Castellar"/>
    </font>
    <font>
      <b/>
      <sz val="16"/>
      <color indexed="8"/>
      <name val="Calibri"/>
      <family val="2"/>
    </font>
    <font>
      <b/>
      <sz val="14"/>
      <color indexed="8"/>
      <name val="Calibri"/>
      <family val="2"/>
    </font>
    <font>
      <b/>
      <sz val="9"/>
      <color indexed="8"/>
      <name val="Calibri"/>
      <family val="2"/>
    </font>
    <font>
      <b/>
      <i/>
      <sz val="9"/>
      <color indexed="8"/>
      <name val="Calibri"/>
      <family val="2"/>
    </font>
    <font>
      <b/>
      <i/>
      <vertAlign val="subscript"/>
      <sz val="9"/>
      <color indexed="8"/>
      <name val="Calibri"/>
      <family val="2"/>
    </font>
    <font>
      <b/>
      <vertAlign val="subscript"/>
      <sz val="9"/>
      <color indexed="8"/>
      <name val="Calibri"/>
      <family val="2"/>
    </font>
    <font>
      <sz val="9"/>
      <color indexed="8"/>
      <name val="Calibri"/>
      <family val="2"/>
    </font>
    <font>
      <sz val="8"/>
      <color indexed="9"/>
      <name val="Calibri"/>
      <family val="2"/>
    </font>
    <font>
      <sz val="8"/>
      <color indexed="8"/>
      <name val="Calibri"/>
      <family val="2"/>
    </font>
    <font>
      <u/>
      <sz val="8"/>
      <color indexed="12"/>
      <name val="Calibri"/>
      <family val="2"/>
    </font>
    <font>
      <u/>
      <sz val="8"/>
      <color indexed="13"/>
      <name val="Calibri"/>
      <family val="2"/>
    </font>
    <font>
      <u/>
      <sz val="11"/>
      <color indexed="8"/>
      <name val="Calibri"/>
      <family val="2"/>
    </font>
    <font>
      <b/>
      <u/>
      <sz val="11"/>
      <color indexed="8"/>
      <name val="Calibri"/>
      <family val="2"/>
    </font>
    <font>
      <u/>
      <sz val="11"/>
      <color indexed="14"/>
      <name val="Calibri"/>
      <family val="2"/>
    </font>
    <font>
      <u/>
      <sz val="15"/>
      <color indexed="12"/>
      <name val="Helvetica"/>
      <family val="2"/>
    </font>
    <font>
      <b/>
      <sz val="8"/>
      <color indexed="8"/>
      <name val="Calibri"/>
      <family val="2"/>
    </font>
    <font>
      <u/>
      <sz val="11"/>
      <color indexed="15"/>
      <name val="Calibri"/>
      <family val="2"/>
    </font>
    <font>
      <b/>
      <sz val="12"/>
      <color indexed="8"/>
      <name val="Calibri"/>
      <family val="2"/>
    </font>
    <font>
      <b/>
      <u/>
      <sz val="12"/>
      <color indexed="8"/>
      <name val="Calibri"/>
      <family val="2"/>
    </font>
    <font>
      <b/>
      <i/>
      <sz val="12"/>
      <color indexed="8"/>
      <name val="Calibri"/>
      <family val="2"/>
    </font>
    <font>
      <b/>
      <i/>
      <vertAlign val="subscript"/>
      <sz val="12"/>
      <color indexed="8"/>
      <name val="Calibri"/>
      <family val="2"/>
    </font>
    <font>
      <i/>
      <sz val="11"/>
      <color indexed="8"/>
      <name val="Calibri"/>
      <family val="2"/>
    </font>
    <font>
      <sz val="10"/>
      <color theme="1"/>
      <name val="Calibri"/>
      <family val="2"/>
      <scheme val="minor"/>
    </font>
    <font>
      <i/>
      <vertAlign val="subscript"/>
      <sz val="11"/>
      <color theme="1"/>
      <name val="Calibri"/>
      <family val="2"/>
      <scheme val="minor"/>
    </font>
    <font>
      <vertAlign val="superscript"/>
      <sz val="10"/>
      <color theme="1"/>
      <name val="Calibri"/>
      <family val="2"/>
      <scheme val="minor"/>
    </font>
  </fonts>
  <fills count="12">
    <fill>
      <patternFill patternType="none"/>
    </fill>
    <fill>
      <patternFill patternType="gray125"/>
    </fill>
    <fill>
      <patternFill patternType="solid">
        <fgColor rgb="FFFFFF00"/>
        <bgColor indexed="64"/>
      </patternFill>
    </fill>
    <fill>
      <patternFill patternType="solid">
        <fgColor theme="1"/>
        <bgColor indexed="64"/>
      </patternFill>
    </fill>
    <fill>
      <patternFill patternType="solid">
        <fgColor rgb="FFFFFF00"/>
        <bgColor rgb="FF000000"/>
      </patternFill>
    </fill>
    <fill>
      <patternFill patternType="solid">
        <fgColor rgb="FF000000"/>
        <bgColor rgb="FF000000"/>
      </patternFill>
    </fill>
    <fill>
      <patternFill patternType="solid">
        <fgColor rgb="FFFFFF00"/>
        <bgColor rgb="FFFFFF00"/>
      </patternFill>
    </fill>
    <fill>
      <patternFill patternType="solid">
        <fgColor rgb="FF000000"/>
        <bgColor rgb="FF003300"/>
      </patternFill>
    </fill>
    <fill>
      <patternFill patternType="solid">
        <fgColor theme="1"/>
        <bgColor theme="1"/>
      </patternFill>
    </fill>
    <fill>
      <patternFill patternType="solid">
        <fgColor indexed="9"/>
        <bgColor auto="1"/>
      </patternFill>
    </fill>
    <fill>
      <patternFill patternType="solid">
        <fgColor indexed="11"/>
        <bgColor auto="1"/>
      </patternFill>
    </fill>
    <fill>
      <patternFill patternType="solid">
        <fgColor indexed="8"/>
        <bgColor auto="1"/>
      </patternFill>
    </fill>
  </fills>
  <borders count="94">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thin">
        <color indexed="8"/>
      </bottom>
      <diagonal/>
    </border>
    <border>
      <left style="thin">
        <color indexed="8"/>
      </left>
      <right style="thin">
        <color indexed="8"/>
      </right>
      <top style="thin">
        <color indexed="8"/>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8"/>
      </top>
      <bottom style="thin">
        <color indexed="10"/>
      </bottom>
      <diagonal/>
    </border>
    <border>
      <left style="thin">
        <color indexed="8"/>
      </left>
      <right style="thin">
        <color indexed="8"/>
      </right>
      <top style="thin">
        <color indexed="10"/>
      </top>
      <bottom style="thin">
        <color indexed="10"/>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8"/>
      </top>
      <bottom style="thin">
        <color indexed="10"/>
      </bottom>
      <diagonal/>
    </border>
    <border>
      <left style="thin">
        <color indexed="10"/>
      </left>
      <right style="thin">
        <color indexed="8"/>
      </right>
      <top style="thin">
        <color indexed="10"/>
      </top>
      <bottom style="thin">
        <color indexed="10"/>
      </bottom>
      <diagonal/>
    </border>
    <border>
      <left style="thin">
        <color indexed="10"/>
      </left>
      <right style="thin">
        <color indexed="10"/>
      </right>
      <top style="thin">
        <color indexed="8"/>
      </top>
      <bottom style="thin">
        <color indexed="8"/>
      </bottom>
      <diagonal/>
    </border>
    <border>
      <left style="thin">
        <color indexed="10"/>
      </left>
      <right style="thin">
        <color indexed="10"/>
      </right>
      <top style="thin">
        <color indexed="10"/>
      </top>
      <bottom style="medium">
        <color indexed="8"/>
      </bottom>
      <diagonal/>
    </border>
    <border>
      <left style="medium">
        <color indexed="8"/>
      </left>
      <right style="thin">
        <color indexed="10"/>
      </right>
      <top style="medium">
        <color indexed="8"/>
      </top>
      <bottom style="medium">
        <color indexed="8"/>
      </bottom>
      <diagonal/>
    </border>
    <border>
      <left style="thin">
        <color indexed="10"/>
      </left>
      <right style="thin">
        <color indexed="10"/>
      </right>
      <top style="medium">
        <color indexed="8"/>
      </top>
      <bottom style="medium">
        <color indexed="8"/>
      </bottom>
      <diagonal/>
    </border>
    <border>
      <left style="thin">
        <color indexed="10"/>
      </left>
      <right style="medium">
        <color indexed="8"/>
      </right>
      <top style="medium">
        <color indexed="8"/>
      </top>
      <bottom style="medium">
        <color indexed="8"/>
      </bottom>
      <diagonal/>
    </border>
    <border>
      <left style="medium">
        <color indexed="8"/>
      </left>
      <right style="thin">
        <color indexed="10"/>
      </right>
      <top style="thin">
        <color indexed="10"/>
      </top>
      <bottom style="thin">
        <color indexed="10"/>
      </bottom>
      <diagonal/>
    </border>
    <border>
      <left style="thin">
        <color indexed="10"/>
      </left>
      <right style="thin">
        <color indexed="8"/>
      </right>
      <top style="medium">
        <color indexed="8"/>
      </top>
      <bottom style="thin">
        <color indexed="10"/>
      </bottom>
      <diagonal/>
    </border>
    <border>
      <left style="thin">
        <color indexed="8"/>
      </left>
      <right style="thin">
        <color indexed="8"/>
      </right>
      <top style="medium">
        <color indexed="8"/>
      </top>
      <bottom style="thin">
        <color indexed="8"/>
      </bottom>
      <diagonal/>
    </border>
    <border>
      <left style="thin">
        <color indexed="8"/>
      </left>
      <right/>
      <top style="medium">
        <color indexed="8"/>
      </top>
      <bottom/>
      <diagonal/>
    </border>
    <border>
      <left/>
      <right style="thin">
        <color indexed="10"/>
      </right>
      <top style="medium">
        <color indexed="8"/>
      </top>
      <bottom style="thin">
        <color indexed="10"/>
      </bottom>
      <diagonal/>
    </border>
    <border>
      <left style="thin">
        <color indexed="10"/>
      </left>
      <right style="thin">
        <color indexed="10"/>
      </right>
      <top style="medium">
        <color indexed="8"/>
      </top>
      <bottom style="thin">
        <color indexed="10"/>
      </bottom>
      <diagonal/>
    </border>
    <border>
      <left style="thin">
        <color indexed="8"/>
      </left>
      <right style="thin">
        <color indexed="10"/>
      </right>
      <top style="medium">
        <color indexed="8"/>
      </top>
      <bottom style="thin">
        <color indexed="10"/>
      </bottom>
      <diagonal/>
    </border>
    <border>
      <left style="thin">
        <color indexed="8"/>
      </left>
      <right/>
      <top/>
      <bottom/>
      <diagonal/>
    </border>
    <border>
      <left/>
      <right style="thin">
        <color indexed="10"/>
      </right>
      <top style="thin">
        <color indexed="10"/>
      </top>
      <bottom style="thin">
        <color indexed="10"/>
      </bottom>
      <diagonal/>
    </border>
    <border>
      <left style="thin">
        <color indexed="8"/>
      </left>
      <right style="thin">
        <color indexed="10"/>
      </right>
      <top style="thin">
        <color indexed="10"/>
      </top>
      <bottom style="thin">
        <color indexed="8"/>
      </bottom>
      <diagonal/>
    </border>
    <border>
      <left style="thin">
        <color indexed="8"/>
      </left>
      <right style="thin">
        <color indexed="10"/>
      </right>
      <top style="thin">
        <color indexed="8"/>
      </top>
      <bottom style="thin">
        <color indexed="8"/>
      </bottom>
      <diagonal/>
    </border>
    <border>
      <left style="thin">
        <color indexed="10"/>
      </left>
      <right style="thin">
        <color indexed="8"/>
      </right>
      <top style="thin">
        <color indexed="8"/>
      </top>
      <bottom style="thin">
        <color indexed="8"/>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right style="thin">
        <color indexed="8"/>
      </right>
      <top/>
      <bottom/>
      <diagonal/>
    </border>
    <border>
      <left style="thin">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style="thin">
        <color indexed="10"/>
      </left>
      <right style="thin">
        <color indexed="10"/>
      </right>
      <top/>
      <bottom style="thin">
        <color indexed="10"/>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top/>
      <bottom style="medium">
        <color indexed="64"/>
      </bottom>
      <diagonal/>
    </border>
    <border>
      <left/>
      <right/>
      <top style="medium">
        <color indexed="64"/>
      </top>
      <bottom/>
      <diagonal/>
    </border>
  </borders>
  <cellStyleXfs count="10">
    <xf numFmtId="0" fontId="0" fillId="0" borderId="0"/>
    <xf numFmtId="0" fontId="52" fillId="0" borderId="0" applyNumberFormat="0" applyFill="0" applyBorder="0" applyAlignment="0" applyProtection="0"/>
    <xf numFmtId="0" fontId="56" fillId="0" borderId="0"/>
    <xf numFmtId="0" fontId="57" fillId="0" borderId="0"/>
    <xf numFmtId="0" fontId="107" fillId="0" borderId="0"/>
    <xf numFmtId="0" fontId="150" fillId="0" borderId="0" applyNumberFormat="0" applyFill="0" applyBorder="0" applyAlignment="0" applyProtection="0">
      <alignment vertical="top"/>
      <protection locked="0"/>
    </xf>
    <xf numFmtId="0" fontId="151" fillId="0" borderId="0"/>
    <xf numFmtId="0" fontId="160" fillId="0" borderId="0" applyNumberFormat="0" applyFill="0" applyBorder="0" applyAlignment="0" applyProtection="0">
      <alignment vertical="center"/>
    </xf>
    <xf numFmtId="0" fontId="190" fillId="0" borderId="0"/>
    <xf numFmtId="0" fontId="232" fillId="0" borderId="0" applyNumberFormat="0" applyFill="0" applyBorder="0" applyProtection="0"/>
  </cellStyleXfs>
  <cellXfs count="910">
    <xf numFmtId="0" fontId="0" fillId="0" borderId="0" xfId="0"/>
    <xf numFmtId="0" fontId="2" fillId="0" borderId="0" xfId="0" applyFont="1" applyAlignment="1">
      <alignment horizontal="center"/>
    </xf>
    <xf numFmtId="1" fontId="2" fillId="0" borderId="0" xfId="0" applyNumberFormat="1" applyFont="1" applyAlignment="1">
      <alignment horizontal="center"/>
    </xf>
    <xf numFmtId="0" fontId="3" fillId="0" borderId="0" xfId="0" applyFont="1"/>
    <xf numFmtId="2" fontId="3" fillId="0" borderId="0" xfId="0" applyNumberFormat="1" applyFont="1" applyAlignment="1">
      <alignment horizontal="center"/>
    </xf>
    <xf numFmtId="0" fontId="5" fillId="0" borderId="0" xfId="0" applyFont="1" applyAlignment="1">
      <alignment horizontal="center"/>
    </xf>
    <xf numFmtId="0" fontId="7" fillId="0" borderId="0" xfId="0" applyFont="1" applyAlignment="1">
      <alignment horizontal="center"/>
    </xf>
    <xf numFmtId="2" fontId="7" fillId="2" borderId="0" xfId="0" applyNumberFormat="1" applyFont="1" applyFill="1" applyAlignment="1">
      <alignment horizontal="center"/>
    </xf>
    <xf numFmtId="0" fontId="7" fillId="0" borderId="0" xfId="0" applyFont="1"/>
    <xf numFmtId="0" fontId="8" fillId="0" borderId="0" xfId="0" applyFont="1" applyAlignment="1">
      <alignment horizontal="center"/>
    </xf>
    <xf numFmtId="1" fontId="7" fillId="0" borderId="0" xfId="0" applyNumberFormat="1" applyFont="1" applyAlignment="1">
      <alignment horizontal="center"/>
    </xf>
    <xf numFmtId="0" fontId="8" fillId="0" borderId="0" xfId="0" applyFont="1"/>
    <xf numFmtId="2" fontId="8" fillId="0" borderId="0" xfId="0" applyNumberFormat="1" applyFont="1" applyAlignment="1">
      <alignment horizontal="center"/>
    </xf>
    <xf numFmtId="1" fontId="9" fillId="0" borderId="0" xfId="0" applyNumberFormat="1" applyFont="1" applyAlignment="1">
      <alignment horizontal="center"/>
    </xf>
    <xf numFmtId="2" fontId="7" fillId="0" borderId="0" xfId="0" applyNumberFormat="1" applyFont="1" applyAlignment="1">
      <alignment horizontal="center"/>
    </xf>
    <xf numFmtId="2" fontId="7" fillId="0" borderId="2" xfId="0" applyNumberFormat="1" applyFont="1" applyBorder="1" applyAlignment="1">
      <alignment horizontal="center"/>
    </xf>
    <xf numFmtId="2" fontId="7" fillId="0" borderId="3" xfId="0" applyNumberFormat="1" applyFont="1" applyBorder="1" applyAlignment="1">
      <alignment horizontal="left"/>
    </xf>
    <xf numFmtId="2" fontId="7" fillId="0" borderId="9" xfId="0" applyNumberFormat="1" applyFont="1" applyBorder="1" applyAlignment="1">
      <alignment horizontal="center"/>
    </xf>
    <xf numFmtId="2" fontId="7" fillId="0" borderId="4" xfId="0" applyNumberFormat="1" applyFont="1" applyBorder="1" applyAlignment="1">
      <alignment horizontal="center"/>
    </xf>
    <xf numFmtId="2" fontId="7" fillId="0" borderId="3" xfId="0" applyNumberFormat="1" applyFont="1" applyBorder="1" applyAlignment="1">
      <alignment horizontal="center"/>
    </xf>
    <xf numFmtId="2" fontId="7" fillId="2" borderId="3" xfId="0" applyNumberFormat="1" applyFont="1" applyFill="1" applyBorder="1" applyAlignment="1">
      <alignment horizontal="center"/>
    </xf>
    <xf numFmtId="2" fontId="7" fillId="2" borderId="9" xfId="0" applyNumberFormat="1" applyFont="1" applyFill="1" applyBorder="1" applyAlignment="1">
      <alignment horizontal="center"/>
    </xf>
    <xf numFmtId="2" fontId="7" fillId="2" borderId="4" xfId="0" applyNumberFormat="1" applyFont="1" applyFill="1" applyBorder="1" applyAlignment="1">
      <alignment horizontal="center"/>
    </xf>
    <xf numFmtId="2" fontId="7" fillId="2" borderId="5" xfId="0" applyNumberFormat="1" applyFont="1" applyFill="1" applyBorder="1" applyAlignment="1">
      <alignment horizontal="center"/>
    </xf>
    <xf numFmtId="2" fontId="7" fillId="2" borderId="6" xfId="0" applyNumberFormat="1" applyFont="1" applyFill="1" applyBorder="1" applyAlignment="1">
      <alignment horizontal="center"/>
    </xf>
    <xf numFmtId="0" fontId="0" fillId="2" borderId="5" xfId="0" applyFill="1" applyBorder="1"/>
    <xf numFmtId="0" fontId="0" fillId="2" borderId="7" xfId="0" applyFill="1" applyBorder="1"/>
    <xf numFmtId="2" fontId="7" fillId="2" borderId="1" xfId="0" applyNumberFormat="1" applyFont="1" applyFill="1" applyBorder="1" applyAlignment="1">
      <alignment horizontal="center"/>
    </xf>
    <xf numFmtId="2" fontId="7" fillId="2" borderId="8" xfId="0" applyNumberFormat="1" applyFont="1" applyFill="1" applyBorder="1" applyAlignment="1">
      <alignment horizontal="center"/>
    </xf>
    <xf numFmtId="2" fontId="7" fillId="2" borderId="2" xfId="0" applyNumberFormat="1" applyFont="1" applyFill="1" applyBorder="1" applyAlignment="1">
      <alignment horizontal="center"/>
    </xf>
    <xf numFmtId="2" fontId="7" fillId="0" borderId="10" xfId="0" applyNumberFormat="1" applyFont="1" applyBorder="1" applyAlignment="1">
      <alignment horizontal="center"/>
    </xf>
    <xf numFmtId="2" fontId="7" fillId="2" borderId="11" xfId="0" applyNumberFormat="1" applyFont="1" applyFill="1" applyBorder="1" applyAlignment="1">
      <alignment horizontal="center"/>
    </xf>
    <xf numFmtId="2" fontId="7" fillId="2" borderId="10" xfId="0" applyNumberFormat="1" applyFont="1" applyFill="1" applyBorder="1" applyAlignment="1">
      <alignment horizontal="center"/>
    </xf>
    <xf numFmtId="2" fontId="7" fillId="2" borderId="12" xfId="0" applyNumberFormat="1" applyFont="1" applyFill="1" applyBorder="1" applyAlignment="1">
      <alignment horizontal="center"/>
    </xf>
    <xf numFmtId="2" fontId="7" fillId="2" borderId="13" xfId="0" applyNumberFormat="1" applyFont="1" applyFill="1" applyBorder="1" applyAlignment="1">
      <alignment horizontal="center"/>
    </xf>
    <xf numFmtId="2" fontId="7" fillId="2" borderId="7" xfId="0" applyNumberFormat="1" applyFont="1" applyFill="1" applyBorder="1" applyAlignment="1">
      <alignment horizontal="center"/>
    </xf>
    <xf numFmtId="0" fontId="0" fillId="0" borderId="2" xfId="0" applyBorder="1" applyAlignment="1">
      <alignment horizontal="right"/>
    </xf>
    <xf numFmtId="0" fontId="0" fillId="0" borderId="11" xfId="0" applyBorder="1" applyAlignment="1">
      <alignment horizontal="right"/>
    </xf>
    <xf numFmtId="0" fontId="0" fillId="0" borderId="14" xfId="0" applyBorder="1" applyAlignment="1">
      <alignment horizontal="right"/>
    </xf>
    <xf numFmtId="0" fontId="0" fillId="2" borderId="0" xfId="0" applyFill="1"/>
    <xf numFmtId="0" fontId="0" fillId="2" borderId="6" xfId="0" applyFill="1" applyBorder="1"/>
    <xf numFmtId="0" fontId="0" fillId="2" borderId="1" xfId="0" applyFill="1" applyBorder="1"/>
    <xf numFmtId="0" fontId="0" fillId="2" borderId="8" xfId="0" applyFill="1" applyBorder="1"/>
    <xf numFmtId="0" fontId="0" fillId="2" borderId="10" xfId="0" applyFill="1" applyBorder="1"/>
    <xf numFmtId="0" fontId="0" fillId="2" borderId="12" xfId="0" applyFill="1" applyBorder="1"/>
    <xf numFmtId="0" fontId="0" fillId="2" borderId="13" xfId="0" applyFill="1" applyBorder="1"/>
    <xf numFmtId="0" fontId="16" fillId="0" borderId="0" xfId="0" applyFont="1"/>
    <xf numFmtId="0" fontId="17" fillId="0" borderId="0" xfId="0" applyFont="1"/>
    <xf numFmtId="0" fontId="17" fillId="2" borderId="12" xfId="0" applyFont="1" applyFill="1" applyBorder="1"/>
    <xf numFmtId="0" fontId="17" fillId="2" borderId="0" xfId="0" applyFont="1" applyFill="1"/>
    <xf numFmtId="0" fontId="17" fillId="2" borderId="1" xfId="0" applyFont="1" applyFill="1" applyBorder="1"/>
    <xf numFmtId="0" fontId="5" fillId="0" borderId="0" xfId="0" applyFont="1"/>
    <xf numFmtId="0" fontId="18" fillId="0" borderId="0" xfId="0" applyFont="1"/>
    <xf numFmtId="2" fontId="7" fillId="0" borderId="15" xfId="0" applyNumberFormat="1" applyFont="1" applyBorder="1" applyAlignment="1">
      <alignment horizontal="center"/>
    </xf>
    <xf numFmtId="2" fontId="7" fillId="2" borderId="15" xfId="0" applyNumberFormat="1" applyFont="1" applyFill="1" applyBorder="1" applyAlignment="1">
      <alignment horizontal="center"/>
    </xf>
    <xf numFmtId="0" fontId="11" fillId="0" borderId="16" xfId="0" applyFont="1" applyBorder="1"/>
    <xf numFmtId="0" fontId="10" fillId="0" borderId="17" xfId="0" applyFont="1" applyBorder="1" applyAlignment="1">
      <alignment horizontal="center" wrapText="1"/>
    </xf>
    <xf numFmtId="0" fontId="10" fillId="0" borderId="17" xfId="0" applyFont="1" applyBorder="1" applyAlignment="1">
      <alignment horizontal="center"/>
    </xf>
    <xf numFmtId="0" fontId="15" fillId="0" borderId="17" xfId="0" applyFont="1" applyBorder="1"/>
    <xf numFmtId="0" fontId="16" fillId="0" borderId="17" xfId="0" applyFont="1" applyBorder="1"/>
    <xf numFmtId="0" fontId="16" fillId="0" borderId="18" xfId="0" applyFont="1" applyBorder="1"/>
    <xf numFmtId="0" fontId="19" fillId="0" borderId="0" xfId="0" applyFont="1"/>
    <xf numFmtId="0" fontId="1" fillId="0" borderId="0" xfId="0" applyFont="1"/>
    <xf numFmtId="0" fontId="6" fillId="0" borderId="0" xfId="0" applyFont="1"/>
    <xf numFmtId="0" fontId="20" fillId="0" borderId="0" xfId="0" applyFont="1"/>
    <xf numFmtId="0" fontId="20" fillId="0" borderId="0" xfId="0" applyFont="1" applyAlignment="1">
      <alignment horizontal="right"/>
    </xf>
    <xf numFmtId="0" fontId="8" fillId="0" borderId="5" xfId="0" applyFont="1" applyBorder="1"/>
    <xf numFmtId="1" fontId="0" fillId="0" borderId="0" xfId="0" applyNumberFormat="1" applyAlignment="1">
      <alignment horizontal="center"/>
    </xf>
    <xf numFmtId="0" fontId="0" fillId="0" borderId="0" xfId="0" applyAlignment="1">
      <alignment horizontal="center"/>
    </xf>
    <xf numFmtId="0" fontId="1" fillId="0" borderId="0" xfId="0" applyFont="1" applyAlignment="1">
      <alignment horizontal="center"/>
    </xf>
    <xf numFmtId="2" fontId="7" fillId="0" borderId="10" xfId="0" applyNumberFormat="1" applyFont="1" applyBorder="1" applyAlignment="1">
      <alignment horizontal="right"/>
    </xf>
    <xf numFmtId="2" fontId="8" fillId="3" borderId="0" xfId="0" applyNumberFormat="1" applyFont="1" applyFill="1" applyAlignment="1">
      <alignment horizontal="center"/>
    </xf>
    <xf numFmtId="2" fontId="3" fillId="3" borderId="0" xfId="0" applyNumberFormat="1" applyFont="1" applyFill="1" applyAlignment="1">
      <alignment horizontal="center"/>
    </xf>
    <xf numFmtId="2" fontId="21" fillId="3" borderId="0" xfId="0" applyNumberFormat="1" applyFont="1" applyFill="1" applyAlignment="1">
      <alignment horizontal="center"/>
    </xf>
    <xf numFmtId="0" fontId="0" fillId="0" borderId="0" xfId="0" applyAlignment="1">
      <alignment vertical="center"/>
    </xf>
    <xf numFmtId="1" fontId="7" fillId="2" borderId="10" xfId="0" applyNumberFormat="1" applyFont="1" applyFill="1" applyBorder="1" applyAlignment="1">
      <alignment horizontal="center"/>
    </xf>
    <xf numFmtId="0" fontId="23" fillId="0" borderId="0" xfId="0" applyFont="1" applyAlignment="1">
      <alignment horizontal="left" vertical="center" indent="1"/>
    </xf>
    <xf numFmtId="0" fontId="24" fillId="0" borderId="0" xfId="0" applyFont="1" applyAlignment="1">
      <alignment vertical="center"/>
    </xf>
    <xf numFmtId="0" fontId="24" fillId="0" borderId="0" xfId="0" applyFont="1" applyAlignment="1">
      <alignment horizontal="left" vertical="center" indent="1"/>
    </xf>
    <xf numFmtId="0" fontId="0" fillId="0" borderId="15" xfId="0" applyBorder="1" applyAlignment="1">
      <alignment horizontal="right"/>
    </xf>
    <xf numFmtId="2" fontId="20" fillId="0" borderId="0" xfId="0" applyNumberFormat="1" applyFont="1" applyAlignment="1">
      <alignment horizontal="center"/>
    </xf>
    <xf numFmtId="0" fontId="27" fillId="0" borderId="0" xfId="0" applyFont="1"/>
    <xf numFmtId="0" fontId="27" fillId="0" borderId="0" xfId="0" applyFont="1" applyAlignment="1">
      <alignment horizontal="left"/>
    </xf>
    <xf numFmtId="0" fontId="27" fillId="0" borderId="0" xfId="0" applyFont="1" applyAlignment="1">
      <alignment vertical="center"/>
    </xf>
    <xf numFmtId="0" fontId="10" fillId="0" borderId="0" xfId="0" applyFont="1" applyAlignment="1">
      <alignment horizontal="left"/>
    </xf>
    <xf numFmtId="0" fontId="10" fillId="0" borderId="0" xfId="0" applyFont="1"/>
    <xf numFmtId="0" fontId="28" fillId="0" borderId="0" xfId="0" applyFont="1"/>
    <xf numFmtId="0" fontId="29" fillId="0" borderId="0" xfId="0" applyFont="1"/>
    <xf numFmtId="0" fontId="0" fillId="0" borderId="0" xfId="0" applyAlignment="1">
      <alignment horizontal="right"/>
    </xf>
    <xf numFmtId="0" fontId="34" fillId="0" borderId="0" xfId="0" applyFont="1"/>
    <xf numFmtId="0" fontId="33" fillId="0" borderId="0" xfId="0" applyFont="1"/>
    <xf numFmtId="0" fontId="36" fillId="0" borderId="0" xfId="0" applyFont="1" applyAlignment="1">
      <alignment horizontal="left" vertical="center" indent="1"/>
    </xf>
    <xf numFmtId="0" fontId="37" fillId="0" borderId="0" xfId="0" applyFont="1"/>
    <xf numFmtId="0" fontId="38" fillId="0" borderId="0" xfId="0" applyFont="1" applyAlignment="1">
      <alignment horizontal="left" vertical="center" indent="1"/>
    </xf>
    <xf numFmtId="0" fontId="34" fillId="0" borderId="0" xfId="0" applyFont="1" applyAlignment="1">
      <alignment horizontal="center"/>
    </xf>
    <xf numFmtId="0" fontId="39" fillId="0" borderId="0" xfId="0" applyFont="1"/>
    <xf numFmtId="0" fontId="41" fillId="0" borderId="0" xfId="0" applyFont="1"/>
    <xf numFmtId="0" fontId="41" fillId="0" borderId="0" xfId="0" applyFont="1" applyAlignment="1">
      <alignment horizontal="left"/>
    </xf>
    <xf numFmtId="0" fontId="41" fillId="0" borderId="0" xfId="0" applyFont="1" applyAlignment="1">
      <alignment vertical="center"/>
    </xf>
    <xf numFmtId="0" fontId="17" fillId="0" borderId="0" xfId="0" applyFont="1" applyAlignment="1">
      <alignment vertical="center"/>
    </xf>
    <xf numFmtId="0" fontId="0" fillId="0" borderId="17" xfId="0" applyBorder="1"/>
    <xf numFmtId="0" fontId="15" fillId="0" borderId="0" xfId="0" applyFont="1"/>
    <xf numFmtId="0" fontId="46" fillId="0" borderId="17" xfId="0" applyFont="1" applyBorder="1" applyAlignment="1">
      <alignment horizontal="center" wrapText="1"/>
    </xf>
    <xf numFmtId="2" fontId="47" fillId="0" borderId="0" xfId="0" applyNumberFormat="1" applyFont="1" applyAlignment="1">
      <alignment horizontal="center"/>
    </xf>
    <xf numFmtId="2" fontId="47" fillId="2" borderId="15" xfId="0" applyNumberFormat="1" applyFont="1" applyFill="1" applyBorder="1" applyAlignment="1">
      <alignment horizontal="center"/>
    </xf>
    <xf numFmtId="0" fontId="48" fillId="2" borderId="2" xfId="0" applyFont="1" applyFill="1" applyBorder="1"/>
    <xf numFmtId="0" fontId="48" fillId="2" borderId="10" xfId="0" applyFont="1" applyFill="1" applyBorder="1"/>
    <xf numFmtId="0" fontId="48" fillId="2" borderId="0" xfId="0" applyFont="1" applyFill="1"/>
    <xf numFmtId="17" fontId="48" fillId="2" borderId="1" xfId="0" applyNumberFormat="1" applyFont="1" applyFill="1" applyBorder="1" applyAlignment="1">
      <alignment horizontal="left"/>
    </xf>
    <xf numFmtId="2" fontId="47" fillId="2" borderId="3" xfId="0" applyNumberFormat="1" applyFont="1" applyFill="1" applyBorder="1" applyAlignment="1">
      <alignment horizontal="left"/>
    </xf>
    <xf numFmtId="2" fontId="47" fillId="2" borderId="5" xfId="0" applyNumberFormat="1" applyFont="1" applyFill="1" applyBorder="1" applyAlignment="1">
      <alignment horizontal="left"/>
    </xf>
    <xf numFmtId="2" fontId="50" fillId="2" borderId="3" xfId="0" applyNumberFormat="1" applyFont="1" applyFill="1" applyBorder="1" applyAlignment="1">
      <alignment horizontal="left"/>
    </xf>
    <xf numFmtId="2" fontId="49" fillId="2" borderId="15" xfId="0" applyNumberFormat="1" applyFont="1" applyFill="1" applyBorder="1" applyAlignment="1">
      <alignment horizontal="center"/>
    </xf>
    <xf numFmtId="0" fontId="51" fillId="0" borderId="0" xfId="0" applyFont="1"/>
    <xf numFmtId="2" fontId="50" fillId="2" borderId="5" xfId="0" applyNumberFormat="1" applyFont="1" applyFill="1" applyBorder="1" applyAlignment="1">
      <alignment horizontal="left"/>
    </xf>
    <xf numFmtId="0" fontId="52" fillId="2" borderId="12" xfId="1" applyFill="1" applyBorder="1"/>
    <xf numFmtId="0" fontId="52" fillId="0" borderId="0" xfId="1"/>
    <xf numFmtId="0" fontId="0" fillId="2" borderId="2" xfId="0" applyFill="1" applyBorder="1"/>
    <xf numFmtId="14" fontId="0" fillId="2" borderId="1" xfId="0" applyNumberFormat="1" applyFill="1" applyBorder="1"/>
    <xf numFmtId="0" fontId="52" fillId="2" borderId="10" xfId="1" applyFill="1" applyBorder="1"/>
    <xf numFmtId="2" fontId="8" fillId="2" borderId="15" xfId="0" applyNumberFormat="1" applyFont="1" applyFill="1" applyBorder="1" applyAlignment="1">
      <alignment horizontal="center"/>
    </xf>
    <xf numFmtId="2" fontId="8" fillId="2" borderId="2" xfId="0" applyNumberFormat="1" applyFont="1" applyFill="1" applyBorder="1" applyAlignment="1">
      <alignment horizontal="center"/>
    </xf>
    <xf numFmtId="2" fontId="3" fillId="2" borderId="2" xfId="0" applyNumberFormat="1" applyFont="1" applyFill="1" applyBorder="1" applyAlignment="1">
      <alignment horizontal="center"/>
    </xf>
    <xf numFmtId="2" fontId="7" fillId="2" borderId="10" xfId="0" applyNumberFormat="1" applyFont="1" applyFill="1" applyBorder="1" applyAlignment="1">
      <alignment horizontal="left"/>
    </xf>
    <xf numFmtId="2" fontId="7" fillId="2" borderId="3" xfId="0" applyNumberFormat="1" applyFont="1" applyFill="1" applyBorder="1" applyAlignment="1">
      <alignment horizontal="left"/>
    </xf>
    <xf numFmtId="2" fontId="7" fillId="2" borderId="3" xfId="0" applyNumberFormat="1" applyFont="1" applyFill="1" applyBorder="1" applyAlignment="1">
      <alignment horizontal="center" wrapText="1"/>
    </xf>
    <xf numFmtId="2" fontId="7" fillId="2" borderId="5" xfId="0" applyNumberFormat="1" applyFont="1" applyFill="1" applyBorder="1" applyAlignment="1">
      <alignment horizontal="center" wrapText="1"/>
    </xf>
    <xf numFmtId="2" fontId="7" fillId="2" borderId="7" xfId="0" applyNumberFormat="1" applyFont="1" applyFill="1" applyBorder="1" applyAlignment="1">
      <alignment horizontal="center" wrapText="1"/>
    </xf>
    <xf numFmtId="2" fontId="7" fillId="2" borderId="5" xfId="0" applyNumberFormat="1" applyFont="1" applyFill="1" applyBorder="1" applyAlignment="1">
      <alignment horizontal="left"/>
    </xf>
    <xf numFmtId="0" fontId="0" fillId="2" borderId="2" xfId="0" applyFill="1" applyBorder="1" applyAlignment="1">
      <alignment horizontal="center" vertical="center"/>
    </xf>
    <xf numFmtId="2" fontId="0" fillId="0" borderId="0" xfId="0" applyNumberFormat="1"/>
    <xf numFmtId="0" fontId="7" fillId="2" borderId="10" xfId="0" applyFont="1" applyFill="1" applyBorder="1" applyAlignment="1">
      <alignment horizontal="center"/>
    </xf>
    <xf numFmtId="2" fontId="17" fillId="0" borderId="0" xfId="0" applyNumberFormat="1" applyFont="1"/>
    <xf numFmtId="2" fontId="16" fillId="0" borderId="0" xfId="0" applyNumberFormat="1" applyFont="1"/>
    <xf numFmtId="49" fontId="16" fillId="0" borderId="0" xfId="0" applyNumberFormat="1" applyFont="1"/>
    <xf numFmtId="49" fontId="0" fillId="0" borderId="0" xfId="0" applyNumberFormat="1"/>
    <xf numFmtId="49" fontId="17" fillId="0" borderId="0" xfId="0" applyNumberFormat="1" applyFont="1"/>
    <xf numFmtId="49" fontId="16" fillId="0" borderId="18" xfId="0" applyNumberFormat="1" applyFont="1" applyBorder="1"/>
    <xf numFmtId="0" fontId="55" fillId="2" borderId="10" xfId="0" applyFont="1" applyFill="1" applyBorder="1"/>
    <xf numFmtId="15" fontId="0" fillId="2" borderId="1" xfId="0" applyNumberFormat="1" applyFill="1" applyBorder="1"/>
    <xf numFmtId="0" fontId="0" fillId="2" borderId="2" xfId="0" applyFill="1" applyBorder="1" applyAlignment="1">
      <alignment horizontal="center"/>
    </xf>
    <xf numFmtId="2" fontId="7" fillId="2" borderId="3" xfId="0" quotePrefix="1" applyNumberFormat="1" applyFont="1" applyFill="1" applyBorder="1" applyAlignment="1">
      <alignment horizontal="left"/>
    </xf>
    <xf numFmtId="2" fontId="7" fillId="2" borderId="5" xfId="0" quotePrefix="1" applyNumberFormat="1" applyFont="1" applyFill="1" applyBorder="1" applyAlignment="1">
      <alignment horizontal="left"/>
    </xf>
    <xf numFmtId="164" fontId="7" fillId="2" borderId="10" xfId="0" applyNumberFormat="1" applyFont="1" applyFill="1" applyBorder="1" applyAlignment="1">
      <alignment horizontal="center"/>
    </xf>
    <xf numFmtId="2" fontId="6" fillId="2" borderId="3" xfId="0" applyNumberFormat="1" applyFont="1" applyFill="1" applyBorder="1" applyAlignment="1">
      <alignment horizontal="center"/>
    </xf>
    <xf numFmtId="2" fontId="6" fillId="2" borderId="9" xfId="0" applyNumberFormat="1" applyFont="1" applyFill="1" applyBorder="1" applyAlignment="1">
      <alignment horizontal="center"/>
    </xf>
    <xf numFmtId="0" fontId="17" fillId="2" borderId="0" xfId="2" applyFont="1" applyFill="1"/>
    <xf numFmtId="0" fontId="58" fillId="0" borderId="0" xfId="3" applyFont="1"/>
    <xf numFmtId="0" fontId="59" fillId="0" borderId="0" xfId="3" applyFont="1"/>
    <xf numFmtId="0" fontId="60" fillId="0" borderId="0" xfId="3" applyFont="1"/>
    <xf numFmtId="0" fontId="58" fillId="0" borderId="0" xfId="3" applyFont="1" applyAlignment="1">
      <alignment horizontal="left" vertical="center" indent="1"/>
    </xf>
    <xf numFmtId="0" fontId="61" fillId="0" borderId="0" xfId="3" applyFont="1" applyAlignment="1">
      <alignment horizontal="left" vertical="center" indent="1"/>
    </xf>
    <xf numFmtId="0" fontId="62" fillId="0" borderId="0" xfId="3" applyFont="1"/>
    <xf numFmtId="0" fontId="63" fillId="0" borderId="0" xfId="3" applyFont="1" applyAlignment="1">
      <alignment vertical="center"/>
    </xf>
    <xf numFmtId="0" fontId="64" fillId="0" borderId="0" xfId="3" applyFont="1" applyAlignment="1">
      <alignment horizontal="left" vertical="center" indent="1"/>
    </xf>
    <xf numFmtId="0" fontId="63" fillId="0" borderId="0" xfId="3" applyFont="1" applyAlignment="1">
      <alignment horizontal="left" vertical="center" indent="1"/>
    </xf>
    <xf numFmtId="0" fontId="58" fillId="0" borderId="19" xfId="3" applyFont="1" applyBorder="1" applyAlignment="1">
      <alignment horizontal="right"/>
    </xf>
    <xf numFmtId="0" fontId="58" fillId="4" borderId="20" xfId="3" applyFont="1" applyFill="1" applyBorder="1"/>
    <xf numFmtId="0" fontId="58" fillId="4" borderId="21" xfId="3" applyFont="1" applyFill="1" applyBorder="1"/>
    <xf numFmtId="0" fontId="58" fillId="4" borderId="22" xfId="3" applyFont="1" applyFill="1" applyBorder="1"/>
    <xf numFmtId="0" fontId="58" fillId="4" borderId="0" xfId="3" applyFont="1" applyFill="1"/>
    <xf numFmtId="0" fontId="58" fillId="4" borderId="23" xfId="3" applyFont="1" applyFill="1" applyBorder="1"/>
    <xf numFmtId="0" fontId="58" fillId="0" borderId="24" xfId="3" applyFont="1" applyBorder="1" applyAlignment="1">
      <alignment horizontal="right"/>
    </xf>
    <xf numFmtId="0" fontId="58" fillId="0" borderId="25" xfId="3" applyFont="1" applyBorder="1" applyAlignment="1">
      <alignment horizontal="right"/>
    </xf>
    <xf numFmtId="0" fontId="58" fillId="4" borderId="26" xfId="3" applyFont="1" applyFill="1" applyBorder="1"/>
    <xf numFmtId="0" fontId="65" fillId="4" borderId="20" xfId="3" applyFont="1" applyFill="1" applyBorder="1"/>
    <xf numFmtId="0" fontId="58" fillId="0" borderId="27" xfId="3" applyFont="1" applyBorder="1" applyAlignment="1">
      <alignment horizontal="right"/>
    </xf>
    <xf numFmtId="14" fontId="58" fillId="4" borderId="28" xfId="3" applyNumberFormat="1" applyFont="1" applyFill="1" applyBorder="1"/>
    <xf numFmtId="0" fontId="58" fillId="4" borderId="28" xfId="3" applyFont="1" applyFill="1" applyBorder="1"/>
    <xf numFmtId="0" fontId="58" fillId="4" borderId="29" xfId="3" applyFont="1" applyFill="1" applyBorder="1"/>
    <xf numFmtId="0" fontId="58" fillId="0" borderId="0" xfId="3" applyFont="1" applyAlignment="1">
      <alignment horizontal="right"/>
    </xf>
    <xf numFmtId="0" fontId="66" fillId="0" borderId="0" xfId="3" applyFont="1"/>
    <xf numFmtId="0" fontId="71" fillId="0" borderId="0" xfId="3" applyFont="1" applyAlignment="1">
      <alignment horizontal="center"/>
    </xf>
    <xf numFmtId="0" fontId="71" fillId="0" borderId="0" xfId="3" applyFont="1"/>
    <xf numFmtId="0" fontId="74" fillId="0" borderId="0" xfId="3" applyFont="1"/>
    <xf numFmtId="0" fontId="58" fillId="4" borderId="27" xfId="3" applyFont="1" applyFill="1" applyBorder="1"/>
    <xf numFmtId="0" fontId="57" fillId="0" borderId="0" xfId="3"/>
    <xf numFmtId="0" fontId="75" fillId="0" borderId="0" xfId="3" applyFont="1"/>
    <xf numFmtId="0" fontId="78" fillId="0" borderId="0" xfId="3" applyFont="1"/>
    <xf numFmtId="0" fontId="81" fillId="0" borderId="0" xfId="3" applyFont="1" applyAlignment="1">
      <alignment horizontal="center"/>
    </xf>
    <xf numFmtId="0" fontId="81" fillId="0" borderId="0" xfId="3" applyFont="1"/>
    <xf numFmtId="0" fontId="82" fillId="0" borderId="0" xfId="3" applyFont="1"/>
    <xf numFmtId="0" fontId="83" fillId="0" borderId="30" xfId="3" applyFont="1" applyBorder="1"/>
    <xf numFmtId="0" fontId="84" fillId="0" borderId="31" xfId="3" applyFont="1" applyBorder="1" applyAlignment="1">
      <alignment horizontal="center" wrapText="1"/>
    </xf>
    <xf numFmtId="0" fontId="58" fillId="0" borderId="31" xfId="3" applyFont="1" applyBorder="1"/>
    <xf numFmtId="0" fontId="84" fillId="0" borderId="31" xfId="3" applyFont="1" applyBorder="1" applyAlignment="1">
      <alignment horizontal="center"/>
    </xf>
    <xf numFmtId="0" fontId="83" fillId="0" borderId="31" xfId="3" applyFont="1" applyBorder="1"/>
    <xf numFmtId="0" fontId="82" fillId="0" borderId="31" xfId="3" applyFont="1" applyBorder="1"/>
    <xf numFmtId="0" fontId="82" fillId="0" borderId="32" xfId="3" applyFont="1" applyBorder="1"/>
    <xf numFmtId="0" fontId="84" fillId="0" borderId="0" xfId="3" applyFont="1"/>
    <xf numFmtId="0" fontId="57" fillId="4" borderId="0" xfId="3" applyFill="1"/>
    <xf numFmtId="2" fontId="89" fillId="5" borderId="0" xfId="3" applyNumberFormat="1" applyFont="1" applyFill="1" applyAlignment="1">
      <alignment horizontal="center"/>
    </xf>
    <xf numFmtId="2" fontId="90" fillId="0" borderId="0" xfId="3" applyNumberFormat="1" applyFont="1" applyAlignment="1">
      <alignment horizontal="center"/>
    </xf>
    <xf numFmtId="1" fontId="90" fillId="0" borderId="0" xfId="3" applyNumberFormat="1" applyFont="1" applyAlignment="1">
      <alignment horizontal="center"/>
    </xf>
    <xf numFmtId="0" fontId="90" fillId="0" borderId="0" xfId="3" applyFont="1" applyAlignment="1">
      <alignment horizontal="center"/>
    </xf>
    <xf numFmtId="2" fontId="90" fillId="0" borderId="25" xfId="3" applyNumberFormat="1" applyFont="1" applyBorder="1" applyAlignment="1">
      <alignment horizontal="center"/>
    </xf>
    <xf numFmtId="2" fontId="90" fillId="4" borderId="25" xfId="3" applyNumberFormat="1" applyFont="1" applyFill="1" applyBorder="1" applyAlignment="1">
      <alignment horizontal="center"/>
    </xf>
    <xf numFmtId="0" fontId="90" fillId="0" borderId="0" xfId="3" applyFont="1"/>
    <xf numFmtId="0" fontId="84" fillId="0" borderId="0" xfId="3" applyFont="1" applyAlignment="1">
      <alignment horizontal="left"/>
    </xf>
    <xf numFmtId="2" fontId="90" fillId="0" borderId="27" xfId="3" applyNumberFormat="1" applyFont="1" applyBorder="1" applyAlignment="1">
      <alignment horizontal="center"/>
    </xf>
    <xf numFmtId="2" fontId="90" fillId="4" borderId="27" xfId="3" applyNumberFormat="1" applyFont="1" applyFill="1" applyBorder="1" applyAlignment="1">
      <alignment horizontal="center"/>
    </xf>
    <xf numFmtId="2" fontId="90" fillId="5" borderId="0" xfId="3" applyNumberFormat="1" applyFont="1" applyFill="1" applyAlignment="1">
      <alignment horizontal="center"/>
    </xf>
    <xf numFmtId="2" fontId="90" fillId="4" borderId="19" xfId="3" applyNumberFormat="1" applyFont="1" applyFill="1" applyBorder="1" applyAlignment="1">
      <alignment horizontal="center"/>
    </xf>
    <xf numFmtId="2" fontId="90" fillId="0" borderId="20" xfId="3" applyNumberFormat="1" applyFont="1" applyBorder="1" applyAlignment="1">
      <alignment horizontal="center"/>
    </xf>
    <xf numFmtId="2" fontId="90" fillId="4" borderId="20" xfId="3" applyNumberFormat="1" applyFont="1" applyFill="1" applyBorder="1" applyAlignment="1">
      <alignment horizontal="center"/>
    </xf>
    <xf numFmtId="2" fontId="90" fillId="4" borderId="21" xfId="3" applyNumberFormat="1" applyFont="1" applyFill="1" applyBorder="1" applyAlignment="1">
      <alignment horizontal="center"/>
    </xf>
    <xf numFmtId="2" fontId="90" fillId="4" borderId="22" xfId="3" applyNumberFormat="1" applyFont="1" applyFill="1" applyBorder="1" applyAlignment="1">
      <alignment horizontal="center"/>
    </xf>
    <xf numFmtId="0" fontId="84" fillId="0" borderId="0" xfId="3" applyFont="1" applyAlignment="1">
      <alignment vertical="center"/>
    </xf>
    <xf numFmtId="2" fontId="90" fillId="0" borderId="33" xfId="3" applyNumberFormat="1" applyFont="1" applyBorder="1" applyAlignment="1">
      <alignment horizontal="left"/>
    </xf>
    <xf numFmtId="2" fontId="90" fillId="0" borderId="34" xfId="3" applyNumberFormat="1" applyFont="1" applyBorder="1" applyAlignment="1">
      <alignment horizontal="center"/>
    </xf>
    <xf numFmtId="2" fontId="90" fillId="0" borderId="35" xfId="3" applyNumberFormat="1" applyFont="1" applyBorder="1" applyAlignment="1">
      <alignment horizontal="center"/>
    </xf>
    <xf numFmtId="1" fontId="91" fillId="0" borderId="0" xfId="3" applyNumberFormat="1" applyFont="1" applyAlignment="1">
      <alignment horizontal="center"/>
    </xf>
    <xf numFmtId="2" fontId="90" fillId="4" borderId="33" xfId="3" applyNumberFormat="1" applyFont="1" applyFill="1" applyBorder="1" applyAlignment="1">
      <alignment horizontal="left"/>
    </xf>
    <xf numFmtId="2" fontId="90" fillId="4" borderId="34" xfId="3" applyNumberFormat="1" applyFont="1" applyFill="1" applyBorder="1" applyAlignment="1">
      <alignment horizontal="center"/>
    </xf>
    <xf numFmtId="2" fontId="90" fillId="4" borderId="35" xfId="3" applyNumberFormat="1" applyFont="1" applyFill="1" applyBorder="1" applyAlignment="1">
      <alignment horizontal="center"/>
    </xf>
    <xf numFmtId="2" fontId="90" fillId="4" borderId="36" xfId="3" applyNumberFormat="1" applyFont="1" applyFill="1" applyBorder="1" applyAlignment="1">
      <alignment horizontal="center"/>
    </xf>
    <xf numFmtId="2" fontId="90" fillId="4" borderId="0" xfId="3" applyNumberFormat="1" applyFont="1" applyFill="1" applyAlignment="1">
      <alignment horizontal="center"/>
    </xf>
    <xf numFmtId="2" fontId="90" fillId="4" borderId="23" xfId="3" applyNumberFormat="1" applyFont="1" applyFill="1" applyBorder="1" applyAlignment="1">
      <alignment horizontal="center"/>
    </xf>
    <xf numFmtId="0" fontId="58" fillId="4" borderId="36" xfId="3" applyFont="1" applyFill="1" applyBorder="1"/>
    <xf numFmtId="0" fontId="90" fillId="0" borderId="36" xfId="3" applyFont="1" applyBorder="1"/>
    <xf numFmtId="2" fontId="90" fillId="4" borderId="28" xfId="3" applyNumberFormat="1" applyFont="1" applyFill="1" applyBorder="1" applyAlignment="1">
      <alignment horizontal="center"/>
    </xf>
    <xf numFmtId="2" fontId="90" fillId="4" borderId="29" xfId="3" applyNumberFormat="1" applyFont="1" applyFill="1" applyBorder="1" applyAlignment="1">
      <alignment horizontal="center"/>
    </xf>
    <xf numFmtId="2" fontId="90" fillId="0" borderId="20" xfId="3" applyNumberFormat="1" applyFont="1" applyBorder="1" applyAlignment="1">
      <alignment horizontal="right"/>
    </xf>
    <xf numFmtId="1" fontId="90" fillId="4" borderId="20" xfId="3" applyNumberFormat="1" applyFont="1" applyFill="1" applyBorder="1" applyAlignment="1">
      <alignment horizontal="center"/>
    </xf>
    <xf numFmtId="2" fontId="90" fillId="0" borderId="33" xfId="3" applyNumberFormat="1" applyFont="1" applyBorder="1" applyAlignment="1">
      <alignment horizontal="center"/>
    </xf>
    <xf numFmtId="2" fontId="90" fillId="4" borderId="33" xfId="3" applyNumberFormat="1" applyFont="1" applyFill="1" applyBorder="1" applyAlignment="1">
      <alignment horizontal="center"/>
    </xf>
    <xf numFmtId="2" fontId="90" fillId="4" borderId="26" xfId="3" applyNumberFormat="1" applyFont="1" applyFill="1" applyBorder="1" applyAlignment="1">
      <alignment horizontal="center"/>
    </xf>
    <xf numFmtId="0" fontId="75" fillId="0" borderId="0" xfId="3" applyFont="1" applyAlignment="1">
      <alignment horizontal="right"/>
    </xf>
    <xf numFmtId="2" fontId="75" fillId="0" borderId="0" xfId="3" applyNumberFormat="1" applyFont="1" applyAlignment="1">
      <alignment horizontal="center"/>
    </xf>
    <xf numFmtId="1" fontId="58" fillId="0" borderId="0" xfId="3" applyNumberFormat="1" applyFont="1" applyAlignment="1">
      <alignment horizontal="center"/>
    </xf>
    <xf numFmtId="0" fontId="58" fillId="0" borderId="0" xfId="3" applyFont="1" applyAlignment="1">
      <alignment horizontal="center"/>
    </xf>
    <xf numFmtId="0" fontId="75" fillId="0" borderId="0" xfId="3" applyFont="1" applyAlignment="1">
      <alignment horizontal="center"/>
    </xf>
    <xf numFmtId="0" fontId="92" fillId="0" borderId="0" xfId="3" applyFont="1"/>
    <xf numFmtId="0" fontId="83" fillId="0" borderId="0" xfId="3" applyFont="1"/>
    <xf numFmtId="0" fontId="96" fillId="0" borderId="0" xfId="3" applyFont="1"/>
    <xf numFmtId="0" fontId="101" fillId="0" borderId="0" xfId="3" applyFont="1"/>
    <xf numFmtId="0" fontId="101" fillId="0" borderId="0" xfId="3" applyFont="1" applyAlignment="1">
      <alignment horizontal="left"/>
    </xf>
    <xf numFmtId="0" fontId="101" fillId="0" borderId="0" xfId="3" applyFont="1" applyAlignment="1">
      <alignment vertical="center"/>
    </xf>
    <xf numFmtId="0" fontId="58" fillId="0" borderId="0" xfId="3" applyFont="1" applyAlignment="1">
      <alignment vertical="center"/>
    </xf>
    <xf numFmtId="2" fontId="7" fillId="0" borderId="0" xfId="0" applyNumberFormat="1" applyFont="1"/>
    <xf numFmtId="2" fontId="7" fillId="0" borderId="0" xfId="0" quotePrefix="1" applyNumberFormat="1" applyFont="1"/>
    <xf numFmtId="0" fontId="107" fillId="0" borderId="0" xfId="4"/>
    <xf numFmtId="0" fontId="108" fillId="0" borderId="0" xfId="4" applyFont="1"/>
    <xf numFmtId="0" fontId="109" fillId="0" borderId="0" xfId="4" applyFont="1"/>
    <xf numFmtId="0" fontId="110" fillId="0" borderId="0" xfId="4" applyFont="1"/>
    <xf numFmtId="0" fontId="107" fillId="0" borderId="0" xfId="4" applyAlignment="1">
      <alignment horizontal="left" vertical="center" indent="5"/>
    </xf>
    <xf numFmtId="0" fontId="111" fillId="0" borderId="0" xfId="4" applyFont="1" applyAlignment="1">
      <alignment horizontal="left" vertical="center" indent="5"/>
    </xf>
    <xf numFmtId="0" fontId="112" fillId="0" borderId="0" xfId="4" applyFont="1"/>
    <xf numFmtId="0" fontId="113" fillId="0" borderId="0" xfId="4" applyFont="1" applyAlignment="1">
      <alignment vertical="center"/>
    </xf>
    <xf numFmtId="0" fontId="114" fillId="0" borderId="0" xfId="4" applyFont="1" applyAlignment="1">
      <alignment horizontal="left" vertical="center" indent="5"/>
    </xf>
    <xf numFmtId="0" fontId="113" fillId="0" borderId="0" xfId="4" applyFont="1" applyAlignment="1">
      <alignment horizontal="left" vertical="center" indent="5"/>
    </xf>
    <xf numFmtId="0" fontId="107" fillId="0" borderId="11" xfId="4" applyBorder="1" applyAlignment="1">
      <alignment horizontal="right"/>
    </xf>
    <xf numFmtId="0" fontId="107" fillId="6" borderId="10" xfId="4" applyFill="1" applyBorder="1"/>
    <xf numFmtId="0" fontId="107" fillId="6" borderId="12" xfId="4" applyFill="1" applyBorder="1"/>
    <xf numFmtId="0" fontId="110" fillId="6" borderId="12" xfId="4" applyFont="1" applyFill="1" applyBorder="1"/>
    <xf numFmtId="0" fontId="107" fillId="6" borderId="13" xfId="4" applyFill="1" applyBorder="1"/>
    <xf numFmtId="0" fontId="107" fillId="6" borderId="0" xfId="4" applyFill="1"/>
    <xf numFmtId="0" fontId="110" fillId="6" borderId="0" xfId="4" applyFont="1" applyFill="1"/>
    <xf numFmtId="0" fontId="107" fillId="6" borderId="6" xfId="4" applyFill="1" applyBorder="1"/>
    <xf numFmtId="0" fontId="107" fillId="0" borderId="14" xfId="4" applyBorder="1" applyAlignment="1">
      <alignment horizontal="right"/>
    </xf>
    <xf numFmtId="0" fontId="107" fillId="0" borderId="15" xfId="4" applyBorder="1" applyAlignment="1">
      <alignment horizontal="right"/>
    </xf>
    <xf numFmtId="0" fontId="107" fillId="6" borderId="7" xfId="4" applyFill="1" applyBorder="1"/>
    <xf numFmtId="0" fontId="107" fillId="0" borderId="2" xfId="4" applyBorder="1" applyAlignment="1">
      <alignment horizontal="right"/>
    </xf>
    <xf numFmtId="0" fontId="107" fillId="6" borderId="1" xfId="4" applyFill="1" applyBorder="1"/>
    <xf numFmtId="0" fontId="110" fillId="6" borderId="1" xfId="4" applyFont="1" applyFill="1" applyBorder="1"/>
    <xf numFmtId="0" fontId="107" fillId="6" borderId="8" xfId="4" applyFill="1" applyBorder="1"/>
    <xf numFmtId="0" fontId="107" fillId="0" borderId="0" xfId="4" applyAlignment="1">
      <alignment horizontal="right"/>
    </xf>
    <xf numFmtId="0" fontId="115" fillId="0" borderId="0" xfId="4" applyFont="1"/>
    <xf numFmtId="0" fontId="119" fillId="0" borderId="0" xfId="4" applyFont="1" applyAlignment="1">
      <alignment horizontal="center"/>
    </xf>
    <xf numFmtId="0" fontId="119" fillId="0" borderId="0" xfId="4" applyFont="1"/>
    <xf numFmtId="0" fontId="121" fillId="0" borderId="0" xfId="4" applyFont="1"/>
    <xf numFmtId="0" fontId="107" fillId="6" borderId="2" xfId="4" applyFill="1" applyBorder="1"/>
    <xf numFmtId="0" fontId="122" fillId="0" borderId="0" xfId="4" applyFont="1"/>
    <xf numFmtId="0" fontId="124" fillId="0" borderId="0" xfId="4" applyFont="1"/>
    <xf numFmtId="0" fontId="126" fillId="0" borderId="0" xfId="4" applyFont="1" applyAlignment="1">
      <alignment horizontal="center"/>
    </xf>
    <xf numFmtId="0" fontId="126" fillId="0" borderId="0" xfId="4" applyFont="1"/>
    <xf numFmtId="0" fontId="127" fillId="0" borderId="0" xfId="4" applyFont="1"/>
    <xf numFmtId="0" fontId="128" fillId="0" borderId="16" xfId="4" applyFont="1" applyBorder="1"/>
    <xf numFmtId="0" fontId="129" fillId="0" borderId="17" xfId="4" applyFont="1" applyBorder="1" applyAlignment="1">
      <alignment horizontal="center" wrapText="1"/>
    </xf>
    <xf numFmtId="0" fontId="130" fillId="0" borderId="17" xfId="4" applyFont="1" applyBorder="1" applyAlignment="1">
      <alignment horizontal="center" wrapText="1"/>
    </xf>
    <xf numFmtId="0" fontId="107" fillId="0" borderId="17" xfId="4" applyBorder="1"/>
    <xf numFmtId="0" fontId="129" fillId="0" borderId="17" xfId="4" applyFont="1" applyBorder="1" applyAlignment="1">
      <alignment horizontal="center"/>
    </xf>
    <xf numFmtId="0" fontId="128" fillId="0" borderId="17" xfId="4" applyFont="1" applyBorder="1"/>
    <xf numFmtId="0" fontId="127" fillId="0" borderId="17" xfId="4" applyFont="1" applyBorder="1"/>
    <xf numFmtId="0" fontId="127" fillId="0" borderId="18" xfId="4" applyFont="1" applyBorder="1"/>
    <xf numFmtId="0" fontId="129" fillId="0" borderId="0" xfId="4" applyFont="1"/>
    <xf numFmtId="2" fontId="133" fillId="6" borderId="15" xfId="4" applyNumberFormat="1" applyFont="1" applyFill="1" applyBorder="1" applyAlignment="1">
      <alignment horizontal="center"/>
    </xf>
    <xf numFmtId="2" fontId="134" fillId="7" borderId="0" xfId="4" applyNumberFormat="1" applyFont="1" applyFill="1" applyAlignment="1">
      <alignment horizontal="center"/>
    </xf>
    <xf numFmtId="2" fontId="133" fillId="0" borderId="0" xfId="4" applyNumberFormat="1" applyFont="1" applyAlignment="1">
      <alignment horizontal="center"/>
    </xf>
    <xf numFmtId="1" fontId="135" fillId="0" borderId="0" xfId="4" applyNumberFormat="1" applyFont="1" applyAlignment="1">
      <alignment horizontal="center"/>
    </xf>
    <xf numFmtId="0" fontId="135" fillId="0" borderId="0" xfId="4" applyFont="1" applyAlignment="1">
      <alignment horizontal="center"/>
    </xf>
    <xf numFmtId="2" fontId="135" fillId="0" borderId="0" xfId="4" applyNumberFormat="1" applyFont="1" applyAlignment="1">
      <alignment horizontal="center"/>
    </xf>
    <xf numFmtId="2" fontId="135" fillId="0" borderId="15" xfId="4" applyNumberFormat="1" applyFont="1" applyBorder="1" applyAlignment="1">
      <alignment horizontal="center"/>
    </xf>
    <xf numFmtId="2" fontId="135" fillId="6" borderId="15" xfId="4" applyNumberFormat="1" applyFont="1" applyFill="1" applyBorder="1" applyAlignment="1">
      <alignment horizontal="center"/>
    </xf>
    <xf numFmtId="0" fontId="133" fillId="0" borderId="0" xfId="4" applyFont="1"/>
    <xf numFmtId="0" fontId="129" fillId="0" borderId="0" xfId="4" applyFont="1" applyAlignment="1">
      <alignment horizontal="left"/>
    </xf>
    <xf numFmtId="2" fontId="133" fillId="6" borderId="2" xfId="4" applyNumberFormat="1" applyFont="1" applyFill="1" applyBorder="1" applyAlignment="1">
      <alignment horizontal="center"/>
    </xf>
    <xf numFmtId="2" fontId="135" fillId="0" borderId="2" xfId="4" applyNumberFormat="1" applyFont="1" applyBorder="1" applyAlignment="1">
      <alignment horizontal="center"/>
    </xf>
    <xf numFmtId="2" fontId="135" fillId="6" borderId="2" xfId="4" applyNumberFormat="1" applyFont="1" applyFill="1" applyBorder="1" applyAlignment="1">
      <alignment horizontal="center"/>
    </xf>
    <xf numFmtId="2" fontId="133" fillId="7" borderId="0" xfId="4" applyNumberFormat="1" applyFont="1" applyFill="1" applyAlignment="1">
      <alignment horizontal="center"/>
    </xf>
    <xf numFmtId="2" fontId="135" fillId="6" borderId="11" xfId="4" applyNumberFormat="1" applyFont="1" applyFill="1" applyBorder="1" applyAlignment="1">
      <alignment horizontal="center"/>
    </xf>
    <xf numFmtId="2" fontId="135" fillId="0" borderId="10" xfId="4" applyNumberFormat="1" applyFont="1" applyBorder="1" applyAlignment="1">
      <alignment horizontal="center"/>
    </xf>
    <xf numFmtId="2" fontId="135" fillId="6" borderId="10" xfId="4" applyNumberFormat="1" applyFont="1" applyFill="1" applyBorder="1" applyAlignment="1">
      <alignment horizontal="center"/>
    </xf>
    <xf numFmtId="2" fontId="135" fillId="6" borderId="12" xfId="4" applyNumberFormat="1" applyFont="1" applyFill="1" applyBorder="1" applyAlignment="1">
      <alignment horizontal="center"/>
    </xf>
    <xf numFmtId="2" fontId="135" fillId="6" borderId="13" xfId="4" applyNumberFormat="1" applyFont="1" applyFill="1" applyBorder="1" applyAlignment="1">
      <alignment horizontal="center"/>
    </xf>
    <xf numFmtId="0" fontId="129" fillId="0" borderId="0" xfId="4" applyFont="1" applyAlignment="1">
      <alignment vertical="center"/>
    </xf>
    <xf numFmtId="2" fontId="135" fillId="0" borderId="3" xfId="4" applyNumberFormat="1" applyFont="1" applyBorder="1" applyAlignment="1">
      <alignment horizontal="left"/>
    </xf>
    <xf numFmtId="2" fontId="135" fillId="0" borderId="9" xfId="4" applyNumberFormat="1" applyFont="1" applyBorder="1" applyAlignment="1">
      <alignment horizontal="center"/>
    </xf>
    <xf numFmtId="2" fontId="135" fillId="0" borderId="4" xfId="4" applyNumberFormat="1" applyFont="1" applyBorder="1" applyAlignment="1">
      <alignment horizontal="center"/>
    </xf>
    <xf numFmtId="1" fontId="136" fillId="0" borderId="0" xfId="4" applyNumberFormat="1" applyFont="1" applyAlignment="1">
      <alignment horizontal="center"/>
    </xf>
    <xf numFmtId="2" fontId="135" fillId="6" borderId="3" xfId="4" applyNumberFormat="1" applyFont="1" applyFill="1" applyBorder="1" applyAlignment="1">
      <alignment horizontal="center"/>
    </xf>
    <xf numFmtId="2" fontId="135" fillId="6" borderId="9" xfId="4" applyNumberFormat="1" applyFont="1" applyFill="1" applyBorder="1" applyAlignment="1">
      <alignment horizontal="center"/>
    </xf>
    <xf numFmtId="2" fontId="135" fillId="6" borderId="4" xfId="4" applyNumberFormat="1" applyFont="1" applyFill="1" applyBorder="1" applyAlignment="1">
      <alignment horizontal="center"/>
    </xf>
    <xf numFmtId="2" fontId="135" fillId="6" borderId="5" xfId="4" applyNumberFormat="1" applyFont="1" applyFill="1" applyBorder="1" applyAlignment="1">
      <alignment horizontal="center"/>
    </xf>
    <xf numFmtId="2" fontId="135" fillId="6" borderId="0" xfId="4" applyNumberFormat="1" applyFont="1" applyFill="1" applyAlignment="1">
      <alignment horizontal="center"/>
    </xf>
    <xf numFmtId="49" fontId="135" fillId="6" borderId="0" xfId="4" applyNumberFormat="1" applyFont="1" applyFill="1" applyAlignment="1">
      <alignment horizontal="center"/>
    </xf>
    <xf numFmtId="2" fontId="135" fillId="6" borderId="6" xfId="4" applyNumberFormat="1" applyFont="1" applyFill="1" applyBorder="1" applyAlignment="1">
      <alignment horizontal="center"/>
    </xf>
    <xf numFmtId="0" fontId="107" fillId="6" borderId="5" xfId="4" applyFill="1" applyBorder="1"/>
    <xf numFmtId="0" fontId="133" fillId="0" borderId="5" xfId="4" applyFont="1" applyBorder="1"/>
    <xf numFmtId="2" fontId="135" fillId="6" borderId="1" xfId="4" applyNumberFormat="1" applyFont="1" applyFill="1" applyBorder="1" applyAlignment="1">
      <alignment horizontal="center"/>
    </xf>
    <xf numFmtId="2" fontId="135" fillId="6" borderId="8" xfId="4" applyNumberFormat="1" applyFont="1" applyFill="1" applyBorder="1" applyAlignment="1">
      <alignment horizontal="center"/>
    </xf>
    <xf numFmtId="2" fontId="135" fillId="0" borderId="10" xfId="4" applyNumberFormat="1" applyFont="1" applyBorder="1" applyAlignment="1">
      <alignment horizontal="right"/>
    </xf>
    <xf numFmtId="1" fontId="135" fillId="6" borderId="10" xfId="4" applyNumberFormat="1" applyFont="1" applyFill="1" applyBorder="1" applyAlignment="1">
      <alignment horizontal="center"/>
    </xf>
    <xf numFmtId="1" fontId="135" fillId="6" borderId="13" xfId="4" applyNumberFormat="1" applyFont="1" applyFill="1" applyBorder="1" applyAlignment="1">
      <alignment horizontal="center"/>
    </xf>
    <xf numFmtId="2" fontId="135" fillId="0" borderId="3" xfId="4" applyNumberFormat="1" applyFont="1" applyBorder="1" applyAlignment="1">
      <alignment horizontal="center"/>
    </xf>
    <xf numFmtId="2" fontId="135" fillId="6" borderId="7" xfId="4" applyNumberFormat="1" applyFont="1" applyFill="1" applyBorder="1" applyAlignment="1">
      <alignment horizontal="center"/>
    </xf>
    <xf numFmtId="0" fontId="122" fillId="0" borderId="0" xfId="4" applyFont="1" applyAlignment="1">
      <alignment horizontal="right"/>
    </xf>
    <xf numFmtId="2" fontId="122" fillId="0" borderId="0" xfId="4" applyNumberFormat="1" applyFont="1" applyAlignment="1">
      <alignment horizontal="center"/>
    </xf>
    <xf numFmtId="1" fontId="107" fillId="0" borderId="0" xfId="4" applyNumberFormat="1" applyAlignment="1">
      <alignment horizontal="center"/>
    </xf>
    <xf numFmtId="0" fontId="107" fillId="0" borderId="0" xfId="4" applyAlignment="1">
      <alignment horizontal="center"/>
    </xf>
    <xf numFmtId="0" fontId="137" fillId="0" borderId="0" xfId="4" applyFont="1" applyAlignment="1">
      <alignment horizontal="center"/>
    </xf>
    <xf numFmtId="0" fontId="135" fillId="0" borderId="0" xfId="4" applyFont="1"/>
    <xf numFmtId="0" fontId="133" fillId="0" borderId="0" xfId="4" applyFont="1" applyAlignment="1">
      <alignment horizontal="center"/>
    </xf>
    <xf numFmtId="49" fontId="135" fillId="6" borderId="5" xfId="4" applyNumberFormat="1" applyFont="1" applyFill="1" applyBorder="1" applyAlignment="1">
      <alignment horizontal="center"/>
    </xf>
    <xf numFmtId="0" fontId="137" fillId="0" borderId="0" xfId="4" applyFont="1"/>
    <xf numFmtId="0" fontId="138" fillId="0" borderId="0" xfId="4" applyFont="1"/>
    <xf numFmtId="0" fontId="128" fillId="0" borderId="0" xfId="4" applyFont="1"/>
    <xf numFmtId="0" fontId="141" fillId="0" borderId="0" xfId="4" applyFont="1"/>
    <xf numFmtId="0" fontId="145" fillId="0" borderId="0" xfId="4" applyFont="1"/>
    <xf numFmtId="0" fontId="145" fillId="0" borderId="0" xfId="4" applyFont="1" applyAlignment="1">
      <alignment horizontal="left"/>
    </xf>
    <xf numFmtId="0" fontId="145" fillId="0" borderId="0" xfId="4" applyFont="1" applyAlignment="1">
      <alignment vertical="center"/>
    </xf>
    <xf numFmtId="0" fontId="110" fillId="0" borderId="0" xfId="4" applyFont="1" applyAlignment="1">
      <alignment vertical="center"/>
    </xf>
    <xf numFmtId="0" fontId="107" fillId="0" borderId="0" xfId="4" applyAlignment="1">
      <alignment vertical="center"/>
    </xf>
    <xf numFmtId="0" fontId="148" fillId="6" borderId="10" xfId="4" applyFont="1" applyFill="1" applyBorder="1"/>
    <xf numFmtId="0" fontId="107" fillId="0" borderId="0" xfId="4" applyAlignment="1">
      <alignment horizontal="left" vertical="center" indent="2"/>
    </xf>
    <xf numFmtId="0" fontId="111" fillId="0" borderId="0" xfId="4" applyFont="1" applyAlignment="1">
      <alignment horizontal="left" vertical="center" indent="2"/>
    </xf>
    <xf numFmtId="0" fontId="114" fillId="0" borderId="0" xfId="4" applyFont="1" applyAlignment="1">
      <alignment horizontal="left" vertical="center" indent="2"/>
    </xf>
    <xf numFmtId="0" fontId="113" fillId="0" borderId="0" xfId="4" applyFont="1" applyAlignment="1">
      <alignment horizontal="left" vertical="center" indent="2"/>
    </xf>
    <xf numFmtId="15" fontId="107" fillId="6" borderId="1" xfId="4" applyNumberFormat="1" applyFill="1" applyBorder="1"/>
    <xf numFmtId="165" fontId="107" fillId="0" borderId="0" xfId="4" applyNumberFormat="1"/>
    <xf numFmtId="2" fontId="135" fillId="6" borderId="3" xfId="4" applyNumberFormat="1" applyFont="1" applyFill="1" applyBorder="1" applyAlignment="1">
      <alignment horizontal="left"/>
    </xf>
    <xf numFmtId="2" fontId="135" fillId="6" borderId="5" xfId="4" applyNumberFormat="1" applyFont="1" applyFill="1" applyBorder="1" applyAlignment="1">
      <alignment horizontal="left"/>
    </xf>
    <xf numFmtId="0" fontId="135" fillId="6" borderId="5" xfId="4" applyFont="1" applyFill="1" applyBorder="1" applyAlignment="1">
      <alignment horizontal="left"/>
    </xf>
    <xf numFmtId="0" fontId="133" fillId="6" borderId="5" xfId="4" applyFont="1" applyFill="1" applyBorder="1"/>
    <xf numFmtId="0" fontId="133" fillId="6" borderId="5" xfId="4" applyFont="1" applyFill="1" applyBorder="1" applyAlignment="1">
      <alignment vertical="center"/>
    </xf>
    <xf numFmtId="0" fontId="133" fillId="6" borderId="7" xfId="4" applyFont="1" applyFill="1" applyBorder="1"/>
    <xf numFmtId="0" fontId="107" fillId="6" borderId="3" xfId="4" applyFill="1" applyBorder="1"/>
    <xf numFmtId="0" fontId="107" fillId="6" borderId="9" xfId="4" applyFill="1" applyBorder="1"/>
    <xf numFmtId="0" fontId="110" fillId="6" borderId="9" xfId="4" applyFont="1" applyFill="1" applyBorder="1"/>
    <xf numFmtId="0" fontId="107" fillId="6" borderId="4" xfId="4" applyFill="1" applyBorder="1"/>
    <xf numFmtId="0" fontId="107" fillId="0" borderId="0" xfId="4" applyAlignment="1">
      <alignment horizontal="left" vertical="center" indent="4"/>
    </xf>
    <xf numFmtId="0" fontId="111" fillId="0" borderId="0" xfId="4" applyFont="1" applyAlignment="1">
      <alignment horizontal="left" vertical="center" indent="4"/>
    </xf>
    <xf numFmtId="0" fontId="114" fillId="0" borderId="0" xfId="4" applyFont="1" applyAlignment="1">
      <alignment horizontal="left" vertical="center" indent="4"/>
    </xf>
    <xf numFmtId="0" fontId="113" fillId="0" borderId="0" xfId="4" applyFont="1" applyAlignment="1">
      <alignment horizontal="left" vertical="center" indent="4"/>
    </xf>
    <xf numFmtId="0" fontId="150" fillId="2" borderId="10" xfId="5" applyFill="1" applyBorder="1" applyAlignment="1" applyProtection="1"/>
    <xf numFmtId="49" fontId="8" fillId="2" borderId="15" xfId="0" applyNumberFormat="1" applyFont="1" applyFill="1" applyBorder="1" applyAlignment="1">
      <alignment horizontal="center"/>
    </xf>
    <xf numFmtId="49" fontId="8" fillId="2" borderId="2" xfId="0" applyNumberFormat="1" applyFont="1" applyFill="1" applyBorder="1" applyAlignment="1">
      <alignment horizontal="center"/>
    </xf>
    <xf numFmtId="49" fontId="3" fillId="2" borderId="2" xfId="0" applyNumberFormat="1" applyFont="1" applyFill="1" applyBorder="1" applyAlignment="1">
      <alignment horizontal="center"/>
    </xf>
    <xf numFmtId="49" fontId="7" fillId="2" borderId="2" xfId="0" applyNumberFormat="1" applyFont="1" applyFill="1" applyBorder="1" applyAlignment="1">
      <alignment horizontal="center"/>
    </xf>
    <xf numFmtId="0" fontId="151" fillId="0" borderId="0" xfId="6"/>
    <xf numFmtId="0" fontId="152" fillId="0" borderId="0" xfId="6" applyFont="1"/>
    <xf numFmtId="0" fontId="153" fillId="0" borderId="0" xfId="6" applyFont="1"/>
    <xf numFmtId="0" fontId="154" fillId="0" borderId="0" xfId="6" applyFont="1"/>
    <xf numFmtId="0" fontId="155" fillId="0" borderId="0" xfId="6" applyFont="1" applyAlignment="1">
      <alignment horizontal="left" vertical="center" indent="1"/>
    </xf>
    <xf numFmtId="0" fontId="156" fillId="0" borderId="0" xfId="6" applyFont="1" applyAlignment="1">
      <alignment horizontal="left" vertical="center" indent="1"/>
    </xf>
    <xf numFmtId="0" fontId="157" fillId="0" borderId="0" xfId="6" applyFont="1"/>
    <xf numFmtId="0" fontId="158" fillId="0" borderId="0" xfId="6" applyFont="1" applyAlignment="1">
      <alignment vertical="center"/>
    </xf>
    <xf numFmtId="0" fontId="159" fillId="0" borderId="0" xfId="6" applyFont="1" applyAlignment="1">
      <alignment horizontal="left" vertical="center" indent="1"/>
    </xf>
    <xf numFmtId="0" fontId="158" fillId="0" borderId="0" xfId="6" applyFont="1" applyAlignment="1">
      <alignment horizontal="left" vertical="center" indent="1"/>
    </xf>
    <xf numFmtId="0" fontId="151" fillId="0" borderId="11" xfId="6" applyBorder="1" applyAlignment="1">
      <alignment horizontal="right"/>
    </xf>
    <xf numFmtId="0" fontId="151" fillId="2" borderId="10" xfId="6" applyFill="1" applyBorder="1"/>
    <xf numFmtId="0" fontId="151" fillId="2" borderId="12" xfId="6" applyFill="1" applyBorder="1"/>
    <xf numFmtId="0" fontId="154" fillId="2" borderId="12" xfId="6" applyFont="1" applyFill="1" applyBorder="1"/>
    <xf numFmtId="0" fontId="151" fillId="2" borderId="13" xfId="6" applyFill="1" applyBorder="1"/>
    <xf numFmtId="0" fontId="151" fillId="2" borderId="0" xfId="6" applyFill="1"/>
    <xf numFmtId="0" fontId="154" fillId="2" borderId="0" xfId="6" applyFont="1" applyFill="1"/>
    <xf numFmtId="0" fontId="151" fillId="2" borderId="6" xfId="6" applyFill="1" applyBorder="1"/>
    <xf numFmtId="0" fontId="151" fillId="0" borderId="14" xfId="6" applyBorder="1" applyAlignment="1">
      <alignment horizontal="right"/>
    </xf>
    <xf numFmtId="0" fontId="151" fillId="0" borderId="15" xfId="6" applyBorder="1" applyAlignment="1">
      <alignment horizontal="right"/>
    </xf>
    <xf numFmtId="0" fontId="151" fillId="2" borderId="7" xfId="6" applyFill="1" applyBorder="1"/>
    <xf numFmtId="0" fontId="161" fillId="2" borderId="10" xfId="7" applyFont="1" applyFill="1" applyBorder="1" applyAlignment="1"/>
    <xf numFmtId="0" fontId="161" fillId="2" borderId="12" xfId="7" applyFont="1" applyFill="1" applyBorder="1" applyAlignment="1"/>
    <xf numFmtId="0" fontId="151" fillId="0" borderId="2" xfId="6" applyBorder="1" applyAlignment="1">
      <alignment horizontal="right"/>
    </xf>
    <xf numFmtId="0" fontId="151" fillId="2" borderId="1" xfId="6" applyFill="1" applyBorder="1"/>
    <xf numFmtId="0" fontId="154" fillId="2" borderId="1" xfId="6" applyFont="1" applyFill="1" applyBorder="1"/>
    <xf numFmtId="0" fontId="151" fillId="2" borderId="8" xfId="6" applyFill="1" applyBorder="1"/>
    <xf numFmtId="0" fontId="151" fillId="0" borderId="0" xfId="6" applyAlignment="1">
      <alignment horizontal="right"/>
    </xf>
    <xf numFmtId="0" fontId="162" fillId="0" borderId="0" xfId="6" applyFont="1"/>
    <xf numFmtId="0" fontId="163" fillId="0" borderId="0" xfId="6" applyFont="1" applyAlignment="1">
      <alignment horizontal="center"/>
    </xf>
    <xf numFmtId="0" fontId="163" fillId="0" borderId="0" xfId="6" applyFont="1"/>
    <xf numFmtId="0" fontId="164" fillId="0" borderId="0" xfId="6" applyFont="1"/>
    <xf numFmtId="0" fontId="151" fillId="2" borderId="2" xfId="6" applyFill="1" applyBorder="1"/>
    <xf numFmtId="0" fontId="165" fillId="0" borderId="0" xfId="6" applyFont="1"/>
    <xf numFmtId="0" fontId="166" fillId="0" borderId="0" xfId="6" applyFont="1"/>
    <xf numFmtId="0" fontId="168" fillId="0" borderId="0" xfId="6" applyFont="1" applyAlignment="1">
      <alignment horizontal="center"/>
    </xf>
    <xf numFmtId="0" fontId="168" fillId="0" borderId="0" xfId="6" applyFont="1"/>
    <xf numFmtId="0" fontId="169" fillId="0" borderId="0" xfId="6" applyFont="1"/>
    <xf numFmtId="0" fontId="170" fillId="0" borderId="16" xfId="6" applyFont="1" applyBorder="1"/>
    <xf numFmtId="0" fontId="171" fillId="0" borderId="17" xfId="6" applyFont="1" applyBorder="1" applyAlignment="1">
      <alignment horizontal="center" wrapText="1"/>
    </xf>
    <xf numFmtId="0" fontId="172" fillId="0" borderId="17" xfId="6" applyFont="1" applyBorder="1" applyAlignment="1">
      <alignment horizontal="center" wrapText="1"/>
    </xf>
    <xf numFmtId="0" fontId="151" fillId="0" borderId="17" xfId="6" applyBorder="1"/>
    <xf numFmtId="0" fontId="171" fillId="0" borderId="17" xfId="6" applyFont="1" applyBorder="1" applyAlignment="1">
      <alignment horizontal="center"/>
    </xf>
    <xf numFmtId="0" fontId="173" fillId="0" borderId="17" xfId="6" applyFont="1" applyBorder="1"/>
    <xf numFmtId="0" fontId="169" fillId="0" borderId="17" xfId="6" applyFont="1" applyBorder="1"/>
    <xf numFmtId="0" fontId="169" fillId="0" borderId="18" xfId="6" applyFont="1" applyBorder="1"/>
    <xf numFmtId="0" fontId="174" fillId="0" borderId="0" xfId="6" applyFont="1"/>
    <xf numFmtId="0" fontId="175" fillId="2" borderId="0" xfId="6" applyFont="1" applyFill="1" applyAlignment="1">
      <alignment horizontal="justify" vertical="center"/>
    </xf>
    <xf numFmtId="2" fontId="176" fillId="3" borderId="0" xfId="6" applyNumberFormat="1" applyFont="1" applyFill="1" applyAlignment="1">
      <alignment horizontal="center"/>
    </xf>
    <xf numFmtId="2" fontId="177" fillId="0" borderId="0" xfId="6" applyNumberFormat="1" applyFont="1" applyAlignment="1">
      <alignment horizontal="center"/>
    </xf>
    <xf numFmtId="1" fontId="178" fillId="0" borderId="0" xfId="6" applyNumberFormat="1" applyFont="1" applyAlignment="1">
      <alignment horizontal="center"/>
    </xf>
    <xf numFmtId="0" fontId="178" fillId="0" borderId="0" xfId="6" applyFont="1" applyAlignment="1">
      <alignment horizontal="center"/>
    </xf>
    <xf numFmtId="2" fontId="178" fillId="0" borderId="0" xfId="6" applyNumberFormat="1" applyFont="1" applyAlignment="1">
      <alignment horizontal="center"/>
    </xf>
    <xf numFmtId="2" fontId="178" fillId="0" borderId="15" xfId="6" applyNumberFormat="1" applyFont="1" applyBorder="1" applyAlignment="1">
      <alignment horizontal="center"/>
    </xf>
    <xf numFmtId="2" fontId="178" fillId="2" borderId="15" xfId="6" applyNumberFormat="1" applyFont="1" applyFill="1" applyBorder="1" applyAlignment="1">
      <alignment horizontal="center"/>
    </xf>
    <xf numFmtId="0" fontId="177" fillId="0" borderId="0" xfId="6" applyFont="1"/>
    <xf numFmtId="0" fontId="174" fillId="0" borderId="0" xfId="6" applyFont="1" applyAlignment="1">
      <alignment horizontal="left"/>
    </xf>
    <xf numFmtId="2" fontId="178" fillId="0" borderId="2" xfId="6" applyNumberFormat="1" applyFont="1" applyBorder="1" applyAlignment="1">
      <alignment horizontal="center"/>
    </xf>
    <xf numFmtId="2" fontId="178" fillId="2" borderId="2" xfId="6" applyNumberFormat="1" applyFont="1" applyFill="1" applyBorder="1" applyAlignment="1">
      <alignment horizontal="center"/>
    </xf>
    <xf numFmtId="2" fontId="177" fillId="3" borderId="0" xfId="6" applyNumberFormat="1" applyFont="1" applyFill="1" applyAlignment="1">
      <alignment horizontal="center"/>
    </xf>
    <xf numFmtId="2" fontId="178" fillId="2" borderId="11" xfId="6" applyNumberFormat="1" applyFont="1" applyFill="1" applyBorder="1" applyAlignment="1">
      <alignment horizontal="center"/>
    </xf>
    <xf numFmtId="2" fontId="178" fillId="0" borderId="10" xfId="6" applyNumberFormat="1" applyFont="1" applyBorder="1" applyAlignment="1">
      <alignment horizontal="center"/>
    </xf>
    <xf numFmtId="0" fontId="174" fillId="0" borderId="0" xfId="6" applyFont="1" applyAlignment="1">
      <alignment vertical="center"/>
    </xf>
    <xf numFmtId="2" fontId="178" fillId="0" borderId="3" xfId="6" applyNumberFormat="1" applyFont="1" applyBorder="1" applyAlignment="1">
      <alignment horizontal="left"/>
    </xf>
    <xf numFmtId="2" fontId="178" fillId="0" borderId="9" xfId="6" applyNumberFormat="1" applyFont="1" applyBorder="1" applyAlignment="1">
      <alignment horizontal="center"/>
    </xf>
    <xf numFmtId="2" fontId="178" fillId="0" borderId="4" xfId="6" applyNumberFormat="1" applyFont="1" applyBorder="1" applyAlignment="1">
      <alignment horizontal="center"/>
    </xf>
    <xf numFmtId="0" fontId="171" fillId="0" borderId="0" xfId="6" applyFont="1" applyAlignment="1">
      <alignment horizontal="left"/>
    </xf>
    <xf numFmtId="2" fontId="179" fillId="3" borderId="0" xfId="6" applyNumberFormat="1" applyFont="1" applyFill="1" applyAlignment="1">
      <alignment horizontal="center"/>
    </xf>
    <xf numFmtId="2" fontId="179" fillId="0" borderId="0" xfId="6" applyNumberFormat="1" applyFont="1" applyAlignment="1">
      <alignment horizontal="center"/>
    </xf>
    <xf numFmtId="1" fontId="180" fillId="0" borderId="0" xfId="6" applyNumberFormat="1" applyFont="1" applyAlignment="1">
      <alignment horizontal="center"/>
    </xf>
    <xf numFmtId="1" fontId="181" fillId="0" borderId="0" xfId="6" applyNumberFormat="1" applyFont="1" applyAlignment="1">
      <alignment horizontal="center"/>
    </xf>
    <xf numFmtId="0" fontId="177" fillId="0" borderId="5" xfId="6" applyFont="1" applyBorder="1"/>
    <xf numFmtId="0" fontId="151" fillId="2" borderId="5" xfId="6" applyFill="1" applyBorder="1"/>
    <xf numFmtId="0" fontId="171" fillId="0" borderId="0" xfId="6" applyFont="1"/>
    <xf numFmtId="2" fontId="178" fillId="2" borderId="5" xfId="6" applyNumberFormat="1" applyFont="1" applyFill="1" applyBorder="1" applyAlignment="1">
      <alignment horizontal="center"/>
    </xf>
    <xf numFmtId="2" fontId="178" fillId="2" borderId="0" xfId="6" applyNumberFormat="1" applyFont="1" applyFill="1" applyAlignment="1">
      <alignment horizontal="center"/>
    </xf>
    <xf numFmtId="2" fontId="178" fillId="2" borderId="6" xfId="6" applyNumberFormat="1" applyFont="1" applyFill="1" applyBorder="1" applyAlignment="1">
      <alignment horizontal="center"/>
    </xf>
    <xf numFmtId="2" fontId="178" fillId="2" borderId="1" xfId="6" applyNumberFormat="1" applyFont="1" applyFill="1" applyBorder="1" applyAlignment="1">
      <alignment horizontal="center"/>
    </xf>
    <xf numFmtId="2" fontId="178" fillId="2" borderId="8" xfId="6" applyNumberFormat="1" applyFont="1" applyFill="1" applyBorder="1" applyAlignment="1">
      <alignment horizontal="center"/>
    </xf>
    <xf numFmtId="2" fontId="178" fillId="0" borderId="10" xfId="6" applyNumberFormat="1" applyFont="1" applyBorder="1" applyAlignment="1">
      <alignment horizontal="right"/>
    </xf>
    <xf numFmtId="0" fontId="178" fillId="2" borderId="10" xfId="6" applyFont="1" applyFill="1" applyBorder="1" applyAlignment="1">
      <alignment horizontal="center"/>
    </xf>
    <xf numFmtId="2" fontId="178" fillId="2" borderId="13" xfId="6" applyNumberFormat="1" applyFont="1" applyFill="1" applyBorder="1" applyAlignment="1">
      <alignment horizontal="center"/>
    </xf>
    <xf numFmtId="1" fontId="178" fillId="2" borderId="10" xfId="6" applyNumberFormat="1" applyFont="1" applyFill="1" applyBorder="1" applyAlignment="1">
      <alignment horizontal="center"/>
    </xf>
    <xf numFmtId="2" fontId="178" fillId="0" borderId="3" xfId="6" applyNumberFormat="1" applyFont="1" applyBorder="1" applyAlignment="1">
      <alignment horizontal="center"/>
    </xf>
    <xf numFmtId="0" fontId="165" fillId="0" borderId="0" xfId="6" applyFont="1" applyAlignment="1">
      <alignment horizontal="right"/>
    </xf>
    <xf numFmtId="2" fontId="165" fillId="0" borderId="0" xfId="6" applyNumberFormat="1" applyFont="1" applyAlignment="1">
      <alignment horizontal="center"/>
    </xf>
    <xf numFmtId="1" fontId="151" fillId="0" borderId="0" xfId="6" applyNumberFormat="1" applyAlignment="1">
      <alignment horizontal="center"/>
    </xf>
    <xf numFmtId="0" fontId="151" fillId="0" borderId="0" xfId="6" applyAlignment="1">
      <alignment horizontal="center"/>
    </xf>
    <xf numFmtId="0" fontId="182" fillId="0" borderId="0" xfId="6" applyFont="1" applyAlignment="1">
      <alignment horizontal="center"/>
    </xf>
    <xf numFmtId="0" fontId="178" fillId="0" borderId="0" xfId="6" applyFont="1"/>
    <xf numFmtId="0" fontId="177" fillId="0" borderId="0" xfId="6" applyFont="1" applyAlignment="1">
      <alignment horizontal="center"/>
    </xf>
    <xf numFmtId="0" fontId="183" fillId="2" borderId="0" xfId="6" applyFont="1" applyFill="1" applyAlignment="1">
      <alignment horizontal="justify"/>
    </xf>
    <xf numFmtId="0" fontId="180" fillId="0" borderId="0" xfId="6" applyFont="1" applyAlignment="1">
      <alignment horizontal="center"/>
    </xf>
    <xf numFmtId="0" fontId="179" fillId="0" borderId="0" xfId="6" applyFont="1"/>
    <xf numFmtId="0" fontId="182" fillId="0" borderId="0" xfId="6" applyFont="1"/>
    <xf numFmtId="0" fontId="184" fillId="0" borderId="0" xfId="6" applyFont="1"/>
    <xf numFmtId="0" fontId="173" fillId="0" borderId="0" xfId="6" applyFont="1"/>
    <xf numFmtId="0" fontId="185" fillId="0" borderId="0" xfId="6" applyFont="1"/>
    <xf numFmtId="0" fontId="186" fillId="0" borderId="0" xfId="6" applyFont="1"/>
    <xf numFmtId="0" fontId="187" fillId="0" borderId="0" xfId="6" applyFont="1" applyAlignment="1">
      <alignment horizontal="left"/>
    </xf>
    <xf numFmtId="0" fontId="186" fillId="0" borderId="0" xfId="6" applyFont="1" applyAlignment="1">
      <alignment vertical="center"/>
    </xf>
    <xf numFmtId="0" fontId="154" fillId="0" borderId="0" xfId="6" applyFont="1" applyAlignment="1">
      <alignment vertical="center"/>
    </xf>
    <xf numFmtId="0" fontId="187" fillId="0" borderId="0" xfId="6" applyFont="1" applyAlignment="1">
      <alignment vertical="center"/>
    </xf>
    <xf numFmtId="0" fontId="187" fillId="0" borderId="0" xfId="6" applyFont="1"/>
    <xf numFmtId="0" fontId="151" fillId="0" borderId="0" xfId="6" applyAlignment="1">
      <alignment vertical="center"/>
    </xf>
    <xf numFmtId="14" fontId="0" fillId="2" borderId="1" xfId="0" applyNumberFormat="1" applyFill="1" applyBorder="1" applyAlignment="1">
      <alignment horizontal="left"/>
    </xf>
    <xf numFmtId="3" fontId="188" fillId="2" borderId="15" xfId="0" applyNumberFormat="1" applyFont="1" applyFill="1" applyBorder="1" applyAlignment="1">
      <alignment horizontal="center"/>
    </xf>
    <xf numFmtId="3" fontId="188" fillId="2" borderId="2" xfId="0" applyNumberFormat="1" applyFont="1" applyFill="1" applyBorder="1" applyAlignment="1">
      <alignment horizontal="center"/>
    </xf>
    <xf numFmtId="0" fontId="8" fillId="2" borderId="2" xfId="0" applyFont="1" applyFill="1" applyBorder="1"/>
    <xf numFmtId="2" fontId="7" fillId="2" borderId="5" xfId="0" applyNumberFormat="1" applyFont="1" applyFill="1" applyBorder="1"/>
    <xf numFmtId="0" fontId="188" fillId="2" borderId="2" xfId="0" applyFont="1" applyFill="1" applyBorder="1" applyAlignment="1">
      <alignment horizontal="center"/>
    </xf>
    <xf numFmtId="9" fontId="7" fillId="2" borderId="10" xfId="0" applyNumberFormat="1" applyFont="1" applyFill="1" applyBorder="1" applyAlignment="1">
      <alignment horizontal="center"/>
    </xf>
    <xf numFmtId="2" fontId="0" fillId="2" borderId="2" xfId="0" applyNumberFormat="1" applyFill="1" applyBorder="1"/>
    <xf numFmtId="0" fontId="191" fillId="0" borderId="0" xfId="8" applyFont="1"/>
    <xf numFmtId="0" fontId="59" fillId="0" borderId="0" xfId="8" applyFont="1"/>
    <xf numFmtId="0" fontId="60" fillId="0" borderId="0" xfId="8" applyFont="1"/>
    <xf numFmtId="0" fontId="191" fillId="0" borderId="0" xfId="8" applyFont="1" applyAlignment="1">
      <alignment horizontal="left" vertical="center"/>
    </xf>
    <xf numFmtId="0" fontId="190" fillId="0" borderId="0" xfId="8"/>
    <xf numFmtId="0" fontId="192" fillId="0" borderId="0" xfId="8" applyFont="1" applyAlignment="1">
      <alignment horizontal="left" vertical="center"/>
    </xf>
    <xf numFmtId="0" fontId="193" fillId="0" borderId="0" xfId="8" applyFont="1"/>
    <xf numFmtId="0" fontId="194" fillId="0" borderId="0" xfId="8" applyFont="1" applyAlignment="1">
      <alignment vertical="center"/>
    </xf>
    <xf numFmtId="0" fontId="195" fillId="0" borderId="0" xfId="8" applyFont="1" applyAlignment="1">
      <alignment horizontal="left" vertical="center"/>
    </xf>
    <xf numFmtId="0" fontId="194" fillId="0" borderId="0" xfId="8" applyFont="1" applyAlignment="1">
      <alignment horizontal="left" vertical="center"/>
    </xf>
    <xf numFmtId="0" fontId="191" fillId="0" borderId="19" xfId="8" applyFont="1" applyBorder="1" applyAlignment="1">
      <alignment horizontal="right"/>
    </xf>
    <xf numFmtId="0" fontId="58" fillId="6" borderId="20" xfId="8" applyFont="1" applyFill="1" applyBorder="1"/>
    <xf numFmtId="0" fontId="191" fillId="6" borderId="21" xfId="8" applyFont="1" applyFill="1" applyBorder="1"/>
    <xf numFmtId="0" fontId="191" fillId="6" borderId="22" xfId="8" applyFont="1" applyFill="1" applyBorder="1"/>
    <xf numFmtId="0" fontId="58" fillId="6" borderId="0" xfId="8" applyFont="1" applyFill="1"/>
    <xf numFmtId="0" fontId="191" fillId="6" borderId="0" xfId="8" applyFont="1" applyFill="1"/>
    <xf numFmtId="0" fontId="191" fillId="6" borderId="23" xfId="8" applyFont="1" applyFill="1" applyBorder="1"/>
    <xf numFmtId="0" fontId="191" fillId="0" borderId="24" xfId="8" applyFont="1" applyBorder="1" applyAlignment="1">
      <alignment horizontal="right"/>
    </xf>
    <xf numFmtId="0" fontId="191" fillId="0" borderId="25" xfId="8" applyFont="1" applyBorder="1" applyAlignment="1">
      <alignment horizontal="right"/>
    </xf>
    <xf numFmtId="0" fontId="58" fillId="6" borderId="26" xfId="8" applyFont="1" applyFill="1" applyBorder="1"/>
    <xf numFmtId="0" fontId="191" fillId="0" borderId="27" xfId="8" applyFont="1" applyBorder="1" applyAlignment="1">
      <alignment horizontal="right"/>
    </xf>
    <xf numFmtId="166" fontId="58" fillId="6" borderId="28" xfId="8" applyNumberFormat="1" applyFont="1" applyFill="1" applyBorder="1"/>
    <xf numFmtId="0" fontId="191" fillId="6" borderId="28" xfId="8" applyFont="1" applyFill="1" applyBorder="1"/>
    <xf numFmtId="0" fontId="191" fillId="6" borderId="29" xfId="8" applyFont="1" applyFill="1" applyBorder="1"/>
    <xf numFmtId="0" fontId="191" fillId="0" borderId="0" xfId="8" applyFont="1" applyAlignment="1">
      <alignment horizontal="right"/>
    </xf>
    <xf numFmtId="0" fontId="196" fillId="0" borderId="0" xfId="8" applyFont="1"/>
    <xf numFmtId="0" fontId="71" fillId="0" borderId="0" xfId="8" applyFont="1" applyAlignment="1">
      <alignment horizontal="center"/>
    </xf>
    <xf numFmtId="0" fontId="71" fillId="0" borderId="0" xfId="8" applyFont="1"/>
    <xf numFmtId="0" fontId="74" fillId="0" borderId="0" xfId="8" applyFont="1"/>
    <xf numFmtId="0" fontId="58" fillId="6" borderId="27" xfId="8" applyFont="1" applyFill="1" applyBorder="1"/>
    <xf numFmtId="0" fontId="191" fillId="6" borderId="27" xfId="8" applyFont="1" applyFill="1" applyBorder="1"/>
    <xf numFmtId="0" fontId="191" fillId="6" borderId="20" xfId="8" applyFont="1" applyFill="1" applyBorder="1"/>
    <xf numFmtId="0" fontId="202" fillId="0" borderId="0" xfId="8" applyFont="1"/>
    <xf numFmtId="0" fontId="205" fillId="0" borderId="0" xfId="8" applyFont="1"/>
    <xf numFmtId="0" fontId="208" fillId="0" borderId="0" xfId="8" applyFont="1" applyAlignment="1">
      <alignment horizontal="center"/>
    </xf>
    <xf numFmtId="0" fontId="208" fillId="0" borderId="0" xfId="8" applyFont="1"/>
    <xf numFmtId="0" fontId="209" fillId="0" borderId="30" xfId="8" applyFont="1" applyBorder="1"/>
    <xf numFmtId="0" fontId="210" fillId="0" borderId="31" xfId="8" applyFont="1" applyBorder="1" applyAlignment="1">
      <alignment horizontal="center" wrapText="1"/>
    </xf>
    <xf numFmtId="0" fontId="191" fillId="0" borderId="31" xfId="8" applyFont="1" applyBorder="1"/>
    <xf numFmtId="0" fontId="210" fillId="0" borderId="31" xfId="8" applyFont="1" applyBorder="1" applyAlignment="1">
      <alignment horizontal="center"/>
    </xf>
    <xf numFmtId="0" fontId="209" fillId="0" borderId="31" xfId="8" applyFont="1" applyBorder="1"/>
    <xf numFmtId="0" fontId="211" fillId="0" borderId="31" xfId="8" applyFont="1" applyBorder="1"/>
    <xf numFmtId="0" fontId="211" fillId="0" borderId="32" xfId="8" applyFont="1" applyBorder="1"/>
    <xf numFmtId="0" fontId="211" fillId="0" borderId="0" xfId="8" applyFont="1"/>
    <xf numFmtId="0" fontId="210" fillId="0" borderId="0" xfId="8" applyFont="1"/>
    <xf numFmtId="0" fontId="212" fillId="6" borderId="25" xfId="8" applyFont="1" applyFill="1" applyBorder="1" applyAlignment="1">
      <alignment horizontal="center"/>
    </xf>
    <xf numFmtId="2" fontId="213" fillId="8" borderId="0" xfId="8" applyNumberFormat="1" applyFont="1" applyFill="1" applyAlignment="1">
      <alignment horizontal="center"/>
    </xf>
    <xf numFmtId="2" fontId="214" fillId="0" borderId="0" xfId="8" applyNumberFormat="1" applyFont="1" applyAlignment="1">
      <alignment horizontal="center"/>
    </xf>
    <xf numFmtId="1" fontId="214" fillId="0" borderId="0" xfId="8" applyNumberFormat="1" applyFont="1" applyAlignment="1">
      <alignment horizontal="center"/>
    </xf>
    <xf numFmtId="0" fontId="214" fillId="0" borderId="0" xfId="8" applyFont="1" applyAlignment="1">
      <alignment horizontal="center"/>
    </xf>
    <xf numFmtId="2" fontId="214" fillId="0" borderId="25" xfId="8" applyNumberFormat="1" applyFont="1" applyBorder="1" applyAlignment="1">
      <alignment horizontal="center"/>
    </xf>
    <xf numFmtId="2" fontId="214" fillId="6" borderId="25" xfId="8" applyNumberFormat="1" applyFont="1" applyFill="1" applyBorder="1" applyAlignment="1">
      <alignment horizontal="center"/>
    </xf>
    <xf numFmtId="0" fontId="214" fillId="0" borderId="0" xfId="8" applyFont="1"/>
    <xf numFmtId="0" fontId="210" fillId="0" borderId="0" xfId="8" applyFont="1" applyAlignment="1">
      <alignment horizontal="left"/>
    </xf>
    <xf numFmtId="0" fontId="212" fillId="6" borderId="27" xfId="8" applyFont="1" applyFill="1" applyBorder="1" applyAlignment="1">
      <alignment horizontal="center"/>
    </xf>
    <xf numFmtId="2" fontId="214" fillId="0" borderId="27" xfId="8" applyNumberFormat="1" applyFont="1" applyBorder="1" applyAlignment="1">
      <alignment horizontal="center"/>
    </xf>
    <xf numFmtId="2" fontId="90" fillId="6" borderId="27" xfId="8" applyNumberFormat="1" applyFont="1" applyFill="1" applyBorder="1" applyAlignment="1">
      <alignment horizontal="center"/>
    </xf>
    <xf numFmtId="2" fontId="214" fillId="6" borderId="27" xfId="8" applyNumberFormat="1" applyFont="1" applyFill="1" applyBorder="1" applyAlignment="1">
      <alignment horizontal="center"/>
    </xf>
    <xf numFmtId="2" fontId="214" fillId="8" borderId="0" xfId="8" applyNumberFormat="1" applyFont="1" applyFill="1" applyAlignment="1">
      <alignment horizontal="center"/>
    </xf>
    <xf numFmtId="2" fontId="214" fillId="6" borderId="19" xfId="8" applyNumberFormat="1" applyFont="1" applyFill="1" applyBorder="1" applyAlignment="1">
      <alignment horizontal="center"/>
    </xf>
    <xf numFmtId="2" fontId="214" fillId="0" borderId="20" xfId="8" applyNumberFormat="1" applyFont="1" applyBorder="1" applyAlignment="1">
      <alignment horizontal="center"/>
    </xf>
    <xf numFmtId="2" fontId="90" fillId="6" borderId="20" xfId="8" applyNumberFormat="1" applyFont="1" applyFill="1" applyBorder="1" applyAlignment="1">
      <alignment horizontal="center"/>
    </xf>
    <xf numFmtId="2" fontId="215" fillId="6" borderId="21" xfId="8" applyNumberFormat="1" applyFont="1" applyFill="1" applyBorder="1" applyAlignment="1">
      <alignment horizontal="left"/>
    </xf>
    <xf numFmtId="2" fontId="214" fillId="6" borderId="22" xfId="8" applyNumberFormat="1" applyFont="1" applyFill="1" applyBorder="1" applyAlignment="1">
      <alignment horizontal="center"/>
    </xf>
    <xf numFmtId="0" fontId="210" fillId="0" borderId="0" xfId="8" applyFont="1" applyAlignment="1">
      <alignment vertical="center"/>
    </xf>
    <xf numFmtId="2" fontId="214" fillId="0" borderId="33" xfId="8" applyNumberFormat="1" applyFont="1" applyBorder="1" applyAlignment="1">
      <alignment horizontal="left"/>
    </xf>
    <xf numFmtId="2" fontId="214" fillId="0" borderId="34" xfId="8" applyNumberFormat="1" applyFont="1" applyBorder="1" applyAlignment="1">
      <alignment horizontal="center"/>
    </xf>
    <xf numFmtId="2" fontId="214" fillId="0" borderId="35" xfId="8" applyNumberFormat="1" applyFont="1" applyBorder="1" applyAlignment="1">
      <alignment horizontal="center"/>
    </xf>
    <xf numFmtId="0" fontId="216" fillId="6" borderId="27" xfId="8" applyFont="1" applyFill="1" applyBorder="1" applyAlignment="1">
      <alignment horizontal="center"/>
    </xf>
    <xf numFmtId="1" fontId="90" fillId="0" borderId="0" xfId="8" applyNumberFormat="1" applyFont="1" applyAlignment="1">
      <alignment horizontal="center"/>
    </xf>
    <xf numFmtId="1" fontId="91" fillId="0" borderId="0" xfId="8" applyNumberFormat="1" applyFont="1" applyAlignment="1">
      <alignment horizontal="center"/>
    </xf>
    <xf numFmtId="2" fontId="90" fillId="6" borderId="33" xfId="8" applyNumberFormat="1" applyFont="1" applyFill="1" applyBorder="1" applyAlignment="1">
      <alignment horizontal="left"/>
    </xf>
    <xf numFmtId="2" fontId="214" fillId="6" borderId="34" xfId="8" applyNumberFormat="1" applyFont="1" applyFill="1" applyBorder="1" applyAlignment="1">
      <alignment horizontal="center"/>
    </xf>
    <xf numFmtId="2" fontId="214" fillId="6" borderId="35" xfId="8" applyNumberFormat="1" applyFont="1" applyFill="1" applyBorder="1" applyAlignment="1">
      <alignment horizontal="center"/>
    </xf>
    <xf numFmtId="2" fontId="214" fillId="6" borderId="36" xfId="8" applyNumberFormat="1" applyFont="1" applyFill="1" applyBorder="1" applyAlignment="1">
      <alignment horizontal="left"/>
    </xf>
    <xf numFmtId="2" fontId="214" fillId="6" borderId="0" xfId="8" applyNumberFormat="1" applyFont="1" applyFill="1" applyAlignment="1">
      <alignment horizontal="center"/>
    </xf>
    <xf numFmtId="2" fontId="214" fillId="6" borderId="23" xfId="8" applyNumberFormat="1" applyFont="1" applyFill="1" applyBorder="1" applyAlignment="1">
      <alignment horizontal="center"/>
    </xf>
    <xf numFmtId="0" fontId="214" fillId="6" borderId="36" xfId="8" applyFont="1" applyFill="1" applyBorder="1" applyAlignment="1">
      <alignment horizontal="left"/>
    </xf>
    <xf numFmtId="0" fontId="214" fillId="0" borderId="36" xfId="8" applyFont="1" applyBorder="1"/>
    <xf numFmtId="0" fontId="214" fillId="6" borderId="36" xfId="8" applyFont="1" applyFill="1" applyBorder="1"/>
    <xf numFmtId="0" fontId="90" fillId="6" borderId="36" xfId="8" applyFont="1" applyFill="1" applyBorder="1"/>
    <xf numFmtId="0" fontId="191" fillId="6" borderId="36" xfId="8" applyFont="1" applyFill="1" applyBorder="1"/>
    <xf numFmtId="2" fontId="214" fillId="6" borderId="36" xfId="8" applyNumberFormat="1" applyFont="1" applyFill="1" applyBorder="1" applyAlignment="1">
      <alignment horizontal="center"/>
    </xf>
    <xf numFmtId="0" fontId="191" fillId="6" borderId="26" xfId="8" applyFont="1" applyFill="1" applyBorder="1"/>
    <xf numFmtId="2" fontId="214" fillId="6" borderId="28" xfId="8" applyNumberFormat="1" applyFont="1" applyFill="1" applyBorder="1" applyAlignment="1">
      <alignment horizontal="center"/>
    </xf>
    <xf numFmtId="2" fontId="214" fillId="6" borderId="29" xfId="8" applyNumberFormat="1" applyFont="1" applyFill="1" applyBorder="1" applyAlignment="1">
      <alignment horizontal="center"/>
    </xf>
    <xf numFmtId="2" fontId="214" fillId="0" borderId="20" xfId="8" applyNumberFormat="1" applyFont="1" applyBorder="1" applyAlignment="1">
      <alignment horizontal="right"/>
    </xf>
    <xf numFmtId="0" fontId="214" fillId="6" borderId="20" xfId="8" applyFont="1" applyFill="1" applyBorder="1" applyAlignment="1">
      <alignment horizontal="center"/>
    </xf>
    <xf numFmtId="1" fontId="214" fillId="6" borderId="20" xfId="8" applyNumberFormat="1" applyFont="1" applyFill="1" applyBorder="1" applyAlignment="1">
      <alignment horizontal="center"/>
    </xf>
    <xf numFmtId="2" fontId="214" fillId="0" borderId="33" xfId="8" applyNumberFormat="1" applyFont="1" applyBorder="1" applyAlignment="1">
      <alignment horizontal="center"/>
    </xf>
    <xf numFmtId="2" fontId="214" fillId="6" borderId="33" xfId="8" applyNumberFormat="1" applyFont="1" applyFill="1" applyBorder="1" applyAlignment="1">
      <alignment horizontal="left"/>
    </xf>
    <xf numFmtId="2" fontId="214" fillId="6" borderId="26" xfId="8" applyNumberFormat="1" applyFont="1" applyFill="1" applyBorder="1" applyAlignment="1">
      <alignment horizontal="center"/>
    </xf>
    <xf numFmtId="0" fontId="202" fillId="0" borderId="0" xfId="8" applyFont="1" applyAlignment="1">
      <alignment horizontal="right"/>
    </xf>
    <xf numFmtId="2" fontId="202" fillId="0" borderId="0" xfId="8" applyNumberFormat="1" applyFont="1" applyAlignment="1">
      <alignment horizontal="center"/>
    </xf>
    <xf numFmtId="1" fontId="191" fillId="0" borderId="0" xfId="8" applyNumberFormat="1" applyFont="1" applyAlignment="1">
      <alignment horizontal="center"/>
    </xf>
    <xf numFmtId="0" fontId="191" fillId="0" borderId="0" xfId="8" applyFont="1" applyAlignment="1">
      <alignment horizontal="center"/>
    </xf>
    <xf numFmtId="0" fontId="202" fillId="0" borderId="0" xfId="8" applyFont="1" applyAlignment="1">
      <alignment horizontal="center"/>
    </xf>
    <xf numFmtId="0" fontId="90" fillId="0" borderId="0" xfId="8" applyFont="1" applyAlignment="1">
      <alignment horizontal="center"/>
    </xf>
    <xf numFmtId="0" fontId="217" fillId="6" borderId="27" xfId="8" applyFont="1" applyFill="1" applyBorder="1" applyAlignment="1">
      <alignment horizontal="center"/>
    </xf>
    <xf numFmtId="0" fontId="218" fillId="0" borderId="0" xfId="8" applyFont="1"/>
    <xf numFmtId="0" fontId="219" fillId="0" borderId="0" xfId="8" applyFont="1"/>
    <xf numFmtId="2" fontId="214" fillId="6" borderId="34" xfId="8" applyNumberFormat="1" applyFont="1" applyFill="1" applyBorder="1" applyAlignment="1">
      <alignment horizontal="left"/>
    </xf>
    <xf numFmtId="2" fontId="214" fillId="6" borderId="0" xfId="8" applyNumberFormat="1" applyFont="1" applyFill="1" applyAlignment="1">
      <alignment horizontal="left"/>
    </xf>
    <xf numFmtId="0" fontId="214" fillId="6" borderId="26" xfId="8" applyFont="1" applyFill="1" applyBorder="1" applyAlignment="1">
      <alignment horizontal="left"/>
    </xf>
    <xf numFmtId="2" fontId="214" fillId="6" borderId="28" xfId="8" applyNumberFormat="1" applyFont="1" applyFill="1" applyBorder="1" applyAlignment="1">
      <alignment horizontal="left"/>
    </xf>
    <xf numFmtId="1" fontId="217" fillId="6" borderId="20" xfId="8" applyNumberFormat="1" applyFont="1" applyFill="1" applyBorder="1" applyAlignment="1">
      <alignment horizontal="center"/>
    </xf>
    <xf numFmtId="2" fontId="90" fillId="6" borderId="36" xfId="8" applyNumberFormat="1" applyFont="1" applyFill="1" applyBorder="1" applyAlignment="1">
      <alignment horizontal="center"/>
    </xf>
    <xf numFmtId="0" fontId="220" fillId="0" borderId="0" xfId="8" applyFont="1"/>
    <xf numFmtId="0" fontId="209" fillId="0" borderId="0" xfId="8" applyFont="1"/>
    <xf numFmtId="0" fontId="223" fillId="0" borderId="0" xfId="8" applyFont="1"/>
    <xf numFmtId="0" fontId="222" fillId="0" borderId="0" xfId="8" applyFont="1"/>
    <xf numFmtId="0" fontId="222" fillId="0" borderId="0" xfId="8" applyFont="1" applyAlignment="1">
      <alignment horizontal="left"/>
    </xf>
    <xf numFmtId="0" fontId="222" fillId="0" borderId="0" xfId="8" applyFont="1" applyAlignment="1">
      <alignment vertical="center"/>
    </xf>
    <xf numFmtId="0" fontId="191" fillId="0" borderId="0" xfId="8" applyFont="1" applyAlignment="1">
      <alignment vertical="center"/>
    </xf>
    <xf numFmtId="0" fontId="232" fillId="9" borderId="37" xfId="9" applyFill="1" applyBorder="1"/>
    <xf numFmtId="49" fontId="233" fillId="9" borderId="37" xfId="9" applyNumberFormat="1" applyFont="1" applyFill="1" applyBorder="1"/>
    <xf numFmtId="0" fontId="234" fillId="9" borderId="37" xfId="9" applyFont="1" applyFill="1" applyBorder="1"/>
    <xf numFmtId="0" fontId="232" fillId="9" borderId="37" xfId="9" applyFill="1" applyBorder="1" applyAlignment="1">
      <alignment horizontal="left" vertical="center"/>
    </xf>
    <xf numFmtId="0" fontId="232" fillId="0" borderId="0" xfId="9" applyNumberFormat="1"/>
    <xf numFmtId="49" fontId="235" fillId="9" borderId="37" xfId="9" applyNumberFormat="1" applyFont="1" applyFill="1" applyBorder="1" applyAlignment="1">
      <alignment horizontal="left" vertical="center"/>
    </xf>
    <xf numFmtId="0" fontId="236" fillId="9" borderId="37" xfId="9" applyFont="1" applyFill="1" applyBorder="1"/>
    <xf numFmtId="0" fontId="237" fillId="9" borderId="37" xfId="9" applyFont="1" applyFill="1" applyBorder="1" applyAlignment="1">
      <alignment vertical="center"/>
    </xf>
    <xf numFmtId="0" fontId="232" fillId="9" borderId="38" xfId="9" applyFill="1" applyBorder="1"/>
    <xf numFmtId="49" fontId="238" fillId="9" borderId="38" xfId="9" applyNumberFormat="1" applyFont="1" applyFill="1" applyBorder="1" applyAlignment="1">
      <alignment horizontal="left" vertical="center"/>
    </xf>
    <xf numFmtId="0" fontId="236" fillId="9" borderId="38" xfId="9" applyFont="1" applyFill="1" applyBorder="1"/>
    <xf numFmtId="0" fontId="237" fillId="9" borderId="37" xfId="9" applyFont="1" applyFill="1" applyBorder="1" applyAlignment="1">
      <alignment horizontal="left" vertical="center"/>
    </xf>
    <xf numFmtId="49" fontId="232" fillId="9" borderId="39" xfId="9" applyNumberFormat="1" applyFill="1" applyBorder="1" applyAlignment="1">
      <alignment horizontal="right"/>
    </xf>
    <xf numFmtId="49" fontId="232" fillId="10" borderId="40" xfId="9" applyNumberFormat="1" applyFill="1" applyBorder="1"/>
    <xf numFmtId="0" fontId="232" fillId="10" borderId="41" xfId="9" applyFill="1" applyBorder="1"/>
    <xf numFmtId="0" fontId="232" fillId="10" borderId="42" xfId="9" applyFill="1" applyBorder="1"/>
    <xf numFmtId="0" fontId="232" fillId="9" borderId="43" xfId="9" applyFill="1" applyBorder="1"/>
    <xf numFmtId="49" fontId="232" fillId="9" borderId="44" xfId="9" applyNumberFormat="1" applyFill="1" applyBorder="1" applyAlignment="1">
      <alignment horizontal="right"/>
    </xf>
    <xf numFmtId="49" fontId="232" fillId="9" borderId="45" xfId="9" applyNumberFormat="1" applyFill="1" applyBorder="1" applyAlignment="1">
      <alignment horizontal="right"/>
    </xf>
    <xf numFmtId="0" fontId="232" fillId="9" borderId="46" xfId="9" applyFill="1" applyBorder="1" applyAlignment="1">
      <alignment horizontal="right"/>
    </xf>
    <xf numFmtId="0" fontId="232" fillId="10" borderId="40" xfId="9" applyFill="1" applyBorder="1"/>
    <xf numFmtId="167" fontId="232" fillId="10" borderId="40" xfId="9" applyNumberFormat="1" applyFill="1" applyBorder="1"/>
    <xf numFmtId="0" fontId="232" fillId="9" borderId="47" xfId="9" applyFill="1" applyBorder="1" applyAlignment="1">
      <alignment horizontal="right"/>
    </xf>
    <xf numFmtId="0" fontId="232" fillId="9" borderId="47" xfId="9" applyFill="1" applyBorder="1"/>
    <xf numFmtId="49" fontId="232" fillId="9" borderId="37" xfId="9" applyNumberFormat="1" applyFill="1" applyBorder="1"/>
    <xf numFmtId="49" fontId="243" fillId="9" borderId="37" xfId="9" applyNumberFormat="1" applyFont="1" applyFill="1" applyBorder="1" applyAlignment="1">
      <alignment horizontal="center"/>
    </xf>
    <xf numFmtId="49" fontId="243" fillId="9" borderId="37" xfId="9" applyNumberFormat="1" applyFont="1" applyFill="1" applyBorder="1"/>
    <xf numFmtId="0" fontId="232" fillId="9" borderId="48" xfId="9" applyFill="1" applyBorder="1"/>
    <xf numFmtId="49" fontId="232" fillId="10" borderId="39" xfId="9" applyNumberFormat="1" applyFill="1" applyBorder="1"/>
    <xf numFmtId="49" fontId="232" fillId="9" borderId="43" xfId="9" applyNumberFormat="1" applyFill="1" applyBorder="1"/>
    <xf numFmtId="0" fontId="232" fillId="9" borderId="49" xfId="9" applyFill="1" applyBorder="1"/>
    <xf numFmtId="0" fontId="232" fillId="10" borderId="39" xfId="9" applyFill="1" applyBorder="1"/>
    <xf numFmtId="49" fontId="247" fillId="9" borderId="50" xfId="9" applyNumberFormat="1" applyFont="1" applyFill="1" applyBorder="1"/>
    <xf numFmtId="0" fontId="249" fillId="9" borderId="50" xfId="9" applyFont="1" applyFill="1" applyBorder="1" applyAlignment="1">
      <alignment horizontal="center"/>
    </xf>
    <xf numFmtId="0" fontId="249" fillId="9" borderId="50" xfId="9" applyFont="1" applyFill="1" applyBorder="1"/>
    <xf numFmtId="0" fontId="232" fillId="9" borderId="50" xfId="9" applyFill="1" applyBorder="1"/>
    <xf numFmtId="49" fontId="250" fillId="9" borderId="51" xfId="9" applyNumberFormat="1" applyFont="1" applyFill="1" applyBorder="1"/>
    <xf numFmtId="49" fontId="251" fillId="9" borderId="52" xfId="9" applyNumberFormat="1" applyFont="1" applyFill="1" applyBorder="1" applyAlignment="1">
      <alignment horizontal="center" wrapText="1"/>
    </xf>
    <xf numFmtId="0" fontId="232" fillId="9" borderId="52" xfId="9" applyFill="1" applyBorder="1"/>
    <xf numFmtId="49" fontId="251" fillId="9" borderId="52" xfId="9" applyNumberFormat="1" applyFont="1" applyFill="1" applyBorder="1" applyAlignment="1">
      <alignment horizontal="center"/>
    </xf>
    <xf numFmtId="0" fontId="251" fillId="9" borderId="52" xfId="9" applyFont="1" applyFill="1" applyBorder="1" applyAlignment="1">
      <alignment horizontal="center"/>
    </xf>
    <xf numFmtId="49" fontId="250" fillId="9" borderId="52" xfId="9" applyNumberFormat="1" applyFont="1" applyFill="1" applyBorder="1"/>
    <xf numFmtId="0" fontId="255" fillId="9" borderId="52" xfId="9" applyFont="1" applyFill="1" applyBorder="1"/>
    <xf numFmtId="0" fontId="255" fillId="9" borderId="53" xfId="9" applyFont="1" applyFill="1" applyBorder="1"/>
    <xf numFmtId="0" fontId="255" fillId="9" borderId="54" xfId="9" applyFont="1" applyFill="1" applyBorder="1"/>
    <xf numFmtId="0" fontId="255" fillId="9" borderId="37" xfId="9" applyFont="1" applyFill="1" applyBorder="1"/>
    <xf numFmtId="49" fontId="251" fillId="9" borderId="55" xfId="9" applyNumberFormat="1" applyFont="1" applyFill="1" applyBorder="1"/>
    <xf numFmtId="2" fontId="232" fillId="10" borderId="56" xfId="9" applyNumberFormat="1" applyFill="1" applyBorder="1" applyAlignment="1">
      <alignment readingOrder="1"/>
    </xf>
    <xf numFmtId="49" fontId="256" fillId="11" borderId="57" xfId="9" applyNumberFormat="1" applyFont="1" applyFill="1" applyBorder="1" applyAlignment="1">
      <alignment horizontal="center"/>
    </xf>
    <xf numFmtId="2" fontId="257" fillId="9" borderId="58" xfId="9" applyNumberFormat="1" applyFont="1" applyFill="1" applyBorder="1" applyAlignment="1">
      <alignment horizontal="center"/>
    </xf>
    <xf numFmtId="1" fontId="257" fillId="9" borderId="59" xfId="9" applyNumberFormat="1" applyFont="1" applyFill="1" applyBorder="1" applyAlignment="1">
      <alignment horizontal="center"/>
    </xf>
    <xf numFmtId="0" fontId="257" fillId="9" borderId="59" xfId="9" applyNumberFormat="1" applyFont="1" applyFill="1" applyBorder="1" applyAlignment="1">
      <alignment horizontal="center"/>
    </xf>
    <xf numFmtId="2" fontId="257" fillId="9" borderId="55" xfId="9" applyNumberFormat="1" applyFont="1" applyFill="1" applyBorder="1" applyAlignment="1">
      <alignment horizontal="center"/>
    </xf>
    <xf numFmtId="49" fontId="257" fillId="9" borderId="56" xfId="9" applyNumberFormat="1" applyFont="1" applyFill="1" applyBorder="1" applyAlignment="1">
      <alignment horizontal="center"/>
    </xf>
    <xf numFmtId="2" fontId="257" fillId="10" borderId="56" xfId="9" applyNumberFormat="1" applyFont="1" applyFill="1" applyBorder="1" applyAlignment="1">
      <alignment horizontal="center"/>
    </xf>
    <xf numFmtId="2" fontId="257" fillId="9" borderId="60" xfId="9" applyNumberFormat="1" applyFont="1" applyFill="1" applyBorder="1" applyAlignment="1">
      <alignment horizontal="center"/>
    </xf>
    <xf numFmtId="2" fontId="257" fillId="9" borderId="59" xfId="9" applyNumberFormat="1" applyFont="1" applyFill="1" applyBorder="1" applyAlignment="1">
      <alignment horizontal="center"/>
    </xf>
    <xf numFmtId="49" fontId="257" fillId="9" borderId="59" xfId="9" applyNumberFormat="1" applyFont="1" applyFill="1" applyBorder="1"/>
    <xf numFmtId="0" fontId="232" fillId="9" borderId="59" xfId="9" applyFill="1" applyBorder="1"/>
    <xf numFmtId="49" fontId="251" fillId="9" borderId="48" xfId="9" applyNumberFormat="1" applyFont="1" applyFill="1" applyBorder="1" applyAlignment="1">
      <alignment horizontal="left"/>
    </xf>
    <xf numFmtId="2" fontId="232" fillId="10" borderId="39" xfId="9" applyNumberFormat="1" applyFill="1" applyBorder="1" applyAlignment="1">
      <alignment readingOrder="1"/>
    </xf>
    <xf numFmtId="49" fontId="256" fillId="11" borderId="61" xfId="9" applyNumberFormat="1" applyFont="1" applyFill="1" applyBorder="1" applyAlignment="1">
      <alignment horizontal="center"/>
    </xf>
    <xf numFmtId="2" fontId="257" fillId="9" borderId="62" xfId="9" applyNumberFormat="1" applyFont="1" applyFill="1" applyBorder="1" applyAlignment="1">
      <alignment horizontal="center"/>
    </xf>
    <xf numFmtId="1" fontId="257" fillId="9" borderId="37" xfId="9" applyNumberFormat="1" applyFont="1" applyFill="1" applyBorder="1" applyAlignment="1">
      <alignment horizontal="center"/>
    </xf>
    <xf numFmtId="0" fontId="257" fillId="9" borderId="37" xfId="9" applyNumberFormat="1" applyFont="1" applyFill="1" applyBorder="1" applyAlignment="1">
      <alignment horizontal="center"/>
    </xf>
    <xf numFmtId="2" fontId="257" fillId="9" borderId="48" xfId="9" applyNumberFormat="1" applyFont="1" applyFill="1" applyBorder="1" applyAlignment="1">
      <alignment horizontal="center"/>
    </xf>
    <xf numFmtId="49" fontId="257" fillId="9" borderId="39" xfId="9" applyNumberFormat="1" applyFont="1" applyFill="1" applyBorder="1" applyAlignment="1">
      <alignment horizontal="center"/>
    </xf>
    <xf numFmtId="2" fontId="257" fillId="10" borderId="39" xfId="9" applyNumberFormat="1" applyFont="1" applyFill="1" applyBorder="1" applyAlignment="1">
      <alignment horizontal="center"/>
    </xf>
    <xf numFmtId="2" fontId="257" fillId="9" borderId="43" xfId="9" applyNumberFormat="1" applyFont="1" applyFill="1" applyBorder="1" applyAlignment="1">
      <alignment horizontal="center"/>
    </xf>
    <xf numFmtId="2" fontId="257" fillId="9" borderId="37" xfId="9" applyNumberFormat="1" applyFont="1" applyFill="1" applyBorder="1" applyAlignment="1">
      <alignment horizontal="center"/>
    </xf>
    <xf numFmtId="49" fontId="257" fillId="9" borderId="37" xfId="9" applyNumberFormat="1" applyFont="1" applyFill="1" applyBorder="1"/>
    <xf numFmtId="49" fontId="251" fillId="9" borderId="48" xfId="9" applyNumberFormat="1" applyFont="1" applyFill="1" applyBorder="1"/>
    <xf numFmtId="2" fontId="257" fillId="11" borderId="61" xfId="9" applyNumberFormat="1" applyFont="1" applyFill="1" applyBorder="1" applyAlignment="1">
      <alignment horizontal="center"/>
    </xf>
    <xf numFmtId="2" fontId="257" fillId="9" borderId="63" xfId="9" applyNumberFormat="1" applyFont="1" applyFill="1" applyBorder="1" applyAlignment="1">
      <alignment horizontal="center"/>
    </xf>
    <xf numFmtId="2" fontId="257" fillId="9" borderId="38" xfId="9" applyNumberFormat="1" applyFont="1" applyFill="1" applyBorder="1" applyAlignment="1">
      <alignment horizontal="center"/>
    </xf>
    <xf numFmtId="0" fontId="257" fillId="10" borderId="40" xfId="9" applyFont="1" applyFill="1" applyBorder="1" applyAlignment="1">
      <alignment horizontal="center"/>
    </xf>
    <xf numFmtId="49" fontId="257" fillId="10" borderId="41" xfId="9" applyNumberFormat="1" applyFont="1" applyFill="1" applyBorder="1" applyAlignment="1">
      <alignment horizontal="center"/>
    </xf>
    <xf numFmtId="0" fontId="257" fillId="10" borderId="42" xfId="9" applyFont="1" applyFill="1" applyBorder="1" applyAlignment="1">
      <alignment horizontal="center"/>
    </xf>
    <xf numFmtId="49" fontId="257" fillId="9" borderId="43" xfId="9" applyNumberFormat="1" applyFont="1" applyFill="1" applyBorder="1"/>
    <xf numFmtId="49" fontId="251" fillId="9" borderId="48" xfId="9" applyNumberFormat="1" applyFont="1" applyFill="1" applyBorder="1" applyAlignment="1">
      <alignment vertical="center"/>
    </xf>
    <xf numFmtId="2" fontId="257" fillId="9" borderId="49" xfId="9" applyNumberFormat="1" applyFont="1" applyFill="1" applyBorder="1" applyAlignment="1">
      <alignment horizontal="center"/>
    </xf>
    <xf numFmtId="49" fontId="257" fillId="9" borderId="64" xfId="9" applyNumberFormat="1" applyFont="1" applyFill="1" applyBorder="1" applyAlignment="1">
      <alignment horizontal="left"/>
    </xf>
    <xf numFmtId="2" fontId="257" fillId="9" borderId="65" xfId="9" applyNumberFormat="1" applyFont="1" applyFill="1" applyBorder="1" applyAlignment="1">
      <alignment horizontal="center"/>
    </xf>
    <xf numFmtId="1" fontId="259" fillId="9" borderId="37" xfId="9" applyNumberFormat="1" applyFont="1" applyFill="1" applyBorder="1" applyAlignment="1">
      <alignment horizontal="center"/>
    </xf>
    <xf numFmtId="49" fontId="260" fillId="10" borderId="66" xfId="9" applyNumberFormat="1" applyFont="1" applyFill="1" applyBorder="1"/>
    <xf numFmtId="2" fontId="257" fillId="10" borderId="67" xfId="9" applyNumberFormat="1" applyFont="1" applyFill="1" applyBorder="1" applyAlignment="1">
      <alignment horizontal="center"/>
    </xf>
    <xf numFmtId="2" fontId="257" fillId="10" borderId="68" xfId="9" applyNumberFormat="1" applyFont="1" applyFill="1" applyBorder="1" applyAlignment="1">
      <alignment horizontal="center"/>
    </xf>
    <xf numFmtId="49" fontId="260" fillId="10" borderId="61" xfId="9" applyNumberFormat="1" applyFont="1" applyFill="1" applyBorder="1"/>
    <xf numFmtId="2" fontId="257" fillId="10" borderId="0" xfId="9" applyNumberFormat="1" applyFont="1" applyFill="1" applyBorder="1" applyAlignment="1">
      <alignment horizontal="center"/>
    </xf>
    <xf numFmtId="2" fontId="257" fillId="10" borderId="69" xfId="9" applyNumberFormat="1" applyFont="1" applyFill="1" applyBorder="1" applyAlignment="1">
      <alignment horizontal="center"/>
    </xf>
    <xf numFmtId="49" fontId="257" fillId="10" borderId="61" xfId="9" applyNumberFormat="1" applyFont="1" applyFill="1" applyBorder="1" applyAlignment="1">
      <alignment horizontal="center"/>
    </xf>
    <xf numFmtId="0" fontId="232" fillId="10" borderId="61" xfId="9" applyFill="1" applyBorder="1"/>
    <xf numFmtId="0" fontId="232" fillId="10" borderId="0" xfId="9" applyFill="1" applyBorder="1"/>
    <xf numFmtId="0" fontId="232" fillId="10" borderId="69" xfId="9" applyFill="1" applyBorder="1"/>
    <xf numFmtId="2" fontId="257" fillId="10" borderId="61" xfId="9" applyNumberFormat="1" applyFont="1" applyFill="1" applyBorder="1" applyAlignment="1">
      <alignment horizontal="center"/>
    </xf>
    <xf numFmtId="0" fontId="232" fillId="10" borderId="70" xfId="9" applyFill="1" applyBorder="1"/>
    <xf numFmtId="2" fontId="257" fillId="10" borderId="71" xfId="9" applyNumberFormat="1" applyFont="1" applyFill="1" applyBorder="1" applyAlignment="1">
      <alignment horizontal="center"/>
    </xf>
    <xf numFmtId="2" fontId="257" fillId="10" borderId="72" xfId="9" applyNumberFormat="1" applyFont="1" applyFill="1" applyBorder="1" applyAlignment="1">
      <alignment horizontal="center"/>
    </xf>
    <xf numFmtId="2" fontId="257" fillId="9" borderId="47" xfId="9" applyNumberFormat="1" applyFont="1" applyFill="1" applyBorder="1" applyAlignment="1">
      <alignment horizontal="center"/>
    </xf>
    <xf numFmtId="49" fontId="257" fillId="9" borderId="39" xfId="9" applyNumberFormat="1" applyFont="1" applyFill="1" applyBorder="1" applyAlignment="1">
      <alignment horizontal="right"/>
    </xf>
    <xf numFmtId="2" fontId="257" fillId="10" borderId="40" xfId="9" applyNumberFormat="1" applyFont="1" applyFill="1" applyBorder="1" applyAlignment="1">
      <alignment horizontal="center"/>
    </xf>
    <xf numFmtId="2" fontId="257" fillId="10" borderId="42" xfId="9" applyNumberFormat="1" applyFont="1" applyFill="1" applyBorder="1" applyAlignment="1">
      <alignment horizontal="center"/>
    </xf>
    <xf numFmtId="1" fontId="257" fillId="10" borderId="40" xfId="9" applyNumberFormat="1" applyFont="1" applyFill="1" applyBorder="1" applyAlignment="1">
      <alignment horizontal="center"/>
    </xf>
    <xf numFmtId="49" fontId="257" fillId="9" borderId="64" xfId="9" applyNumberFormat="1" applyFont="1" applyFill="1" applyBorder="1" applyAlignment="1">
      <alignment horizontal="center"/>
    </xf>
    <xf numFmtId="49" fontId="257" fillId="10" borderId="66" xfId="9" applyNumberFormat="1" applyFont="1" applyFill="1" applyBorder="1" applyAlignment="1">
      <alignment horizontal="center"/>
    </xf>
    <xf numFmtId="0" fontId="257" fillId="10" borderId="61" xfId="9" applyFont="1" applyFill="1" applyBorder="1" applyAlignment="1">
      <alignment horizontal="center"/>
    </xf>
    <xf numFmtId="49" fontId="257" fillId="10" borderId="0" xfId="9" applyNumberFormat="1" applyFont="1" applyFill="1" applyBorder="1" applyAlignment="1">
      <alignment horizontal="center"/>
    </xf>
    <xf numFmtId="2" fontId="257" fillId="10" borderId="70" xfId="9" applyNumberFormat="1" applyFont="1" applyFill="1" applyBorder="1" applyAlignment="1">
      <alignment horizontal="center"/>
    </xf>
    <xf numFmtId="0" fontId="257" fillId="9" borderId="37" xfId="9" applyFont="1" applyFill="1" applyBorder="1"/>
    <xf numFmtId="49" fontId="245" fillId="9" borderId="73" xfId="9" applyNumberFormat="1" applyFont="1" applyFill="1" applyBorder="1" applyAlignment="1">
      <alignment horizontal="right"/>
    </xf>
    <xf numFmtId="2" fontId="245" fillId="9" borderId="37" xfId="9" applyNumberFormat="1" applyFont="1" applyFill="1" applyBorder="1" applyAlignment="1">
      <alignment horizontal="center"/>
    </xf>
    <xf numFmtId="1" fontId="232" fillId="9" borderId="37" xfId="9" applyNumberFormat="1" applyFill="1" applyBorder="1" applyAlignment="1">
      <alignment horizontal="center"/>
    </xf>
    <xf numFmtId="0" fontId="232" fillId="9" borderId="37" xfId="9" applyFill="1" applyBorder="1" applyAlignment="1">
      <alignment horizontal="center"/>
    </xf>
    <xf numFmtId="49" fontId="245" fillId="9" borderId="37" xfId="9" applyNumberFormat="1" applyFont="1" applyFill="1" applyBorder="1" applyAlignment="1">
      <alignment horizontal="center"/>
    </xf>
    <xf numFmtId="0" fontId="232" fillId="9" borderId="47" xfId="9" applyFill="1" applyBorder="1" applyAlignment="1">
      <alignment horizontal="center"/>
    </xf>
    <xf numFmtId="0" fontId="257" fillId="9" borderId="47" xfId="9" applyFont="1" applyFill="1" applyBorder="1" applyAlignment="1">
      <alignment horizontal="center"/>
    </xf>
    <xf numFmtId="49" fontId="245" fillId="9" borderId="37" xfId="9" applyNumberFormat="1" applyFont="1" applyFill="1" applyBorder="1" applyAlignment="1">
      <alignment horizontal="right"/>
    </xf>
    <xf numFmtId="0" fontId="257" fillId="9" borderId="37" xfId="9" applyFont="1" applyFill="1" applyBorder="1" applyAlignment="1">
      <alignment horizontal="center"/>
    </xf>
    <xf numFmtId="0" fontId="245" fillId="9" borderId="37" xfId="9" applyFont="1" applyFill="1" applyBorder="1" applyAlignment="1">
      <alignment horizontal="center"/>
    </xf>
    <xf numFmtId="0" fontId="257" fillId="9" borderId="50" xfId="9" applyFont="1" applyFill="1" applyBorder="1" applyAlignment="1">
      <alignment horizontal="center"/>
    </xf>
    <xf numFmtId="0" fontId="257" fillId="9" borderId="50" xfId="9" applyFont="1" applyFill="1" applyBorder="1"/>
    <xf numFmtId="49" fontId="251" fillId="9" borderId="55" xfId="9" applyNumberFormat="1" applyFont="1" applyFill="1" applyBorder="1" applyAlignment="1">
      <alignment horizontal="left"/>
    </xf>
    <xf numFmtId="0" fontId="245" fillId="9" borderId="37" xfId="9" applyFont="1" applyFill="1" applyBorder="1"/>
    <xf numFmtId="0" fontId="245" fillId="9" borderId="47" xfId="9" applyFont="1" applyFill="1" applyBorder="1"/>
    <xf numFmtId="0" fontId="264" fillId="9" borderId="47" xfId="9" applyFont="1" applyFill="1" applyBorder="1"/>
    <xf numFmtId="49" fontId="250" fillId="9" borderId="37" xfId="9" applyNumberFormat="1" applyFont="1" applyFill="1" applyBorder="1"/>
    <xf numFmtId="49" fontId="266" fillId="9" borderId="37" xfId="9" applyNumberFormat="1" applyFont="1" applyFill="1" applyBorder="1"/>
    <xf numFmtId="49" fontId="260" fillId="9" borderId="37" xfId="9" applyNumberFormat="1" applyFont="1" applyFill="1" applyBorder="1"/>
    <xf numFmtId="49" fontId="260" fillId="9" borderId="37" xfId="9" applyNumberFormat="1" applyFont="1" applyFill="1" applyBorder="1" applyAlignment="1">
      <alignment horizontal="left"/>
    </xf>
    <xf numFmtId="49" fontId="260" fillId="9" borderId="37" xfId="9" applyNumberFormat="1" applyFont="1" applyFill="1" applyBorder="1" applyAlignment="1">
      <alignment vertical="center"/>
    </xf>
    <xf numFmtId="49" fontId="232" fillId="9" borderId="37" xfId="9" applyNumberFormat="1" applyFill="1" applyBorder="1" applyAlignment="1">
      <alignment vertical="center"/>
    </xf>
    <xf numFmtId="49" fontId="232" fillId="9" borderId="38" xfId="9" applyNumberFormat="1" applyFill="1" applyBorder="1" applyAlignment="1">
      <alignment vertical="center"/>
    </xf>
    <xf numFmtId="49" fontId="260" fillId="10" borderId="40" xfId="9" applyNumberFormat="1" applyFont="1" applyFill="1" applyBorder="1"/>
    <xf numFmtId="0" fontId="232" fillId="0" borderId="0" xfId="9"/>
    <xf numFmtId="0" fontId="107" fillId="0" borderId="0" xfId="4" applyAlignment="1">
      <alignment horizontal="left" vertical="center" indent="3"/>
    </xf>
    <xf numFmtId="0" fontId="111" fillId="0" borderId="0" xfId="4" applyFont="1" applyAlignment="1">
      <alignment horizontal="left" vertical="center" indent="3"/>
    </xf>
    <xf numFmtId="0" fontId="114" fillId="0" borderId="0" xfId="4" applyFont="1" applyAlignment="1">
      <alignment horizontal="left" vertical="center" indent="3"/>
    </xf>
    <xf numFmtId="0" fontId="113" fillId="0" borderId="0" xfId="4" applyFont="1" applyAlignment="1">
      <alignment horizontal="left" vertical="center" indent="3"/>
    </xf>
    <xf numFmtId="0" fontId="107" fillId="0" borderId="74" xfId="4" applyBorder="1" applyAlignment="1">
      <alignment horizontal="right"/>
    </xf>
    <xf numFmtId="0" fontId="107" fillId="6" borderId="75" xfId="4" applyFill="1" applyBorder="1"/>
    <xf numFmtId="0" fontId="107" fillId="6" borderId="76" xfId="4" applyFill="1" applyBorder="1"/>
    <xf numFmtId="0" fontId="110" fillId="6" borderId="76" xfId="4" applyFont="1" applyFill="1" applyBorder="1"/>
    <xf numFmtId="0" fontId="107" fillId="6" borderId="77" xfId="4" applyFill="1" applyBorder="1"/>
    <xf numFmtId="0" fontId="107" fillId="6" borderId="78" xfId="4" applyFill="1" applyBorder="1"/>
    <xf numFmtId="0" fontId="107" fillId="0" borderId="79" xfId="4" applyBorder="1" applyAlignment="1">
      <alignment horizontal="right"/>
    </xf>
    <xf numFmtId="0" fontId="107" fillId="0" borderId="80" xfId="4" applyBorder="1" applyAlignment="1">
      <alignment horizontal="right"/>
    </xf>
    <xf numFmtId="0" fontId="107" fillId="6" borderId="81" xfId="4" applyFill="1" applyBorder="1"/>
    <xf numFmtId="0" fontId="107" fillId="0" borderId="82" xfId="4" applyBorder="1" applyAlignment="1">
      <alignment horizontal="right"/>
    </xf>
    <xf numFmtId="168" fontId="107" fillId="6" borderId="83" xfId="4" applyNumberFormat="1" applyFill="1" applyBorder="1"/>
    <xf numFmtId="0" fontId="107" fillId="6" borderId="83" xfId="4" applyFill="1" applyBorder="1"/>
    <xf numFmtId="0" fontId="110" fillId="6" borderId="83" xfId="4" applyFont="1" applyFill="1" applyBorder="1"/>
    <xf numFmtId="0" fontId="107" fillId="6" borderId="84" xfId="4" applyFill="1" applyBorder="1"/>
    <xf numFmtId="0" fontId="107" fillId="6" borderId="82" xfId="4" applyFill="1" applyBorder="1"/>
    <xf numFmtId="0" fontId="128" fillId="0" borderId="85" xfId="4" applyFont="1" applyBorder="1"/>
    <xf numFmtId="0" fontId="129" fillId="0" borderId="86" xfId="4" applyFont="1" applyBorder="1" applyAlignment="1">
      <alignment horizontal="center" wrapText="1"/>
    </xf>
    <xf numFmtId="0" fontId="130" fillId="0" borderId="86" xfId="4" applyFont="1" applyBorder="1" applyAlignment="1">
      <alignment horizontal="center" wrapText="1"/>
    </xf>
    <xf numFmtId="0" fontId="107" fillId="0" borderId="86" xfId="4" applyBorder="1"/>
    <xf numFmtId="0" fontId="129" fillId="0" borderId="86" xfId="4" applyFont="1" applyBorder="1" applyAlignment="1">
      <alignment horizontal="center"/>
    </xf>
    <xf numFmtId="0" fontId="128" fillId="0" borderId="86" xfId="4" applyFont="1" applyBorder="1"/>
    <xf numFmtId="0" fontId="127" fillId="0" borderId="86" xfId="4" applyFont="1" applyBorder="1"/>
    <xf numFmtId="0" fontId="127" fillId="0" borderId="87" xfId="4" applyFont="1" applyBorder="1"/>
    <xf numFmtId="2" fontId="135" fillId="0" borderId="80" xfId="4" applyNumberFormat="1" applyFont="1" applyBorder="1" applyAlignment="1">
      <alignment horizontal="center"/>
    </xf>
    <xf numFmtId="2" fontId="135" fillId="6" borderId="80" xfId="4" applyNumberFormat="1" applyFont="1" applyFill="1" applyBorder="1" applyAlignment="1">
      <alignment horizontal="center"/>
    </xf>
    <xf numFmtId="2" fontId="135" fillId="0" borderId="82" xfId="4" applyNumberFormat="1" applyFont="1" applyBorder="1" applyAlignment="1">
      <alignment horizontal="center"/>
    </xf>
    <xf numFmtId="2" fontId="135" fillId="6" borderId="82" xfId="4" applyNumberFormat="1" applyFont="1" applyFill="1" applyBorder="1" applyAlignment="1">
      <alignment horizontal="center"/>
    </xf>
    <xf numFmtId="2" fontId="135" fillId="6" borderId="74" xfId="4" applyNumberFormat="1" applyFont="1" applyFill="1" applyBorder="1" applyAlignment="1">
      <alignment horizontal="center"/>
    </xf>
    <xf numFmtId="2" fontId="135" fillId="0" borderId="75" xfId="4" applyNumberFormat="1" applyFont="1" applyBorder="1" applyAlignment="1">
      <alignment horizontal="center"/>
    </xf>
    <xf numFmtId="2" fontId="135" fillId="6" borderId="75" xfId="4" applyNumberFormat="1" applyFont="1" applyFill="1" applyBorder="1" applyAlignment="1">
      <alignment horizontal="center"/>
    </xf>
    <xf numFmtId="2" fontId="135" fillId="6" borderId="76" xfId="4" applyNumberFormat="1" applyFont="1" applyFill="1" applyBorder="1" applyAlignment="1">
      <alignment horizontal="center"/>
    </xf>
    <xf numFmtId="2" fontId="135" fillId="6" borderId="77" xfId="4" applyNumberFormat="1" applyFont="1" applyFill="1" applyBorder="1" applyAlignment="1">
      <alignment horizontal="center"/>
    </xf>
    <xf numFmtId="2" fontId="135" fillId="0" borderId="88" xfId="4" applyNumberFormat="1" applyFont="1" applyBorder="1" applyAlignment="1">
      <alignment horizontal="left"/>
    </xf>
    <xf numFmtId="2" fontId="135" fillId="0" borderId="89" xfId="4" applyNumberFormat="1" applyFont="1" applyBorder="1" applyAlignment="1">
      <alignment horizontal="center"/>
    </xf>
    <xf numFmtId="2" fontId="135" fillId="0" borderId="90" xfId="4" applyNumberFormat="1" applyFont="1" applyBorder="1" applyAlignment="1">
      <alignment horizontal="center"/>
    </xf>
    <xf numFmtId="2" fontId="135" fillId="6" borderId="88" xfId="4" applyNumberFormat="1" applyFont="1" applyFill="1" applyBorder="1" applyAlignment="1">
      <alignment horizontal="center"/>
    </xf>
    <xf numFmtId="2" fontId="135" fillId="6" borderId="89" xfId="4" applyNumberFormat="1" applyFont="1" applyFill="1" applyBorder="1" applyAlignment="1">
      <alignment horizontal="center"/>
    </xf>
    <xf numFmtId="2" fontId="135" fillId="6" borderId="90" xfId="4" applyNumberFormat="1" applyFont="1" applyFill="1" applyBorder="1" applyAlignment="1">
      <alignment horizontal="center"/>
    </xf>
    <xf numFmtId="2" fontId="135" fillId="6" borderId="91" xfId="4" applyNumberFormat="1" applyFont="1" applyFill="1" applyBorder="1" applyAlignment="1">
      <alignment horizontal="center"/>
    </xf>
    <xf numFmtId="2" fontId="135" fillId="6" borderId="78" xfId="4" applyNumberFormat="1" applyFont="1" applyFill="1" applyBorder="1" applyAlignment="1">
      <alignment horizontal="center"/>
    </xf>
    <xf numFmtId="0" fontId="107" fillId="6" borderId="91" xfId="4" applyFill="1" applyBorder="1"/>
    <xf numFmtId="0" fontId="133" fillId="0" borderId="91" xfId="4" applyFont="1" applyBorder="1"/>
    <xf numFmtId="2" fontId="135" fillId="6" borderId="83" xfId="4" applyNumberFormat="1" applyFont="1" applyFill="1" applyBorder="1" applyAlignment="1">
      <alignment horizontal="center"/>
    </xf>
    <xf numFmtId="2" fontId="135" fillId="6" borderId="84" xfId="4" applyNumberFormat="1" applyFont="1" applyFill="1" applyBorder="1" applyAlignment="1">
      <alignment horizontal="center"/>
    </xf>
    <xf numFmtId="2" fontId="135" fillId="0" borderId="75" xfId="4" applyNumberFormat="1" applyFont="1" applyBorder="1" applyAlignment="1">
      <alignment horizontal="right"/>
    </xf>
    <xf numFmtId="1" fontId="135" fillId="6" borderId="75" xfId="4" applyNumberFormat="1" applyFont="1" applyFill="1" applyBorder="1" applyAlignment="1">
      <alignment horizontal="center"/>
    </xf>
    <xf numFmtId="2" fontId="135" fillId="0" borderId="88" xfId="4" applyNumberFormat="1" applyFont="1" applyBorder="1" applyAlignment="1">
      <alignment horizontal="center"/>
    </xf>
    <xf numFmtId="2" fontId="135" fillId="6" borderId="81" xfId="4" applyNumberFormat="1" applyFont="1" applyFill="1" applyBorder="1" applyAlignment="1">
      <alignment horizontal="center"/>
    </xf>
    <xf numFmtId="2" fontId="2" fillId="6" borderId="88" xfId="4" applyNumberFormat="1" applyFont="1" applyFill="1" applyBorder="1" applyAlignment="1">
      <alignment horizontal="center"/>
    </xf>
    <xf numFmtId="0" fontId="0" fillId="0" borderId="74" xfId="0" applyBorder="1" applyAlignment="1">
      <alignment horizontal="right"/>
    </xf>
    <xf numFmtId="0" fontId="0" fillId="2" borderId="75" xfId="0" applyFill="1" applyBorder="1"/>
    <xf numFmtId="0" fontId="0" fillId="2" borderId="76" xfId="0" applyFill="1" applyBorder="1"/>
    <xf numFmtId="0" fontId="17" fillId="2" borderId="76" xfId="0" applyFont="1" applyFill="1" applyBorder="1"/>
    <xf numFmtId="0" fontId="0" fillId="2" borderId="77" xfId="0" applyFill="1" applyBorder="1"/>
    <xf numFmtId="0" fontId="0" fillId="2" borderId="78" xfId="0" applyFill="1" applyBorder="1"/>
    <xf numFmtId="0" fontId="0" fillId="0" borderId="79" xfId="0" applyBorder="1" applyAlignment="1">
      <alignment horizontal="right"/>
    </xf>
    <xf numFmtId="0" fontId="0" fillId="0" borderId="80" xfId="0" applyBorder="1" applyAlignment="1">
      <alignment horizontal="right"/>
    </xf>
    <xf numFmtId="0" fontId="0" fillId="2" borderId="81" xfId="0" applyFill="1" applyBorder="1"/>
    <xf numFmtId="0" fontId="52" fillId="2" borderId="75" xfId="1" applyFill="1" applyBorder="1"/>
    <xf numFmtId="0" fontId="0" fillId="0" borderId="82" xfId="0" applyBorder="1" applyAlignment="1">
      <alignment horizontal="right"/>
    </xf>
    <xf numFmtId="0" fontId="0" fillId="2" borderId="83" xfId="0" applyFill="1" applyBorder="1"/>
    <xf numFmtId="0" fontId="17" fillId="2" borderId="83" xfId="0" applyFont="1" applyFill="1" applyBorder="1"/>
    <xf numFmtId="0" fontId="0" fillId="2" borderId="84" xfId="0" applyFill="1" applyBorder="1"/>
    <xf numFmtId="0" fontId="0" fillId="2" borderId="82" xfId="0" applyFill="1" applyBorder="1"/>
    <xf numFmtId="0" fontId="11" fillId="0" borderId="85" xfId="0" applyFont="1" applyBorder="1"/>
    <xf numFmtId="0" fontId="10" fillId="0" borderId="86" xfId="0" applyFont="1" applyBorder="1" applyAlignment="1">
      <alignment horizontal="center" wrapText="1"/>
    </xf>
    <xf numFmtId="0" fontId="0" fillId="0" borderId="86" xfId="0" applyBorder="1"/>
    <xf numFmtId="0" fontId="10" fillId="0" borderId="86" xfId="0" applyFont="1" applyBorder="1" applyAlignment="1">
      <alignment horizontal="center"/>
    </xf>
    <xf numFmtId="0" fontId="15" fillId="0" borderId="86" xfId="0" applyFont="1" applyBorder="1"/>
    <xf numFmtId="0" fontId="16" fillId="0" borderId="86" xfId="0" applyFont="1" applyBorder="1"/>
    <xf numFmtId="0" fontId="16" fillId="0" borderId="87" xfId="0" applyFont="1" applyBorder="1"/>
    <xf numFmtId="2" fontId="8" fillId="2" borderId="80" xfId="0" applyNumberFormat="1" applyFont="1" applyFill="1" applyBorder="1" applyAlignment="1">
      <alignment horizontal="center"/>
    </xf>
    <xf numFmtId="2" fontId="7" fillId="0" borderId="80" xfId="0" applyNumberFormat="1" applyFont="1" applyBorder="1" applyAlignment="1">
      <alignment horizontal="center"/>
    </xf>
    <xf numFmtId="2" fontId="7" fillId="2" borderId="80" xfId="0" applyNumberFormat="1" applyFont="1" applyFill="1" applyBorder="1" applyAlignment="1">
      <alignment horizontal="center"/>
    </xf>
    <xf numFmtId="169" fontId="0" fillId="0" borderId="0" xfId="0" applyNumberFormat="1"/>
    <xf numFmtId="2" fontId="8" fillId="2" borderId="82" xfId="0" applyNumberFormat="1" applyFont="1" applyFill="1" applyBorder="1" applyAlignment="1">
      <alignment horizontal="center"/>
    </xf>
    <xf numFmtId="2" fontId="7" fillId="0" borderId="82" xfId="0" applyNumberFormat="1" applyFont="1" applyBorder="1" applyAlignment="1">
      <alignment horizontal="center"/>
    </xf>
    <xf numFmtId="2" fontId="7" fillId="2" borderId="82" xfId="0" applyNumberFormat="1" applyFont="1" applyFill="1" applyBorder="1" applyAlignment="1">
      <alignment horizontal="center"/>
    </xf>
    <xf numFmtId="2" fontId="7" fillId="2" borderId="74" xfId="0" applyNumberFormat="1" applyFont="1" applyFill="1" applyBorder="1" applyAlignment="1">
      <alignment horizontal="center"/>
    </xf>
    <xf numFmtId="2" fontId="7" fillId="0" borderId="75" xfId="0" applyNumberFormat="1" applyFont="1" applyBorder="1" applyAlignment="1">
      <alignment horizontal="center"/>
    </xf>
    <xf numFmtId="2" fontId="7" fillId="2" borderId="75" xfId="0" applyNumberFormat="1" applyFont="1" applyFill="1" applyBorder="1" applyAlignment="1">
      <alignment horizontal="left"/>
    </xf>
    <xf numFmtId="2" fontId="7" fillId="2" borderId="76" xfId="0" applyNumberFormat="1" applyFont="1" applyFill="1" applyBorder="1" applyAlignment="1">
      <alignment horizontal="center"/>
    </xf>
    <xf numFmtId="2" fontId="7" fillId="2" borderId="77" xfId="0" applyNumberFormat="1" applyFont="1" applyFill="1" applyBorder="1" applyAlignment="1">
      <alignment horizontal="center"/>
    </xf>
    <xf numFmtId="2" fontId="7" fillId="0" borderId="88" xfId="0" applyNumberFormat="1" applyFont="1" applyBorder="1" applyAlignment="1">
      <alignment horizontal="left"/>
    </xf>
    <xf numFmtId="2" fontId="7" fillId="0" borderId="89" xfId="0" applyNumberFormat="1" applyFont="1" applyBorder="1" applyAlignment="1">
      <alignment horizontal="center"/>
    </xf>
    <xf numFmtId="2" fontId="7" fillId="0" borderId="90" xfId="0" applyNumberFormat="1" applyFont="1" applyBorder="1" applyAlignment="1">
      <alignment horizontal="center"/>
    </xf>
    <xf numFmtId="2" fontId="3" fillId="2" borderId="82" xfId="0" applyNumberFormat="1" applyFont="1" applyFill="1" applyBorder="1" applyAlignment="1">
      <alignment horizontal="center"/>
    </xf>
    <xf numFmtId="2" fontId="271" fillId="2" borderId="88" xfId="0" applyNumberFormat="1" applyFont="1" applyFill="1" applyBorder="1" applyAlignment="1">
      <alignment horizontal="left"/>
    </xf>
    <xf numFmtId="2" fontId="7" fillId="2" borderId="89" xfId="0" applyNumberFormat="1" applyFont="1" applyFill="1" applyBorder="1" applyAlignment="1">
      <alignment horizontal="center"/>
    </xf>
    <xf numFmtId="2" fontId="7" fillId="2" borderId="90" xfId="0" applyNumberFormat="1" applyFont="1" applyFill="1" applyBorder="1" applyAlignment="1">
      <alignment horizontal="center"/>
    </xf>
    <xf numFmtId="1" fontId="271" fillId="2" borderId="91" xfId="0" applyNumberFormat="1" applyFont="1" applyFill="1" applyBorder="1" applyAlignment="1">
      <alignment horizontal="left"/>
    </xf>
    <xf numFmtId="2" fontId="7" fillId="2" borderId="78" xfId="0" applyNumberFormat="1" applyFont="1" applyFill="1" applyBorder="1" applyAlignment="1">
      <alignment horizontal="center"/>
    </xf>
    <xf numFmtId="2" fontId="271" fillId="2" borderId="91" xfId="0" applyNumberFormat="1" applyFont="1" applyFill="1" applyBorder="1" applyAlignment="1">
      <alignment horizontal="left"/>
    </xf>
    <xf numFmtId="0" fontId="271" fillId="2" borderId="91" xfId="0" applyFont="1" applyFill="1" applyBorder="1" applyAlignment="1">
      <alignment horizontal="left"/>
    </xf>
    <xf numFmtId="0" fontId="271" fillId="2" borderId="91" xfId="0" applyFont="1" applyFill="1" applyBorder="1"/>
    <xf numFmtId="0" fontId="8" fillId="0" borderId="91" xfId="0" applyFont="1" applyBorder="1"/>
    <xf numFmtId="0" fontId="0" fillId="2" borderId="91" xfId="0" applyFill="1" applyBorder="1"/>
    <xf numFmtId="2" fontId="7" fillId="2" borderId="91" xfId="0" applyNumberFormat="1" applyFont="1" applyFill="1" applyBorder="1" applyAlignment="1">
      <alignment horizontal="center"/>
    </xf>
    <xf numFmtId="2" fontId="7" fillId="2" borderId="83" xfId="0" applyNumberFormat="1" applyFont="1" applyFill="1" applyBorder="1" applyAlignment="1">
      <alignment horizontal="center"/>
    </xf>
    <xf numFmtId="2" fontId="7" fillId="2" borderId="84" xfId="0" applyNumberFormat="1" applyFont="1" applyFill="1" applyBorder="1" applyAlignment="1">
      <alignment horizontal="center"/>
    </xf>
    <xf numFmtId="2" fontId="7" fillId="0" borderId="75" xfId="0" applyNumberFormat="1" applyFont="1" applyBorder="1" applyAlignment="1">
      <alignment horizontal="right"/>
    </xf>
    <xf numFmtId="1" fontId="7" fillId="2" borderId="75" xfId="0" applyNumberFormat="1" applyFont="1" applyFill="1" applyBorder="1" applyAlignment="1">
      <alignment horizontal="center"/>
    </xf>
    <xf numFmtId="2" fontId="7" fillId="0" borderId="88" xfId="0" applyNumberFormat="1" applyFont="1" applyBorder="1" applyAlignment="1">
      <alignment horizontal="center"/>
    </xf>
    <xf numFmtId="2" fontId="7" fillId="2" borderId="88" xfId="0" applyNumberFormat="1" applyFont="1" applyFill="1" applyBorder="1" applyAlignment="1">
      <alignment horizontal="left"/>
    </xf>
    <xf numFmtId="2" fontId="7" fillId="2" borderId="91" xfId="0" applyNumberFormat="1" applyFont="1" applyFill="1" applyBorder="1" applyAlignment="1">
      <alignment horizontal="left"/>
    </xf>
    <xf numFmtId="2" fontId="7" fillId="2" borderId="81" xfId="0" applyNumberFormat="1" applyFont="1" applyFill="1" applyBorder="1" applyAlignment="1">
      <alignment horizontal="center"/>
    </xf>
    <xf numFmtId="2" fontId="7" fillId="2" borderId="75" xfId="0" applyNumberFormat="1" applyFont="1" applyFill="1" applyBorder="1" applyAlignment="1">
      <alignment horizontal="center"/>
    </xf>
    <xf numFmtId="0" fontId="0" fillId="0" borderId="92" xfId="0" applyBorder="1" applyAlignment="1">
      <alignment vertical="center"/>
    </xf>
    <xf numFmtId="0" fontId="0" fillId="0" borderId="92" xfId="0" applyBorder="1" applyAlignment="1">
      <alignment horizontal="center" vertical="center"/>
    </xf>
    <xf numFmtId="0" fontId="0" fillId="0" borderId="92" xfId="0" applyBorder="1" applyAlignment="1">
      <alignment horizontal="center" vertical="center" wrapText="1"/>
    </xf>
    <xf numFmtId="0" fontId="271" fillId="0" borderId="93" xfId="0" applyFont="1" applyBorder="1" applyAlignment="1">
      <alignment vertical="center"/>
    </xf>
    <xf numFmtId="0" fontId="271" fillId="0" borderId="93" xfId="0" applyFont="1" applyBorder="1" applyAlignment="1">
      <alignment horizontal="center" vertical="center"/>
    </xf>
    <xf numFmtId="0" fontId="271" fillId="0" borderId="0" xfId="0" applyFont="1" applyAlignment="1">
      <alignment horizontal="center" vertical="center"/>
    </xf>
    <xf numFmtId="0" fontId="271" fillId="0" borderId="0" xfId="0" applyFont="1" applyAlignment="1">
      <alignment vertical="center"/>
    </xf>
    <xf numFmtId="0" fontId="271" fillId="0" borderId="92" xfId="0" applyFont="1" applyBorder="1" applyAlignment="1">
      <alignment vertical="center"/>
    </xf>
    <xf numFmtId="0" fontId="271" fillId="0" borderId="92" xfId="0" applyFont="1" applyBorder="1" applyAlignment="1">
      <alignment horizontal="center" vertical="center"/>
    </xf>
    <xf numFmtId="0" fontId="271" fillId="0" borderId="0" xfId="0" applyFont="1" applyAlignment="1">
      <alignment horizontal="right" vertical="center"/>
    </xf>
    <xf numFmtId="0" fontId="0" fillId="0" borderId="93" xfId="0" applyBorder="1"/>
    <xf numFmtId="0" fontId="273" fillId="0" borderId="0" xfId="0" applyFont="1" applyAlignment="1">
      <alignment vertical="center"/>
    </xf>
    <xf numFmtId="0" fontId="273" fillId="0" borderId="0" xfId="0" applyFont="1" applyAlignment="1">
      <alignment horizontal="center" vertical="center"/>
    </xf>
    <xf numFmtId="0" fontId="0" fillId="0" borderId="0" xfId="0" applyAlignment="1">
      <alignment horizontal="center" vertical="center"/>
    </xf>
    <xf numFmtId="2" fontId="7" fillId="2" borderId="0" xfId="0" applyNumberFormat="1" applyFont="1" applyFill="1" applyAlignment="1">
      <alignment horizontal="center" wrapText="1"/>
    </xf>
    <xf numFmtId="2" fontId="7" fillId="2" borderId="5" xfId="0" applyNumberFormat="1" applyFont="1" applyFill="1" applyBorder="1" applyAlignment="1">
      <alignment horizontal="left"/>
    </xf>
    <xf numFmtId="2" fontId="7" fillId="2" borderId="0" xfId="0" applyNumberFormat="1" applyFont="1" applyFill="1" applyAlignment="1">
      <alignment horizontal="left"/>
    </xf>
    <xf numFmtId="2" fontId="7" fillId="2" borderId="6" xfId="0" applyNumberFormat="1" applyFont="1" applyFill="1" applyBorder="1" applyAlignment="1">
      <alignment horizontal="left"/>
    </xf>
    <xf numFmtId="2" fontId="7" fillId="2" borderId="3" xfId="0" applyNumberFormat="1" applyFont="1" applyFill="1" applyBorder="1" applyAlignment="1">
      <alignment horizontal="center" wrapText="1"/>
    </xf>
    <xf numFmtId="2" fontId="7" fillId="2" borderId="9" xfId="0" applyNumberFormat="1" applyFont="1" applyFill="1" applyBorder="1" applyAlignment="1">
      <alignment horizontal="center" wrapText="1"/>
    </xf>
    <xf numFmtId="2" fontId="7" fillId="2" borderId="4" xfId="0" applyNumberFormat="1" applyFont="1" applyFill="1" applyBorder="1" applyAlignment="1">
      <alignment horizontal="center" wrapText="1"/>
    </xf>
    <xf numFmtId="2" fontId="7" fillId="2" borderId="5" xfId="0" applyNumberFormat="1" applyFont="1" applyFill="1" applyBorder="1" applyAlignment="1">
      <alignment horizontal="center" wrapText="1"/>
    </xf>
    <xf numFmtId="2" fontId="7" fillId="2" borderId="6" xfId="0" applyNumberFormat="1" applyFont="1" applyFill="1" applyBorder="1" applyAlignment="1">
      <alignment horizontal="center" wrapText="1"/>
    </xf>
    <xf numFmtId="2" fontId="7" fillId="2" borderId="10" xfId="0" applyNumberFormat="1" applyFont="1" applyFill="1" applyBorder="1" applyAlignment="1">
      <alignment horizontal="left"/>
    </xf>
    <xf numFmtId="2" fontId="7" fillId="2" borderId="13" xfId="0" applyNumberFormat="1" applyFont="1" applyFill="1" applyBorder="1" applyAlignment="1">
      <alignment horizontal="left"/>
    </xf>
    <xf numFmtId="2" fontId="7" fillId="2" borderId="3" xfId="0" applyNumberFormat="1" applyFont="1" applyFill="1" applyBorder="1" applyAlignment="1">
      <alignment horizontal="left"/>
    </xf>
    <xf numFmtId="2" fontId="7" fillId="2" borderId="9" xfId="0" applyNumberFormat="1" applyFont="1" applyFill="1" applyBorder="1" applyAlignment="1">
      <alignment horizontal="left"/>
    </xf>
    <xf numFmtId="2" fontId="7" fillId="2" borderId="4" xfId="0" applyNumberFormat="1" applyFont="1" applyFill="1" applyBorder="1" applyAlignment="1">
      <alignment horizontal="left"/>
    </xf>
    <xf numFmtId="2" fontId="135" fillId="6" borderId="5" xfId="4" applyNumberFormat="1" applyFont="1" applyFill="1" applyBorder="1" applyAlignment="1">
      <alignment horizontal="left" vertical="center" wrapText="1"/>
    </xf>
    <xf numFmtId="2" fontId="135" fillId="6" borderId="3" xfId="4" applyNumberFormat="1" applyFont="1" applyFill="1" applyBorder="1" applyAlignment="1">
      <alignment horizontal="left" vertical="center"/>
    </xf>
    <xf numFmtId="1" fontId="7" fillId="2" borderId="10" xfId="0" applyNumberFormat="1" applyFont="1" applyFill="1" applyBorder="1" applyAlignment="1">
      <alignment horizontal="center"/>
    </xf>
    <xf numFmtId="1" fontId="7" fillId="2" borderId="13" xfId="0" applyNumberFormat="1" applyFont="1" applyFill="1" applyBorder="1" applyAlignment="1">
      <alignment horizontal="center"/>
    </xf>
    <xf numFmtId="2" fontId="7" fillId="2" borderId="10" xfId="0" applyNumberFormat="1" applyFont="1" applyFill="1" applyBorder="1" applyAlignment="1">
      <alignment horizontal="center"/>
    </xf>
    <xf numFmtId="2" fontId="7" fillId="2" borderId="13" xfId="0" applyNumberFormat="1" applyFont="1" applyFill="1" applyBorder="1" applyAlignment="1">
      <alignment horizontal="center"/>
    </xf>
    <xf numFmtId="2" fontId="7" fillId="2" borderId="5" xfId="0" applyNumberFormat="1" applyFont="1" applyFill="1" applyBorder="1" applyAlignment="1">
      <alignment horizontal="center"/>
    </xf>
    <xf numFmtId="2" fontId="7" fillId="2" borderId="0" xfId="0" applyNumberFormat="1" applyFont="1" applyFill="1" applyAlignment="1">
      <alignment horizontal="center"/>
    </xf>
    <xf numFmtId="0" fontId="151" fillId="2" borderId="5" xfId="6" applyFill="1" applyBorder="1" applyAlignment="1">
      <alignment horizontal="center" wrapText="1"/>
    </xf>
    <xf numFmtId="0" fontId="151" fillId="2" borderId="0" xfId="6" applyFill="1" applyAlignment="1">
      <alignment horizontal="center" wrapText="1"/>
    </xf>
    <xf numFmtId="0" fontId="151" fillId="2" borderId="6" xfId="6" applyFill="1" applyBorder="1" applyAlignment="1">
      <alignment horizontal="center" wrapText="1"/>
    </xf>
    <xf numFmtId="2" fontId="178" fillId="2" borderId="3" xfId="6" applyNumberFormat="1" applyFont="1" applyFill="1" applyBorder="1" applyAlignment="1">
      <alignment horizontal="center" wrapText="1"/>
    </xf>
    <xf numFmtId="2" fontId="178" fillId="2" borderId="9" xfId="6" applyNumberFormat="1" applyFont="1" applyFill="1" applyBorder="1" applyAlignment="1">
      <alignment horizontal="center" wrapText="1"/>
    </xf>
    <xf numFmtId="2" fontId="178" fillId="2" borderId="4" xfId="6" applyNumberFormat="1" applyFont="1" applyFill="1" applyBorder="1" applyAlignment="1">
      <alignment horizontal="center" wrapText="1"/>
    </xf>
    <xf numFmtId="2" fontId="178" fillId="2" borderId="5" xfId="6" applyNumberFormat="1" applyFont="1" applyFill="1" applyBorder="1" applyAlignment="1">
      <alignment horizontal="center" wrapText="1"/>
    </xf>
    <xf numFmtId="2" fontId="178" fillId="2" borderId="0" xfId="6" applyNumberFormat="1" applyFont="1" applyFill="1" applyAlignment="1">
      <alignment horizontal="center" wrapText="1"/>
    </xf>
    <xf numFmtId="2" fontId="178" fillId="2" borderId="6" xfId="6" applyNumberFormat="1" applyFont="1" applyFill="1" applyBorder="1" applyAlignment="1">
      <alignment horizontal="center" wrapText="1"/>
    </xf>
    <xf numFmtId="2" fontId="178" fillId="2" borderId="7" xfId="6" applyNumberFormat="1" applyFont="1" applyFill="1" applyBorder="1" applyAlignment="1">
      <alignment horizontal="center" wrapText="1"/>
    </xf>
    <xf numFmtId="2" fontId="178" fillId="2" borderId="1" xfId="6" applyNumberFormat="1" applyFont="1" applyFill="1" applyBorder="1" applyAlignment="1">
      <alignment horizontal="center" wrapText="1"/>
    </xf>
    <xf numFmtId="2" fontId="178" fillId="2" borderId="8" xfId="6" applyNumberFormat="1" applyFont="1" applyFill="1" applyBorder="1" applyAlignment="1">
      <alignment horizontal="center" wrapText="1"/>
    </xf>
    <xf numFmtId="2" fontId="178" fillId="2" borderId="10" xfId="6" applyNumberFormat="1" applyFont="1" applyFill="1" applyBorder="1" applyAlignment="1">
      <alignment horizontal="center" wrapText="1"/>
    </xf>
    <xf numFmtId="2" fontId="178" fillId="2" borderId="12" xfId="6" applyNumberFormat="1" applyFont="1" applyFill="1" applyBorder="1" applyAlignment="1">
      <alignment horizontal="center" wrapText="1"/>
    </xf>
    <xf numFmtId="2" fontId="178" fillId="2" borderId="13" xfId="6" applyNumberFormat="1" applyFont="1" applyFill="1" applyBorder="1" applyAlignment="1">
      <alignment horizontal="center" wrapText="1"/>
    </xf>
    <xf numFmtId="2" fontId="178" fillId="2" borderId="3" xfId="6" applyNumberFormat="1" applyFont="1" applyFill="1" applyBorder="1" applyAlignment="1">
      <alignment horizontal="center" vertical="center" wrapText="1"/>
    </xf>
    <xf numFmtId="2" fontId="178" fillId="2" borderId="9" xfId="6" applyNumberFormat="1" applyFont="1" applyFill="1" applyBorder="1" applyAlignment="1">
      <alignment horizontal="center" vertical="center" wrapText="1"/>
    </xf>
    <xf numFmtId="2" fontId="178" fillId="2" borderId="4" xfId="6" applyNumberFormat="1" applyFont="1" applyFill="1" applyBorder="1" applyAlignment="1">
      <alignment horizontal="center" vertical="center" wrapText="1"/>
    </xf>
    <xf numFmtId="2" fontId="178" fillId="2" borderId="5" xfId="6" applyNumberFormat="1" applyFont="1" applyFill="1" applyBorder="1" applyAlignment="1">
      <alignment horizontal="center" vertical="center" wrapText="1"/>
    </xf>
    <xf numFmtId="2" fontId="178" fillId="2" borderId="0" xfId="6" applyNumberFormat="1" applyFont="1" applyFill="1" applyAlignment="1">
      <alignment horizontal="center" vertical="center" wrapText="1"/>
    </xf>
    <xf numFmtId="2" fontId="178" fillId="2" borderId="6" xfId="6" applyNumberFormat="1" applyFont="1" applyFill="1" applyBorder="1" applyAlignment="1">
      <alignment horizontal="center" vertical="center" wrapText="1"/>
    </xf>
    <xf numFmtId="2" fontId="178" fillId="2" borderId="7" xfId="6" applyNumberFormat="1" applyFont="1" applyFill="1" applyBorder="1" applyAlignment="1">
      <alignment horizontal="center" vertical="center" wrapText="1"/>
    </xf>
    <xf numFmtId="2" fontId="178" fillId="2" borderId="1" xfId="6" applyNumberFormat="1" applyFont="1" applyFill="1" applyBorder="1" applyAlignment="1">
      <alignment horizontal="center" vertical="center" wrapText="1"/>
    </xf>
    <xf numFmtId="2" fontId="178" fillId="2" borderId="8" xfId="6" applyNumberFormat="1" applyFont="1" applyFill="1" applyBorder="1" applyAlignment="1">
      <alignment horizontal="center" vertical="center" wrapText="1"/>
    </xf>
    <xf numFmtId="2" fontId="7" fillId="2" borderId="3" xfId="0" applyNumberFormat="1" applyFont="1" applyFill="1" applyBorder="1" applyAlignment="1">
      <alignment horizontal="left" vertical="top" wrapText="1"/>
    </xf>
    <xf numFmtId="2" fontId="7" fillId="2" borderId="9" xfId="0" applyNumberFormat="1" applyFont="1" applyFill="1" applyBorder="1" applyAlignment="1">
      <alignment horizontal="left" vertical="top"/>
    </xf>
    <xf numFmtId="2" fontId="7" fillId="2" borderId="4" xfId="0" applyNumberFormat="1" applyFont="1" applyFill="1" applyBorder="1" applyAlignment="1">
      <alignment horizontal="left" vertical="top"/>
    </xf>
    <xf numFmtId="2" fontId="7" fillId="2" borderId="5" xfId="0" applyNumberFormat="1" applyFont="1" applyFill="1" applyBorder="1" applyAlignment="1">
      <alignment horizontal="left" vertical="top"/>
    </xf>
    <xf numFmtId="2" fontId="7" fillId="2" borderId="0" xfId="0" applyNumberFormat="1" applyFont="1" applyFill="1" applyAlignment="1">
      <alignment horizontal="left" vertical="top"/>
    </xf>
    <xf numFmtId="2" fontId="7" fillId="2" borderId="6" xfId="0" applyNumberFormat="1" applyFont="1" applyFill="1" applyBorder="1" applyAlignment="1">
      <alignment horizontal="left" vertical="top"/>
    </xf>
    <xf numFmtId="2" fontId="7" fillId="2" borderId="7" xfId="0" applyNumberFormat="1" applyFont="1" applyFill="1" applyBorder="1" applyAlignment="1">
      <alignment horizontal="left" vertical="top"/>
    </xf>
    <xf numFmtId="2" fontId="7" fillId="2" borderId="1" xfId="0" applyNumberFormat="1" applyFont="1" applyFill="1" applyBorder="1" applyAlignment="1">
      <alignment horizontal="left" vertical="top"/>
    </xf>
    <xf numFmtId="2" fontId="7" fillId="2" borderId="8" xfId="0" applyNumberFormat="1" applyFont="1" applyFill="1" applyBorder="1" applyAlignment="1">
      <alignment horizontal="left" vertical="top"/>
    </xf>
  </cellXfs>
  <cellStyles count="10">
    <cellStyle name="Hyperlink" xfId="1" builtinId="8"/>
    <cellStyle name="Hyperlink 2" xfId="5" xr:uid="{EAD74036-FA26-4914-BCA4-C29FA32E8A22}"/>
    <cellStyle name="Hyperlink 3" xfId="7" xr:uid="{AF0F853A-8AC8-4E90-B254-02C94B586564}"/>
    <cellStyle name="Normal" xfId="0" builtinId="0"/>
    <cellStyle name="Normal 2" xfId="2" xr:uid="{01A0C4F8-A687-46AF-9233-A90659B9FEB2}"/>
    <cellStyle name="Normal 3" xfId="3" xr:uid="{35F7A80E-1188-4A94-9AEA-F4A5C5D701DF}"/>
    <cellStyle name="Normal 4" xfId="4" xr:uid="{8BA8ACB0-4D92-40D0-BBC3-B5C192B8812E}"/>
    <cellStyle name="Normal 5" xfId="6" xr:uid="{B88A36FE-5F96-4024-93A5-AA3F60E9C87A}"/>
    <cellStyle name="Normal 6" xfId="8" xr:uid="{F54FB2DE-8E0D-4B1F-AC21-9B58FD66921F}"/>
    <cellStyle name="Normal 7" xfId="9" xr:uid="{42404C09-C63B-40C3-B198-CF83A6B2B36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Sol-challenge2-models" connectionId="1" xr16:uid="{19183E4F-C169-4C24-9975-173B38147274}" autoFormatId="16" applyNumberFormats="0" applyBorderFormats="0" applyFontFormats="0" applyPatternFormats="0"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Sol-challenge2-models" connectionId="3" xr16:uid="{7C962BE1-07B3-42B7-87CD-8DC050659FA3}" autoFormatId="16" applyNumberFormats="0" applyBorderFormats="0" applyFontFormats="0" applyPatternFormats="0"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Sol-challenge2-models_1" connectionId="2" xr16:uid="{BF01EC9D-0CAB-4D50-AB22-A8102EC9BCCA}" autoFormatId="16" applyNumberFormats="0" applyBorderFormats="0" applyFontFormats="0" applyPatternFormats="0" applyAlignmentFormats="0" applyWidthHeightFormats="0"/>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queryTable" Target="../queryTables/query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queryTable" Target="../queryTables/queryTable3.xml"/><Relationship Id="rId2" Type="http://schemas.openxmlformats.org/officeDocument/2006/relationships/queryTable" Target="../queryTables/queryTable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hyperlink" Target="https://ochem.eu/"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pubs.acs.org/doi/10.1021/ci034243x" TargetMode="External"/><Relationship Id="rId2" Type="http://schemas.openxmlformats.org/officeDocument/2006/relationships/hyperlink" Target="https://pubs.acs.org/doi/10.1021/ci000392t" TargetMode="External"/><Relationship Id="rId1" Type="http://schemas.openxmlformats.org/officeDocument/2006/relationships/hyperlink" Target="https://pubs.acs.org/doi/10.1021/ci700307p" TargetMode="External"/><Relationship Id="rId4"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3" Type="http://schemas.openxmlformats.org/officeDocument/2006/relationships/hyperlink" Target="https://pubs.acs.org/doi/10.1021/ci034243x" TargetMode="External"/><Relationship Id="rId2" Type="http://schemas.openxmlformats.org/officeDocument/2006/relationships/hyperlink" Target="https://pubs.acs.org/doi/10.1021/ci000392t" TargetMode="External"/><Relationship Id="rId1" Type="http://schemas.openxmlformats.org/officeDocument/2006/relationships/hyperlink" Target="https://pubs.acs.org/doi/10.1021/ci700307p" TargetMode="External"/><Relationship Id="rId4"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3" Type="http://schemas.openxmlformats.org/officeDocument/2006/relationships/hyperlink" Target="https://pubs.acs.org/doi/10.1021/ci034243x" TargetMode="External"/><Relationship Id="rId2" Type="http://schemas.openxmlformats.org/officeDocument/2006/relationships/hyperlink" Target="https://pubs.acs.org/doi/10.1021/ci000392t" TargetMode="External"/><Relationship Id="rId1" Type="http://schemas.openxmlformats.org/officeDocument/2006/relationships/hyperlink" Target="https://pubs.acs.org/doi/10.1021/ci700307p" TargetMode="External"/><Relationship Id="rId4"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5.xml.rels><?xml version="1.0" encoding="UTF-8" standalone="yes"?>
<Relationships xmlns="http://schemas.openxmlformats.org/package/2006/relationships"><Relationship Id="rId3" Type="http://schemas.openxmlformats.org/officeDocument/2006/relationships/hyperlink" Target="https://pubs.acs.org/doi/abs/10.1021/acs.jcim.9b00237" TargetMode="External"/><Relationship Id="rId2" Type="http://schemas.openxmlformats.org/officeDocument/2006/relationships/hyperlink" Target="https://pubs.acs.org/doi/suppl/10.1021/acs.jcim.9b00237/suppl_file/ci9b00237_si_001.pdf" TargetMode="External"/><Relationship Id="rId1" Type="http://schemas.openxmlformats.org/officeDocument/2006/relationships/hyperlink" Target="https://pubs.acs.org/doi/abs/10.1021/acs.jcim.9b00237" TargetMode="External"/><Relationship Id="rId6" Type="http://schemas.openxmlformats.org/officeDocument/2006/relationships/printerSettings" Target="../printerSettings/printerSettings27.bin"/><Relationship Id="rId5" Type="http://schemas.openxmlformats.org/officeDocument/2006/relationships/hyperlink" Target="https://www.nature.com/articles/s41597-019-0151-1" TargetMode="External"/><Relationship Id="rId4" Type="http://schemas.openxmlformats.org/officeDocument/2006/relationships/hyperlink" Target="https://pubs.acs.org/doi/suppl/10.1021/acs.jcim.9b00237/suppl_file/ci9b00237_si_001.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F4AC7-0C2B-49BF-AA78-3D253EE51E09}">
  <sheetPr>
    <tabColor rgb="FF00B0F0"/>
  </sheetPr>
  <dimension ref="A1:H140"/>
  <sheetViews>
    <sheetView workbookViewId="0"/>
  </sheetViews>
  <sheetFormatPr baseColWidth="10" defaultColWidth="8.83203125" defaultRowHeight="15"/>
  <cols>
    <col min="1" max="1" width="20.5" customWidth="1"/>
    <col min="2" max="2" width="20.5" style="854" customWidth="1"/>
    <col min="3" max="8" width="20.5" customWidth="1"/>
  </cols>
  <sheetData>
    <row r="1" spans="1:8" ht="16.25" customHeight="1" thickBot="1">
      <c r="A1" s="841" t="s">
        <v>18</v>
      </c>
      <c r="B1" s="842" t="s">
        <v>1069</v>
      </c>
      <c r="C1" s="843" t="s">
        <v>1070</v>
      </c>
      <c r="D1" s="843" t="s">
        <v>1071</v>
      </c>
      <c r="E1" s="843" t="s">
        <v>1072</v>
      </c>
      <c r="F1" s="843" t="s">
        <v>1073</v>
      </c>
      <c r="G1" s="843" t="s">
        <v>1074</v>
      </c>
      <c r="H1" s="843" t="s">
        <v>1075</v>
      </c>
    </row>
    <row r="2" spans="1:8">
      <c r="A2" s="844" t="s">
        <v>29</v>
      </c>
      <c r="B2" s="845" t="s">
        <v>1076</v>
      </c>
      <c r="C2" s="845">
        <v>-2.38</v>
      </c>
      <c r="D2" s="845">
        <v>0.18</v>
      </c>
      <c r="E2" s="845">
        <v>11</v>
      </c>
      <c r="F2" s="845">
        <v>259</v>
      </c>
      <c r="G2" s="845">
        <v>-0.86</v>
      </c>
      <c r="H2" s="846">
        <v>-0.98</v>
      </c>
    </row>
    <row r="3" spans="1:8">
      <c r="A3" s="847" t="s">
        <v>1077</v>
      </c>
      <c r="B3" s="846" t="s">
        <v>1076</v>
      </c>
      <c r="C3" s="846">
        <v>-1.67</v>
      </c>
      <c r="D3" s="846">
        <v>0.15</v>
      </c>
      <c r="E3" s="846">
        <v>16</v>
      </c>
      <c r="F3" s="846">
        <v>142</v>
      </c>
      <c r="G3" s="846">
        <v>1.31</v>
      </c>
      <c r="H3" s="846">
        <v>-1.98</v>
      </c>
    </row>
    <row r="4" spans="1:8">
      <c r="A4" s="847" t="s">
        <v>40</v>
      </c>
      <c r="B4" s="846" t="s">
        <v>1076</v>
      </c>
      <c r="C4" s="846">
        <v>-4.4000000000000004</v>
      </c>
      <c r="D4" s="846">
        <v>0.16</v>
      </c>
      <c r="E4" s="846">
        <v>4</v>
      </c>
      <c r="F4" s="846">
        <v>92</v>
      </c>
      <c r="G4" s="846">
        <v>2.5299999999999998</v>
      </c>
      <c r="H4" s="846">
        <v>-2.7</v>
      </c>
    </row>
    <row r="5" spans="1:8">
      <c r="A5" s="847" t="s">
        <v>45</v>
      </c>
      <c r="B5" s="846" t="s">
        <v>1076</v>
      </c>
      <c r="C5" s="846">
        <v>-3.87</v>
      </c>
      <c r="D5" s="846">
        <v>0.17</v>
      </c>
      <c r="E5" s="846">
        <v>3</v>
      </c>
      <c r="F5" s="846">
        <v>234</v>
      </c>
      <c r="G5" s="846">
        <v>3.19</v>
      </c>
      <c r="H5" s="846">
        <v>-4.78</v>
      </c>
    </row>
    <row r="6" spans="1:8">
      <c r="A6" s="847" t="s">
        <v>50</v>
      </c>
      <c r="B6" s="846" t="s">
        <v>1076</v>
      </c>
      <c r="C6" s="846">
        <v>-6.64</v>
      </c>
      <c r="D6" s="846">
        <v>0.21</v>
      </c>
      <c r="E6" s="846">
        <v>3</v>
      </c>
      <c r="F6" s="846">
        <v>139</v>
      </c>
      <c r="G6" s="846">
        <v>4.8600000000000003</v>
      </c>
      <c r="H6" s="846">
        <v>-5.5</v>
      </c>
    </row>
    <row r="7" spans="1:8">
      <c r="A7" s="847" t="s">
        <v>55</v>
      </c>
      <c r="B7" s="846" t="s">
        <v>1076</v>
      </c>
      <c r="C7" s="846">
        <v>-6.07</v>
      </c>
      <c r="D7" s="846">
        <v>0.18</v>
      </c>
      <c r="E7" s="846">
        <v>3</v>
      </c>
      <c r="F7" s="846">
        <v>224</v>
      </c>
      <c r="G7" s="846">
        <v>5.51</v>
      </c>
      <c r="H7" s="846">
        <v>-7</v>
      </c>
    </row>
    <row r="8" spans="1:8">
      <c r="A8" s="847" t="s">
        <v>59</v>
      </c>
      <c r="B8" s="846" t="s">
        <v>1076</v>
      </c>
      <c r="C8" s="846">
        <v>-3.69</v>
      </c>
      <c r="D8" s="846">
        <v>0.15</v>
      </c>
      <c r="E8" s="846">
        <v>6</v>
      </c>
      <c r="F8" s="846">
        <v>173</v>
      </c>
      <c r="G8" s="846">
        <v>1.78</v>
      </c>
      <c r="H8" s="846">
        <v>-2.76</v>
      </c>
    </row>
    <row r="9" spans="1:8">
      <c r="A9" s="847" t="s">
        <v>63</v>
      </c>
      <c r="B9" s="846" t="s">
        <v>1076</v>
      </c>
      <c r="C9" s="846">
        <v>-1.78</v>
      </c>
      <c r="D9" s="846">
        <v>0.15</v>
      </c>
      <c r="E9" s="846">
        <v>4</v>
      </c>
      <c r="F9" s="846">
        <v>208</v>
      </c>
      <c r="G9" s="846">
        <v>1.86</v>
      </c>
      <c r="H9" s="846">
        <v>-3.19</v>
      </c>
    </row>
    <row r="10" spans="1:8">
      <c r="A10" s="847" t="s">
        <v>66</v>
      </c>
      <c r="B10" s="846" t="s">
        <v>1076</v>
      </c>
      <c r="C10" s="846">
        <v>-2.2200000000000002</v>
      </c>
      <c r="D10" s="846">
        <v>0.16</v>
      </c>
      <c r="E10" s="846">
        <v>10</v>
      </c>
      <c r="F10" s="846">
        <v>167</v>
      </c>
      <c r="G10" s="846">
        <v>0.79</v>
      </c>
      <c r="H10" s="846">
        <v>-1.71</v>
      </c>
    </row>
    <row r="11" spans="1:8">
      <c r="A11" s="847" t="s">
        <v>68</v>
      </c>
      <c r="B11" s="846" t="s">
        <v>1076</v>
      </c>
      <c r="C11" s="846">
        <v>-4.84</v>
      </c>
      <c r="D11" s="846">
        <v>0.22</v>
      </c>
      <c r="E11" s="846">
        <v>6</v>
      </c>
      <c r="F11" s="846">
        <v>232</v>
      </c>
      <c r="G11" s="846">
        <v>2.4300000000000002</v>
      </c>
      <c r="H11" s="846">
        <v>-4</v>
      </c>
    </row>
    <row r="12" spans="1:8" ht="16">
      <c r="A12" s="847" t="s">
        <v>71</v>
      </c>
      <c r="B12" s="846" t="s">
        <v>1076</v>
      </c>
      <c r="C12" s="846">
        <v>-3.39</v>
      </c>
      <c r="D12" s="846">
        <v>0.13</v>
      </c>
      <c r="E12" s="846">
        <v>3</v>
      </c>
      <c r="F12" s="846" t="s">
        <v>1078</v>
      </c>
      <c r="G12" s="846">
        <v>2.63</v>
      </c>
      <c r="H12" s="846">
        <v>-3.81</v>
      </c>
    </row>
    <row r="13" spans="1:8">
      <c r="A13" s="847" t="s">
        <v>1079</v>
      </c>
      <c r="B13" s="846" t="s">
        <v>1076</v>
      </c>
      <c r="C13" s="846">
        <v>-6.79</v>
      </c>
      <c r="D13" s="846">
        <v>0.15</v>
      </c>
      <c r="E13" s="846">
        <v>6</v>
      </c>
      <c r="F13" s="846">
        <v>167</v>
      </c>
      <c r="G13" s="846">
        <v>6.32</v>
      </c>
      <c r="H13" s="846">
        <v>-7.24</v>
      </c>
    </row>
    <row r="14" spans="1:8">
      <c r="A14" s="847" t="s">
        <v>77</v>
      </c>
      <c r="B14" s="846" t="s">
        <v>1076</v>
      </c>
      <c r="C14" s="846">
        <v>-3.22</v>
      </c>
      <c r="D14" s="846">
        <v>0.16</v>
      </c>
      <c r="E14" s="846">
        <v>15</v>
      </c>
      <c r="F14" s="846">
        <v>192</v>
      </c>
      <c r="G14" s="846">
        <v>3.39</v>
      </c>
      <c r="H14" s="846">
        <v>-4.5599999999999996</v>
      </c>
    </row>
    <row r="15" spans="1:8">
      <c r="A15" s="847" t="s">
        <v>80</v>
      </c>
      <c r="B15" s="846" t="s">
        <v>1076</v>
      </c>
      <c r="C15" s="846">
        <v>-5.19</v>
      </c>
      <c r="D15" s="846">
        <v>0.19</v>
      </c>
      <c r="E15" s="846">
        <v>3</v>
      </c>
      <c r="F15" s="846">
        <v>246</v>
      </c>
      <c r="G15" s="846">
        <v>3.32</v>
      </c>
      <c r="H15" s="846">
        <v>-5.03</v>
      </c>
    </row>
    <row r="16" spans="1:8">
      <c r="A16" s="847" t="s">
        <v>73</v>
      </c>
      <c r="B16" s="846" t="s">
        <v>1076</v>
      </c>
      <c r="C16" s="846">
        <v>-4.5599999999999996</v>
      </c>
      <c r="D16" s="846">
        <v>0.19</v>
      </c>
      <c r="E16" s="846">
        <v>4</v>
      </c>
      <c r="F16" s="846">
        <v>304</v>
      </c>
      <c r="G16" s="846">
        <v>1.74</v>
      </c>
      <c r="H16" s="846">
        <v>-4.03</v>
      </c>
    </row>
    <row r="17" spans="1:8">
      <c r="A17" s="847" t="s">
        <v>76</v>
      </c>
      <c r="B17" s="846" t="s">
        <v>1076</v>
      </c>
      <c r="C17" s="846">
        <v>-3.27</v>
      </c>
      <c r="D17" s="846">
        <v>0.14000000000000001</v>
      </c>
      <c r="E17" s="846">
        <v>7</v>
      </c>
      <c r="F17" s="846">
        <v>187</v>
      </c>
      <c r="G17" s="846">
        <v>-0.87</v>
      </c>
      <c r="H17" s="846">
        <v>-0.25</v>
      </c>
    </row>
    <row r="18" spans="1:8">
      <c r="A18" s="847" t="s">
        <v>87</v>
      </c>
      <c r="B18" s="846" t="s">
        <v>1076</v>
      </c>
      <c r="C18" s="846">
        <v>-1.68</v>
      </c>
      <c r="D18" s="846">
        <v>0.2</v>
      </c>
      <c r="E18" s="846">
        <v>4</v>
      </c>
      <c r="F18" s="846">
        <v>222</v>
      </c>
      <c r="G18" s="846">
        <v>0.71</v>
      </c>
      <c r="H18" s="846">
        <v>-2.1800000000000002</v>
      </c>
    </row>
    <row r="19" spans="1:8">
      <c r="A19" s="847" t="s">
        <v>90</v>
      </c>
      <c r="B19" s="846" t="s">
        <v>1076</v>
      </c>
      <c r="C19" s="846">
        <v>-5.89</v>
      </c>
      <c r="D19" s="846">
        <v>0.18</v>
      </c>
      <c r="E19" s="846">
        <v>6</v>
      </c>
      <c r="F19" s="846">
        <v>158</v>
      </c>
      <c r="G19" s="846">
        <v>3.51</v>
      </c>
      <c r="H19" s="846">
        <v>-4.34</v>
      </c>
    </row>
    <row r="20" spans="1:8">
      <c r="A20" s="847" t="s">
        <v>93</v>
      </c>
      <c r="B20" s="846" t="s">
        <v>1076</v>
      </c>
      <c r="C20" s="846">
        <v>-1.18</v>
      </c>
      <c r="D20" s="846">
        <v>0.13</v>
      </c>
      <c r="E20" s="846">
        <v>8</v>
      </c>
      <c r="F20" s="846">
        <v>140</v>
      </c>
      <c r="G20" s="846">
        <v>0.35</v>
      </c>
      <c r="H20" s="846">
        <v>-1</v>
      </c>
    </row>
    <row r="21" spans="1:8">
      <c r="A21" s="847" t="s">
        <v>96</v>
      </c>
      <c r="B21" s="846" t="s">
        <v>1076</v>
      </c>
      <c r="C21" s="846">
        <v>-3.17</v>
      </c>
      <c r="D21" s="846">
        <v>0.14000000000000001</v>
      </c>
      <c r="E21" s="846">
        <v>7</v>
      </c>
      <c r="F21" s="846">
        <v>128</v>
      </c>
      <c r="G21" s="846">
        <v>1.74</v>
      </c>
      <c r="H21" s="846">
        <v>-2.27</v>
      </c>
    </row>
    <row r="22" spans="1:8">
      <c r="A22" s="847" t="s">
        <v>1080</v>
      </c>
      <c r="B22" s="846" t="s">
        <v>1076</v>
      </c>
      <c r="C22" s="846">
        <v>-4.62</v>
      </c>
      <c r="D22" s="846">
        <v>0.15</v>
      </c>
      <c r="E22" s="846">
        <v>7</v>
      </c>
      <c r="F22" s="846">
        <v>176</v>
      </c>
      <c r="G22" s="846">
        <v>4.4800000000000004</v>
      </c>
      <c r="H22" s="846">
        <v>-5.49</v>
      </c>
    </row>
    <row r="23" spans="1:8">
      <c r="A23" s="847" t="s">
        <v>101</v>
      </c>
      <c r="B23" s="846" t="s">
        <v>1076</v>
      </c>
      <c r="C23" s="846">
        <v>-4.93</v>
      </c>
      <c r="D23" s="846">
        <v>0.13</v>
      </c>
      <c r="E23" s="846">
        <v>3</v>
      </c>
      <c r="F23" s="846">
        <v>160</v>
      </c>
      <c r="G23" s="846">
        <v>3.46</v>
      </c>
      <c r="H23" s="846">
        <v>-4.3099999999999996</v>
      </c>
    </row>
    <row r="24" spans="1:8">
      <c r="A24" s="847" t="s">
        <v>104</v>
      </c>
      <c r="B24" s="846" t="s">
        <v>1076</v>
      </c>
      <c r="C24" s="846">
        <v>-1.52</v>
      </c>
      <c r="D24" s="846">
        <v>0.22</v>
      </c>
      <c r="E24" s="846">
        <v>8</v>
      </c>
      <c r="F24" s="846">
        <v>142</v>
      </c>
      <c r="G24" s="846">
        <v>0.6</v>
      </c>
      <c r="H24" s="846">
        <v>-1.27</v>
      </c>
    </row>
    <row r="25" spans="1:8">
      <c r="A25" s="847" t="s">
        <v>107</v>
      </c>
      <c r="B25" s="846" t="s">
        <v>1076</v>
      </c>
      <c r="C25" s="846">
        <v>-3.57</v>
      </c>
      <c r="D25" s="846">
        <v>0.18</v>
      </c>
      <c r="E25" s="846">
        <v>20</v>
      </c>
      <c r="F25" s="846">
        <v>267</v>
      </c>
      <c r="G25" s="846">
        <v>1.58</v>
      </c>
      <c r="H25" s="846">
        <v>-3.5</v>
      </c>
    </row>
    <row r="26" spans="1:8">
      <c r="A26" s="847" t="s">
        <v>110</v>
      </c>
      <c r="B26" s="846" t="s">
        <v>1076</v>
      </c>
      <c r="C26" s="846">
        <v>-6.78</v>
      </c>
      <c r="D26" s="846">
        <v>0.17</v>
      </c>
      <c r="E26" s="846">
        <v>6</v>
      </c>
      <c r="F26" s="846">
        <v>110</v>
      </c>
      <c r="G26" s="846">
        <v>3.36</v>
      </c>
      <c r="H26" s="846">
        <v>-3.71</v>
      </c>
    </row>
    <row r="27" spans="1:8">
      <c r="A27" s="847" t="s">
        <v>82</v>
      </c>
      <c r="B27" s="846" t="s">
        <v>1076</v>
      </c>
      <c r="C27" s="846">
        <v>-3.29</v>
      </c>
      <c r="D27" s="846">
        <v>0.17</v>
      </c>
      <c r="E27" s="846">
        <v>7</v>
      </c>
      <c r="F27" s="846">
        <v>182</v>
      </c>
      <c r="G27" s="846">
        <v>2.67</v>
      </c>
      <c r="H27" s="846">
        <v>-3.74</v>
      </c>
    </row>
    <row r="28" spans="1:8">
      <c r="A28" s="847" t="s">
        <v>1081</v>
      </c>
      <c r="B28" s="846" t="s">
        <v>1076</v>
      </c>
      <c r="C28" s="846">
        <v>-4.22</v>
      </c>
      <c r="D28" s="846">
        <v>0.13</v>
      </c>
      <c r="E28" s="846">
        <v>4</v>
      </c>
      <c r="F28" s="846">
        <v>222</v>
      </c>
      <c r="G28" s="846">
        <v>2.56</v>
      </c>
      <c r="H28" s="846">
        <v>-4.03</v>
      </c>
    </row>
    <row r="29" spans="1:8">
      <c r="A29" s="847" t="s">
        <v>1082</v>
      </c>
      <c r="B29" s="846" t="s">
        <v>1076</v>
      </c>
      <c r="C29" s="846">
        <v>-5.03</v>
      </c>
      <c r="D29" s="846">
        <v>0.16</v>
      </c>
      <c r="E29" s="846">
        <v>6</v>
      </c>
      <c r="F29" s="846">
        <v>151</v>
      </c>
      <c r="G29" s="846">
        <v>3.27</v>
      </c>
      <c r="H29" s="846">
        <v>-4.03</v>
      </c>
    </row>
    <row r="30" spans="1:8">
      <c r="A30" s="847" t="s">
        <v>84</v>
      </c>
      <c r="B30" s="846" t="s">
        <v>1076</v>
      </c>
      <c r="C30" s="846">
        <v>-5.23</v>
      </c>
      <c r="D30" s="846">
        <v>0.13</v>
      </c>
      <c r="E30" s="846">
        <v>5</v>
      </c>
      <c r="F30" s="846">
        <v>330</v>
      </c>
      <c r="G30" s="846">
        <v>2.87</v>
      </c>
      <c r="H30" s="846">
        <v>-5.42</v>
      </c>
    </row>
    <row r="31" spans="1:8">
      <c r="A31" s="847" t="s">
        <v>121</v>
      </c>
      <c r="B31" s="846" t="s">
        <v>1076</v>
      </c>
      <c r="C31" s="846">
        <v>-3.83</v>
      </c>
      <c r="D31" s="846">
        <v>0.18</v>
      </c>
      <c r="E31" s="846">
        <v>3</v>
      </c>
      <c r="F31" s="846">
        <v>100</v>
      </c>
      <c r="G31" s="846">
        <v>3.53</v>
      </c>
      <c r="H31" s="846">
        <v>-3.78</v>
      </c>
    </row>
    <row r="32" spans="1:8">
      <c r="A32" s="847" t="s">
        <v>123</v>
      </c>
      <c r="B32" s="846" t="s">
        <v>1076</v>
      </c>
      <c r="C32" s="846">
        <v>-3.56</v>
      </c>
      <c r="D32" s="846">
        <v>0.18</v>
      </c>
      <c r="E32" s="846">
        <v>16</v>
      </c>
      <c r="F32" s="846">
        <v>263</v>
      </c>
      <c r="G32" s="846">
        <v>1.9</v>
      </c>
      <c r="H32" s="846">
        <v>-3.78</v>
      </c>
    </row>
    <row r="33" spans="1:8">
      <c r="A33" s="847" t="s">
        <v>125</v>
      </c>
      <c r="B33" s="846" t="s">
        <v>1076</v>
      </c>
      <c r="C33" s="846">
        <v>-3.43</v>
      </c>
      <c r="D33" s="846">
        <v>0.22</v>
      </c>
      <c r="E33" s="846">
        <v>4</v>
      </c>
      <c r="F33" s="846">
        <v>329</v>
      </c>
      <c r="G33" s="846">
        <v>1.87</v>
      </c>
      <c r="H33" s="846">
        <v>-4.41</v>
      </c>
    </row>
    <row r="34" spans="1:8">
      <c r="A34" s="847" t="s">
        <v>127</v>
      </c>
      <c r="B34" s="846" t="s">
        <v>1076</v>
      </c>
      <c r="C34" s="846">
        <v>-5.34</v>
      </c>
      <c r="D34" s="846">
        <v>0.18</v>
      </c>
      <c r="E34" s="846">
        <v>33</v>
      </c>
      <c r="F34" s="846">
        <v>168</v>
      </c>
      <c r="G34" s="846">
        <v>4.3600000000000003</v>
      </c>
      <c r="H34" s="846">
        <v>-5.29</v>
      </c>
    </row>
    <row r="35" spans="1:8">
      <c r="A35" s="847" t="s">
        <v>1083</v>
      </c>
      <c r="B35" s="846" t="s">
        <v>1076</v>
      </c>
      <c r="C35" s="846">
        <v>-4.82</v>
      </c>
      <c r="D35" s="846">
        <v>0.16</v>
      </c>
      <c r="E35" s="846">
        <v>3</v>
      </c>
      <c r="F35" s="846">
        <v>223</v>
      </c>
      <c r="G35" s="846">
        <v>2.99</v>
      </c>
      <c r="H35" s="846">
        <v>-4.47</v>
      </c>
    </row>
    <row r="36" spans="1:8">
      <c r="A36" s="847" t="s">
        <v>89</v>
      </c>
      <c r="B36" s="846" t="s">
        <v>1076</v>
      </c>
      <c r="C36" s="846">
        <v>-3.83</v>
      </c>
      <c r="D36" s="846">
        <v>0.21</v>
      </c>
      <c r="E36" s="846">
        <v>3</v>
      </c>
      <c r="F36" s="846">
        <v>211</v>
      </c>
      <c r="G36" s="846">
        <v>2.72</v>
      </c>
      <c r="H36" s="846">
        <v>-4.08</v>
      </c>
    </row>
    <row r="37" spans="1:8">
      <c r="A37" s="847" t="s">
        <v>131</v>
      </c>
      <c r="B37" s="846" t="s">
        <v>1076</v>
      </c>
      <c r="C37" s="846">
        <v>-3.02</v>
      </c>
      <c r="D37" s="846">
        <v>0.13</v>
      </c>
      <c r="E37" s="846">
        <v>3</v>
      </c>
      <c r="F37" s="846">
        <v>210</v>
      </c>
      <c r="G37" s="846">
        <v>3.37</v>
      </c>
      <c r="H37" s="846">
        <v>-4.72</v>
      </c>
    </row>
    <row r="38" spans="1:8">
      <c r="A38" s="847" t="s">
        <v>92</v>
      </c>
      <c r="B38" s="846" t="s">
        <v>1076</v>
      </c>
      <c r="C38" s="846">
        <v>-3.53</v>
      </c>
      <c r="D38" s="846">
        <v>0.14000000000000001</v>
      </c>
      <c r="E38" s="846">
        <v>3</v>
      </c>
      <c r="F38" s="846">
        <v>54</v>
      </c>
      <c r="G38" s="846">
        <v>3.43</v>
      </c>
      <c r="H38" s="846">
        <v>-3.22</v>
      </c>
    </row>
    <row r="39" spans="1:8">
      <c r="A39" s="847" t="s">
        <v>135</v>
      </c>
      <c r="B39" s="846" t="s">
        <v>1076</v>
      </c>
      <c r="C39" s="846">
        <v>-1.76</v>
      </c>
      <c r="D39" s="846">
        <v>0.17</v>
      </c>
      <c r="E39" s="846">
        <v>6</v>
      </c>
      <c r="F39" s="846">
        <v>270</v>
      </c>
      <c r="G39" s="846">
        <v>0.05</v>
      </c>
      <c r="H39" s="846">
        <v>-2</v>
      </c>
    </row>
    <row r="40" spans="1:8">
      <c r="A40" s="847" t="s">
        <v>138</v>
      </c>
      <c r="B40" s="846" t="s">
        <v>1076</v>
      </c>
      <c r="C40" s="846">
        <v>-1.36</v>
      </c>
      <c r="D40" s="846">
        <v>0.21</v>
      </c>
      <c r="E40" s="846">
        <v>3</v>
      </c>
      <c r="F40" s="846">
        <v>144</v>
      </c>
      <c r="G40" s="846">
        <v>1.6</v>
      </c>
      <c r="H40" s="846">
        <v>-2.29</v>
      </c>
    </row>
    <row r="41" spans="1:8">
      <c r="A41" s="847" t="s">
        <v>1084</v>
      </c>
      <c r="B41" s="846" t="s">
        <v>1076</v>
      </c>
      <c r="C41" s="846">
        <v>-5</v>
      </c>
      <c r="D41" s="846">
        <v>0.18</v>
      </c>
      <c r="E41" s="846">
        <v>5</v>
      </c>
      <c r="F41" s="846">
        <v>215</v>
      </c>
      <c r="G41" s="846">
        <v>3.61</v>
      </c>
      <c r="H41" s="846">
        <v>-5.01</v>
      </c>
    </row>
    <row r="42" spans="1:8">
      <c r="A42" s="847" t="s">
        <v>143</v>
      </c>
      <c r="B42" s="846" t="s">
        <v>1076</v>
      </c>
      <c r="C42" s="846">
        <v>-5.38</v>
      </c>
      <c r="D42" s="846">
        <v>0.19</v>
      </c>
      <c r="E42" s="846">
        <v>8</v>
      </c>
      <c r="F42" s="846">
        <v>255</v>
      </c>
      <c r="G42" s="846">
        <v>3.82</v>
      </c>
      <c r="H42" s="846">
        <v>-5.62</v>
      </c>
    </row>
    <row r="43" spans="1:8">
      <c r="A43" s="847" t="s">
        <v>146</v>
      </c>
      <c r="B43" s="846" t="s">
        <v>1076</v>
      </c>
      <c r="C43" s="846">
        <v>-3.76</v>
      </c>
      <c r="D43" s="846">
        <v>0.17</v>
      </c>
      <c r="E43" s="846">
        <v>3</v>
      </c>
      <c r="F43" s="846">
        <v>189</v>
      </c>
      <c r="G43" s="846">
        <v>1.34</v>
      </c>
      <c r="H43" s="846">
        <v>-2.48</v>
      </c>
    </row>
    <row r="44" spans="1:8">
      <c r="A44" s="847" t="s">
        <v>149</v>
      </c>
      <c r="B44" s="846" t="s">
        <v>1076</v>
      </c>
      <c r="C44" s="846">
        <v>-3.6</v>
      </c>
      <c r="D44" s="846">
        <v>0.2</v>
      </c>
      <c r="E44" s="846">
        <v>4</v>
      </c>
      <c r="F44" s="846">
        <v>244</v>
      </c>
      <c r="G44" s="846">
        <v>1.34</v>
      </c>
      <c r="H44" s="846">
        <v>-3.03</v>
      </c>
    </row>
    <row r="45" spans="1:8">
      <c r="A45" s="847" t="s">
        <v>95</v>
      </c>
      <c r="B45" s="846" t="s">
        <v>1076</v>
      </c>
      <c r="C45" s="846">
        <v>-1.66</v>
      </c>
      <c r="D45" s="846">
        <v>0.21</v>
      </c>
      <c r="E45" s="846">
        <v>3</v>
      </c>
      <c r="F45" s="846">
        <v>37</v>
      </c>
      <c r="G45" s="846">
        <v>2.74</v>
      </c>
      <c r="H45" s="846">
        <v>-2.36</v>
      </c>
    </row>
    <row r="46" spans="1:8">
      <c r="A46" s="847" t="s">
        <v>153</v>
      </c>
      <c r="B46" s="846" t="s">
        <v>1076</v>
      </c>
      <c r="C46" s="846">
        <v>-5.18</v>
      </c>
      <c r="D46" s="846">
        <v>0.21</v>
      </c>
      <c r="E46" s="846">
        <v>10</v>
      </c>
      <c r="F46" s="846">
        <v>186</v>
      </c>
      <c r="G46" s="846">
        <v>3.4</v>
      </c>
      <c r="H46" s="846">
        <v>-4.51</v>
      </c>
    </row>
    <row r="47" spans="1:8">
      <c r="A47" s="847" t="s">
        <v>98</v>
      </c>
      <c r="B47" s="846" t="s">
        <v>1076</v>
      </c>
      <c r="C47" s="846">
        <v>-3.9</v>
      </c>
      <c r="D47" s="846">
        <v>0.19</v>
      </c>
      <c r="E47" s="846">
        <v>3</v>
      </c>
      <c r="F47" s="846">
        <v>253</v>
      </c>
      <c r="G47" s="846">
        <v>2.35</v>
      </c>
      <c r="H47" s="846">
        <v>-4.13</v>
      </c>
    </row>
    <row r="48" spans="1:8">
      <c r="A48" s="847" t="s">
        <v>156</v>
      </c>
      <c r="B48" s="846" t="s">
        <v>1076</v>
      </c>
      <c r="C48" s="846">
        <v>-4.34</v>
      </c>
      <c r="D48" s="846">
        <v>0.2</v>
      </c>
      <c r="E48" s="846">
        <v>23</v>
      </c>
      <c r="F48" s="846">
        <v>111</v>
      </c>
      <c r="G48" s="846">
        <v>3.68</v>
      </c>
      <c r="H48" s="846">
        <v>-4.04</v>
      </c>
    </row>
    <row r="49" spans="1:8">
      <c r="A49" s="847" t="s">
        <v>1085</v>
      </c>
      <c r="B49" s="846" t="s">
        <v>1076</v>
      </c>
      <c r="C49" s="846">
        <v>-5.96</v>
      </c>
      <c r="D49" s="846">
        <v>0.16</v>
      </c>
      <c r="E49" s="846">
        <v>6</v>
      </c>
      <c r="F49" s="846">
        <v>250</v>
      </c>
      <c r="G49" s="846">
        <v>-0.04</v>
      </c>
      <c r="H49" s="846">
        <v>-1.71</v>
      </c>
    </row>
    <row r="50" spans="1:8">
      <c r="A50" s="847" t="s">
        <v>160</v>
      </c>
      <c r="B50" s="846" t="s">
        <v>1076</v>
      </c>
      <c r="C50" s="846">
        <v>-1.78</v>
      </c>
      <c r="D50" s="846">
        <v>0.13</v>
      </c>
      <c r="E50" s="846">
        <v>3</v>
      </c>
      <c r="F50" s="846">
        <v>250</v>
      </c>
      <c r="G50" s="846">
        <v>-1.97</v>
      </c>
      <c r="H50" s="846">
        <v>0.22</v>
      </c>
    </row>
    <row r="51" spans="1:8">
      <c r="A51" s="847" t="s">
        <v>162</v>
      </c>
      <c r="B51" s="846" t="s">
        <v>1076</v>
      </c>
      <c r="C51" s="846">
        <v>-5.61</v>
      </c>
      <c r="D51" s="846">
        <v>0.21</v>
      </c>
      <c r="E51" s="846">
        <v>9</v>
      </c>
      <c r="F51" s="846">
        <v>209</v>
      </c>
      <c r="G51" s="846">
        <v>2.08</v>
      </c>
      <c r="H51" s="846">
        <v>-3.42</v>
      </c>
    </row>
    <row r="52" spans="1:8">
      <c r="A52" s="847" t="s">
        <v>164</v>
      </c>
      <c r="B52" s="846" t="s">
        <v>1076</v>
      </c>
      <c r="C52" s="846">
        <v>-4.5199999999999996</v>
      </c>
      <c r="D52" s="846">
        <v>0.19</v>
      </c>
      <c r="E52" s="846">
        <v>15</v>
      </c>
      <c r="F52" s="846">
        <v>220</v>
      </c>
      <c r="G52" s="846">
        <v>2.69</v>
      </c>
      <c r="H52" s="846">
        <v>-4.1399999999999997</v>
      </c>
    </row>
    <row r="53" spans="1:8">
      <c r="A53" s="847" t="s">
        <v>166</v>
      </c>
      <c r="B53" s="846" t="s">
        <v>1076</v>
      </c>
      <c r="C53" s="846">
        <v>-5.71</v>
      </c>
      <c r="D53" s="846">
        <v>0.17</v>
      </c>
      <c r="E53" s="846">
        <v>10</v>
      </c>
      <c r="F53" s="846">
        <v>151</v>
      </c>
      <c r="G53" s="846">
        <v>4.43</v>
      </c>
      <c r="H53" s="846">
        <v>-5.19</v>
      </c>
    </row>
    <row r="54" spans="1:8">
      <c r="A54" s="847" t="s">
        <v>100</v>
      </c>
      <c r="B54" s="846" t="s">
        <v>1076</v>
      </c>
      <c r="C54" s="846">
        <v>-4.8499999999999996</v>
      </c>
      <c r="D54" s="846">
        <v>0.19</v>
      </c>
      <c r="E54" s="846">
        <v>7</v>
      </c>
      <c r="F54" s="846">
        <v>155</v>
      </c>
      <c r="G54" s="846">
        <v>4.22</v>
      </c>
      <c r="H54" s="846">
        <v>-5.0199999999999996</v>
      </c>
    </row>
    <row r="55" spans="1:8">
      <c r="A55" s="847" t="s">
        <v>169</v>
      </c>
      <c r="B55" s="846" t="s">
        <v>1076</v>
      </c>
      <c r="C55" s="846">
        <v>-4.53</v>
      </c>
      <c r="D55" s="846">
        <v>0.16</v>
      </c>
      <c r="E55" s="846">
        <v>5</v>
      </c>
      <c r="F55" s="846">
        <v>168</v>
      </c>
      <c r="G55" s="846">
        <v>2.87</v>
      </c>
      <c r="H55" s="846">
        <v>-3.8</v>
      </c>
    </row>
    <row r="56" spans="1:8">
      <c r="A56" s="847" t="s">
        <v>171</v>
      </c>
      <c r="B56" s="846" t="s">
        <v>1076</v>
      </c>
      <c r="C56" s="846">
        <v>-5.48</v>
      </c>
      <c r="D56" s="846">
        <v>0.22</v>
      </c>
      <c r="E56" s="846">
        <v>21</v>
      </c>
      <c r="F56" s="846">
        <v>159</v>
      </c>
      <c r="G56" s="846">
        <v>3.93</v>
      </c>
      <c r="H56" s="846">
        <v>-4.7699999999999996</v>
      </c>
    </row>
    <row r="57" spans="1:8">
      <c r="A57" s="847" t="s">
        <v>173</v>
      </c>
      <c r="B57" s="846" t="s">
        <v>1076</v>
      </c>
      <c r="C57" s="846">
        <v>-4.6500000000000004</v>
      </c>
      <c r="D57" s="846">
        <v>0.21</v>
      </c>
      <c r="E57" s="846">
        <v>5</v>
      </c>
      <c r="F57" s="846">
        <v>214</v>
      </c>
      <c r="G57" s="846">
        <v>3.04</v>
      </c>
      <c r="H57" s="846">
        <v>-4.43</v>
      </c>
    </row>
    <row r="58" spans="1:8">
      <c r="A58" s="847" t="s">
        <v>175</v>
      </c>
      <c r="B58" s="846" t="s">
        <v>1076</v>
      </c>
      <c r="C58" s="846">
        <v>-5.47</v>
      </c>
      <c r="D58" s="846">
        <v>0.14000000000000001</v>
      </c>
      <c r="E58" s="846">
        <v>11</v>
      </c>
      <c r="F58" s="846">
        <v>146</v>
      </c>
      <c r="G58" s="846">
        <v>4.21</v>
      </c>
      <c r="H58" s="846">
        <v>-4.92</v>
      </c>
    </row>
    <row r="59" spans="1:8">
      <c r="A59" s="847" t="s">
        <v>177</v>
      </c>
      <c r="B59" s="846" t="s">
        <v>1076</v>
      </c>
      <c r="C59" s="846">
        <v>-4.62</v>
      </c>
      <c r="D59" s="846">
        <v>0.22</v>
      </c>
      <c r="E59" s="846">
        <v>5</v>
      </c>
      <c r="F59" s="846">
        <v>92</v>
      </c>
      <c r="G59" s="846">
        <v>4.21</v>
      </c>
      <c r="H59" s="846">
        <v>-4.38</v>
      </c>
    </row>
    <row r="60" spans="1:8">
      <c r="A60" s="847" t="s">
        <v>179</v>
      </c>
      <c r="B60" s="846" t="s">
        <v>1076</v>
      </c>
      <c r="C60" s="846">
        <v>-3.88</v>
      </c>
      <c r="D60" s="846">
        <v>0.21</v>
      </c>
      <c r="E60" s="846">
        <v>8</v>
      </c>
      <c r="F60" s="846">
        <v>256</v>
      </c>
      <c r="G60" s="846">
        <v>2.71</v>
      </c>
      <c r="H60" s="846">
        <v>-4.5199999999999996</v>
      </c>
    </row>
    <row r="61" spans="1:8">
      <c r="A61" s="847" t="s">
        <v>181</v>
      </c>
      <c r="B61" s="846" t="s">
        <v>1076</v>
      </c>
      <c r="C61" s="846">
        <v>-4.4000000000000004</v>
      </c>
      <c r="D61" s="846">
        <v>0.21</v>
      </c>
      <c r="E61" s="846">
        <v>3</v>
      </c>
      <c r="F61" s="846">
        <v>80</v>
      </c>
      <c r="G61" s="846">
        <v>3.37</v>
      </c>
      <c r="H61" s="846">
        <v>-3.42</v>
      </c>
    </row>
    <row r="62" spans="1:8">
      <c r="A62" s="847" t="s">
        <v>183</v>
      </c>
      <c r="B62" s="846" t="s">
        <v>1076</v>
      </c>
      <c r="C62" s="846">
        <v>-4.2300000000000004</v>
      </c>
      <c r="D62" s="846">
        <v>0.16</v>
      </c>
      <c r="E62" s="846">
        <v>17</v>
      </c>
      <c r="F62" s="846">
        <v>153</v>
      </c>
      <c r="G62" s="846">
        <v>3.04</v>
      </c>
      <c r="H62" s="846">
        <v>-3.82</v>
      </c>
    </row>
    <row r="63" spans="1:8">
      <c r="A63" s="847" t="s">
        <v>185</v>
      </c>
      <c r="B63" s="846" t="s">
        <v>1076</v>
      </c>
      <c r="C63" s="846">
        <v>-6.21</v>
      </c>
      <c r="D63" s="846">
        <v>0.2</v>
      </c>
      <c r="E63" s="846">
        <v>3</v>
      </c>
      <c r="F63" s="846">
        <v>350</v>
      </c>
      <c r="G63" s="846">
        <v>4.75</v>
      </c>
      <c r="H63" s="846">
        <v>-7.5</v>
      </c>
    </row>
    <row r="64" spans="1:8">
      <c r="A64" s="847" t="s">
        <v>187</v>
      </c>
      <c r="B64" s="846" t="s">
        <v>1076</v>
      </c>
      <c r="C64" s="846">
        <v>-3.41</v>
      </c>
      <c r="D64" s="846">
        <v>0.14000000000000001</v>
      </c>
      <c r="E64" s="846">
        <v>6</v>
      </c>
      <c r="F64" s="846">
        <v>248</v>
      </c>
      <c r="G64" s="846">
        <v>2.65</v>
      </c>
      <c r="H64" s="846">
        <v>-4.38</v>
      </c>
    </row>
    <row r="65" spans="1:8">
      <c r="A65" s="847" t="s">
        <v>189</v>
      </c>
      <c r="B65" s="846" t="s">
        <v>1076</v>
      </c>
      <c r="C65" s="846">
        <v>-4.71</v>
      </c>
      <c r="D65" s="846">
        <v>0.15</v>
      </c>
      <c r="E65" s="846">
        <v>11</v>
      </c>
      <c r="F65" s="846">
        <v>173</v>
      </c>
      <c r="G65" s="846">
        <v>2.1800000000000002</v>
      </c>
      <c r="H65" s="846">
        <v>-3.16</v>
      </c>
    </row>
    <row r="66" spans="1:8">
      <c r="A66" s="847" t="s">
        <v>191</v>
      </c>
      <c r="B66" s="846" t="s">
        <v>1076</v>
      </c>
      <c r="C66" s="846">
        <v>-4.74</v>
      </c>
      <c r="D66" s="846">
        <v>0.14000000000000001</v>
      </c>
      <c r="E66" s="846">
        <v>5</v>
      </c>
      <c r="F66" s="846">
        <v>144</v>
      </c>
      <c r="G66" s="846">
        <v>2.76</v>
      </c>
      <c r="H66" s="846">
        <v>-3.45</v>
      </c>
    </row>
    <row r="67" spans="1:8">
      <c r="A67" s="847" t="s">
        <v>193</v>
      </c>
      <c r="B67" s="846" t="s">
        <v>1076</v>
      </c>
      <c r="C67" s="846">
        <v>-2.88</v>
      </c>
      <c r="D67" s="846">
        <v>0.16</v>
      </c>
      <c r="E67" s="846">
        <v>19</v>
      </c>
      <c r="F67" s="846">
        <v>221</v>
      </c>
      <c r="G67" s="846">
        <v>1.27</v>
      </c>
      <c r="H67" s="846">
        <v>-2.73</v>
      </c>
    </row>
    <row r="68" spans="1:8">
      <c r="A68" s="847" t="s">
        <v>195</v>
      </c>
      <c r="B68" s="846" t="s">
        <v>1076</v>
      </c>
      <c r="C68" s="846">
        <v>-3.93</v>
      </c>
      <c r="D68" s="846">
        <v>0.16</v>
      </c>
      <c r="E68" s="846">
        <v>5</v>
      </c>
      <c r="F68" s="846">
        <v>214</v>
      </c>
      <c r="G68" s="846">
        <v>3.83</v>
      </c>
      <c r="H68" s="846">
        <v>-5.22</v>
      </c>
    </row>
    <row r="69" spans="1:8">
      <c r="A69" s="847" t="s">
        <v>197</v>
      </c>
      <c r="B69" s="846" t="s">
        <v>1076</v>
      </c>
      <c r="C69" s="846">
        <v>-4.4800000000000004</v>
      </c>
      <c r="D69" s="846">
        <v>0.14000000000000001</v>
      </c>
      <c r="E69" s="846">
        <v>3</v>
      </c>
      <c r="F69" s="846">
        <v>176</v>
      </c>
      <c r="G69" s="846">
        <v>2.88</v>
      </c>
      <c r="H69" s="846">
        <v>-3.89</v>
      </c>
    </row>
    <row r="70" spans="1:8">
      <c r="A70" s="847" t="s">
        <v>199</v>
      </c>
      <c r="B70" s="846" t="s">
        <v>1076</v>
      </c>
      <c r="C70" s="846">
        <v>-2.0299999999999998</v>
      </c>
      <c r="D70" s="846">
        <v>0.13</v>
      </c>
      <c r="E70" s="846">
        <v>14</v>
      </c>
      <c r="F70" s="846">
        <v>254</v>
      </c>
      <c r="G70" s="846">
        <v>1.54</v>
      </c>
      <c r="H70" s="846">
        <v>-3.33</v>
      </c>
    </row>
    <row r="71" spans="1:8">
      <c r="A71" s="847" t="s">
        <v>201</v>
      </c>
      <c r="B71" s="846" t="s">
        <v>1076</v>
      </c>
      <c r="C71" s="846">
        <v>-4.03</v>
      </c>
      <c r="D71" s="846">
        <v>0.17</v>
      </c>
      <c r="E71" s="846">
        <v>5</v>
      </c>
      <c r="F71" s="846">
        <v>206</v>
      </c>
      <c r="G71" s="846">
        <v>2.4500000000000002</v>
      </c>
      <c r="H71" s="846">
        <v>-3.76</v>
      </c>
    </row>
    <row r="72" spans="1:8">
      <c r="A72" s="847" t="s">
        <v>203</v>
      </c>
      <c r="B72" s="846" t="s">
        <v>1076</v>
      </c>
      <c r="C72" s="846">
        <v>-3.94</v>
      </c>
      <c r="D72" s="846">
        <v>0.19</v>
      </c>
      <c r="E72" s="846">
        <v>3</v>
      </c>
      <c r="F72" s="846">
        <v>96</v>
      </c>
      <c r="G72" s="846">
        <v>3.49</v>
      </c>
      <c r="H72" s="846">
        <v>-3.7</v>
      </c>
    </row>
    <row r="73" spans="1:8">
      <c r="A73" s="847" t="s">
        <v>205</v>
      </c>
      <c r="B73" s="846" t="s">
        <v>1076</v>
      </c>
      <c r="C73" s="846">
        <v>-4.33</v>
      </c>
      <c r="D73" s="846">
        <v>0.19</v>
      </c>
      <c r="E73" s="846">
        <v>12</v>
      </c>
      <c r="F73" s="846">
        <v>147</v>
      </c>
      <c r="G73" s="846">
        <v>3.86</v>
      </c>
      <c r="H73" s="846">
        <v>-4.58</v>
      </c>
    </row>
    <row r="74" spans="1:8">
      <c r="A74" s="847" t="s">
        <v>207</v>
      </c>
      <c r="B74" s="846" t="s">
        <v>1076</v>
      </c>
      <c r="C74" s="846">
        <v>-4.4800000000000004</v>
      </c>
      <c r="D74" s="846">
        <v>0.17</v>
      </c>
      <c r="E74" s="846">
        <v>6</v>
      </c>
      <c r="F74" s="846">
        <v>97</v>
      </c>
      <c r="G74" s="846">
        <v>3.94</v>
      </c>
      <c r="H74" s="846">
        <v>-4.16</v>
      </c>
    </row>
    <row r="75" spans="1:8">
      <c r="A75" s="847" t="s">
        <v>209</v>
      </c>
      <c r="B75" s="846" t="s">
        <v>1076</v>
      </c>
      <c r="C75" s="846">
        <v>-2.2999999999999998</v>
      </c>
      <c r="D75" s="846">
        <v>0.14000000000000001</v>
      </c>
      <c r="E75" s="846">
        <v>10</v>
      </c>
      <c r="F75" s="846">
        <v>135</v>
      </c>
      <c r="G75" s="846">
        <v>2.04</v>
      </c>
      <c r="H75" s="846">
        <v>-2.64</v>
      </c>
    </row>
    <row r="76" spans="1:8">
      <c r="A76" s="847" t="s">
        <v>211</v>
      </c>
      <c r="B76" s="846" t="s">
        <v>1076</v>
      </c>
      <c r="C76" s="846">
        <v>-4.0199999999999996</v>
      </c>
      <c r="D76" s="846">
        <v>0.16</v>
      </c>
      <c r="E76" s="846">
        <v>7</v>
      </c>
      <c r="F76" s="846">
        <v>139</v>
      </c>
      <c r="G76" s="846">
        <v>2.66</v>
      </c>
      <c r="H76" s="846">
        <v>-3.3</v>
      </c>
    </row>
    <row r="77" spans="1:8">
      <c r="A77" s="847" t="s">
        <v>213</v>
      </c>
      <c r="B77" s="846" t="s">
        <v>1076</v>
      </c>
      <c r="C77" s="846">
        <v>-3.75</v>
      </c>
      <c r="D77" s="846">
        <v>0.15</v>
      </c>
      <c r="E77" s="846">
        <v>9</v>
      </c>
      <c r="F77" s="846">
        <v>170</v>
      </c>
      <c r="G77" s="846">
        <v>1.91</v>
      </c>
      <c r="H77" s="846">
        <v>-2.86</v>
      </c>
    </row>
    <row r="78" spans="1:8">
      <c r="A78" s="847" t="s">
        <v>215</v>
      </c>
      <c r="B78" s="846" t="s">
        <v>1076</v>
      </c>
      <c r="C78" s="846">
        <v>-4.8600000000000003</v>
      </c>
      <c r="D78" s="846">
        <v>0.15</v>
      </c>
      <c r="E78" s="846">
        <v>10</v>
      </c>
      <c r="F78" s="846">
        <v>326</v>
      </c>
      <c r="G78" s="846">
        <v>2.44</v>
      </c>
      <c r="H78" s="846">
        <v>-4.95</v>
      </c>
    </row>
    <row r="79" spans="1:8">
      <c r="A79" s="847" t="s">
        <v>1086</v>
      </c>
      <c r="B79" s="846" t="s">
        <v>1076</v>
      </c>
      <c r="C79" s="846">
        <v>-3.33</v>
      </c>
      <c r="D79" s="846">
        <v>0.18</v>
      </c>
      <c r="E79" s="846">
        <v>5</v>
      </c>
      <c r="F79" s="846">
        <v>233</v>
      </c>
      <c r="G79" s="846">
        <v>1.8</v>
      </c>
      <c r="H79" s="846">
        <v>-3.38</v>
      </c>
    </row>
    <row r="80" spans="1:8">
      <c r="A80" s="847" t="s">
        <v>219</v>
      </c>
      <c r="B80" s="846" t="s">
        <v>1076</v>
      </c>
      <c r="C80" s="846">
        <v>-2.5299999999999998</v>
      </c>
      <c r="D80" s="846">
        <v>0.14000000000000001</v>
      </c>
      <c r="E80" s="846">
        <v>4</v>
      </c>
      <c r="F80" s="846">
        <v>282</v>
      </c>
      <c r="G80" s="846">
        <v>0.54</v>
      </c>
      <c r="H80" s="846">
        <v>-2.61</v>
      </c>
    </row>
    <row r="81" spans="1:8">
      <c r="A81" s="847" t="s">
        <v>221</v>
      </c>
      <c r="B81" s="846" t="s">
        <v>1076</v>
      </c>
      <c r="C81" s="846">
        <v>-4.83</v>
      </c>
      <c r="D81" s="846">
        <v>0.2</v>
      </c>
      <c r="E81" s="846">
        <v>4</v>
      </c>
      <c r="F81" s="846">
        <v>197</v>
      </c>
      <c r="G81" s="846">
        <v>2.2000000000000002</v>
      </c>
      <c r="H81" s="846">
        <v>-3.42</v>
      </c>
    </row>
    <row r="82" spans="1:8">
      <c r="A82" s="847" t="s">
        <v>223</v>
      </c>
      <c r="B82" s="846" t="s">
        <v>1076</v>
      </c>
      <c r="C82" s="846">
        <v>-4.45</v>
      </c>
      <c r="D82" s="846">
        <v>0.13</v>
      </c>
      <c r="E82" s="846">
        <v>4</v>
      </c>
      <c r="F82" s="846">
        <v>33</v>
      </c>
      <c r="G82" s="846">
        <v>4.24</v>
      </c>
      <c r="H82" s="846">
        <v>-3.82</v>
      </c>
    </row>
    <row r="83" spans="1:8">
      <c r="A83" s="847" t="s">
        <v>225</v>
      </c>
      <c r="B83" s="846" t="s">
        <v>1076</v>
      </c>
      <c r="C83" s="846">
        <v>-4.38</v>
      </c>
      <c r="D83" s="846">
        <v>0.19</v>
      </c>
      <c r="E83" s="846">
        <v>11</v>
      </c>
      <c r="F83" s="846">
        <v>60</v>
      </c>
      <c r="G83" s="846">
        <v>4.24</v>
      </c>
      <c r="H83" s="846">
        <v>-4.09</v>
      </c>
    </row>
    <row r="84" spans="1:8">
      <c r="A84" s="847" t="s">
        <v>227</v>
      </c>
      <c r="B84" s="846" t="s">
        <v>1076</v>
      </c>
      <c r="C84" s="846">
        <v>-4.7699999999999996</v>
      </c>
      <c r="D84" s="846">
        <v>0.17</v>
      </c>
      <c r="E84" s="846">
        <v>4</v>
      </c>
      <c r="F84" s="846">
        <v>131</v>
      </c>
      <c r="G84" s="846">
        <v>5.22</v>
      </c>
      <c r="H84" s="846">
        <v>-5.78</v>
      </c>
    </row>
    <row r="85" spans="1:8">
      <c r="A85" s="847" t="s">
        <v>1087</v>
      </c>
      <c r="B85" s="846" t="s">
        <v>1076</v>
      </c>
      <c r="C85" s="846">
        <v>-3.75</v>
      </c>
      <c r="D85" s="846">
        <v>0.18</v>
      </c>
      <c r="E85" s="846">
        <v>7</v>
      </c>
      <c r="F85" s="846">
        <v>254</v>
      </c>
      <c r="G85" s="846">
        <v>2.97</v>
      </c>
      <c r="H85" s="846">
        <v>-4.76</v>
      </c>
    </row>
    <row r="86" spans="1:8">
      <c r="A86" s="847" t="s">
        <v>230</v>
      </c>
      <c r="B86" s="846" t="s">
        <v>1076</v>
      </c>
      <c r="C86" s="846">
        <v>-5.17</v>
      </c>
      <c r="D86" s="846">
        <v>0.16</v>
      </c>
      <c r="E86" s="846">
        <v>5</v>
      </c>
      <c r="F86" s="846">
        <v>121</v>
      </c>
      <c r="G86" s="846">
        <v>5.91</v>
      </c>
      <c r="H86" s="846">
        <v>-6.37</v>
      </c>
    </row>
    <row r="87" spans="1:8">
      <c r="A87" s="847" t="s">
        <v>232</v>
      </c>
      <c r="B87" s="846" t="s">
        <v>1076</v>
      </c>
      <c r="C87" s="846">
        <v>-4.6100000000000003</v>
      </c>
      <c r="D87" s="846">
        <v>0.16</v>
      </c>
      <c r="E87" s="846">
        <v>5</v>
      </c>
      <c r="F87" s="846">
        <v>207</v>
      </c>
      <c r="G87" s="846">
        <v>2.56</v>
      </c>
      <c r="H87" s="846">
        <v>-3.88</v>
      </c>
    </row>
    <row r="88" spans="1:8">
      <c r="A88" s="847" t="s">
        <v>234</v>
      </c>
      <c r="B88" s="846" t="s">
        <v>1076</v>
      </c>
      <c r="C88" s="846">
        <v>-4.21</v>
      </c>
      <c r="D88" s="846">
        <v>0.16</v>
      </c>
      <c r="E88" s="846">
        <v>6</v>
      </c>
      <c r="F88" s="846">
        <v>135</v>
      </c>
      <c r="G88" s="846">
        <v>4.8499999999999996</v>
      </c>
      <c r="H88" s="846">
        <v>-5.45</v>
      </c>
    </row>
    <row r="89" spans="1:8">
      <c r="A89" s="847" t="s">
        <v>236</v>
      </c>
      <c r="B89" s="846" t="s">
        <v>1076</v>
      </c>
      <c r="C89" s="846">
        <v>-3.38</v>
      </c>
      <c r="D89" s="846">
        <v>0.19</v>
      </c>
      <c r="E89" s="846">
        <v>6</v>
      </c>
      <c r="F89" s="846">
        <v>275</v>
      </c>
      <c r="G89" s="846">
        <v>2.09</v>
      </c>
      <c r="H89" s="846">
        <v>-4.09</v>
      </c>
    </row>
    <row r="90" spans="1:8">
      <c r="A90" s="847" t="s">
        <v>238</v>
      </c>
      <c r="B90" s="846" t="s">
        <v>1076</v>
      </c>
      <c r="C90" s="846">
        <v>-6.41</v>
      </c>
      <c r="D90" s="846">
        <v>0.14000000000000001</v>
      </c>
      <c r="E90" s="846">
        <v>9</v>
      </c>
      <c r="F90" s="846">
        <v>220</v>
      </c>
      <c r="G90" s="846">
        <v>1.8</v>
      </c>
      <c r="H90" s="846">
        <v>-3.25</v>
      </c>
    </row>
    <row r="91" spans="1:8">
      <c r="A91" s="847" t="s">
        <v>240</v>
      </c>
      <c r="B91" s="846" t="s">
        <v>1076</v>
      </c>
      <c r="C91" s="846">
        <v>-2.62</v>
      </c>
      <c r="D91" s="846">
        <v>0.22</v>
      </c>
      <c r="E91" s="846">
        <v>9</v>
      </c>
      <c r="F91" s="846">
        <v>202</v>
      </c>
      <c r="G91" s="846">
        <v>1.53</v>
      </c>
      <c r="H91" s="846">
        <v>-2.8</v>
      </c>
    </row>
    <row r="92" spans="1:8">
      <c r="A92" s="847" t="s">
        <v>242</v>
      </c>
      <c r="B92" s="846" t="s">
        <v>1076</v>
      </c>
      <c r="C92" s="846">
        <v>-2.16</v>
      </c>
      <c r="D92" s="846">
        <v>0.14000000000000001</v>
      </c>
      <c r="E92" s="846">
        <v>3</v>
      </c>
      <c r="F92" s="846">
        <v>243</v>
      </c>
      <c r="G92" s="846">
        <v>1.48</v>
      </c>
      <c r="H92" s="846">
        <v>-3.16</v>
      </c>
    </row>
    <row r="93" spans="1:8">
      <c r="A93" s="847" t="s">
        <v>244</v>
      </c>
      <c r="B93" s="846" t="s">
        <v>1076</v>
      </c>
      <c r="C93" s="846">
        <v>-3.13</v>
      </c>
      <c r="D93" s="846">
        <v>0.14000000000000001</v>
      </c>
      <c r="E93" s="846">
        <v>3</v>
      </c>
      <c r="F93" s="846">
        <v>191</v>
      </c>
      <c r="G93" s="846">
        <v>1.67</v>
      </c>
      <c r="H93" s="846">
        <v>-2.83</v>
      </c>
    </row>
    <row r="94" spans="1:8">
      <c r="A94" s="847" t="s">
        <v>246</v>
      </c>
      <c r="B94" s="846" t="s">
        <v>1076</v>
      </c>
      <c r="C94" s="846">
        <v>-4.96</v>
      </c>
      <c r="D94" s="846">
        <v>0.21</v>
      </c>
      <c r="E94" s="846">
        <v>7</v>
      </c>
      <c r="F94" s="846">
        <v>184</v>
      </c>
      <c r="G94" s="846">
        <v>4.37</v>
      </c>
      <c r="H94" s="846">
        <v>-5.46</v>
      </c>
    </row>
    <row r="95" spans="1:8">
      <c r="A95" s="847" t="s">
        <v>248</v>
      </c>
      <c r="B95" s="846" t="s">
        <v>1076</v>
      </c>
      <c r="C95" s="846">
        <v>-3.11</v>
      </c>
      <c r="D95" s="846">
        <v>0.11</v>
      </c>
      <c r="E95" s="846">
        <v>3</v>
      </c>
      <c r="F95" s="846">
        <v>149</v>
      </c>
      <c r="G95" s="846">
        <v>2.62</v>
      </c>
      <c r="H95" s="846">
        <v>-3.36</v>
      </c>
    </row>
    <row r="96" spans="1:8">
      <c r="A96" s="847" t="s">
        <v>250</v>
      </c>
      <c r="B96" s="846" t="s">
        <v>1076</v>
      </c>
      <c r="C96" s="846">
        <v>-3.22</v>
      </c>
      <c r="D96" s="846">
        <v>0.15</v>
      </c>
      <c r="E96" s="846">
        <v>8</v>
      </c>
      <c r="F96" s="846">
        <v>165</v>
      </c>
      <c r="G96" s="846">
        <v>-0.37</v>
      </c>
      <c r="H96" s="846">
        <v>-0.53</v>
      </c>
    </row>
    <row r="97" spans="1:8">
      <c r="A97" s="847" t="s">
        <v>252</v>
      </c>
      <c r="B97" s="846" t="s">
        <v>1076</v>
      </c>
      <c r="C97" s="846">
        <v>-3.5</v>
      </c>
      <c r="D97" s="846">
        <v>0.16</v>
      </c>
      <c r="E97" s="846">
        <v>10</v>
      </c>
      <c r="F97" s="846">
        <v>225</v>
      </c>
      <c r="G97" s="846">
        <v>0.81</v>
      </c>
      <c r="H97" s="846">
        <v>-2.31</v>
      </c>
    </row>
    <row r="98" spans="1:8">
      <c r="A98" s="847" t="s">
        <v>254</v>
      </c>
      <c r="B98" s="846" t="s">
        <v>1076</v>
      </c>
      <c r="C98" s="846">
        <v>-3.52</v>
      </c>
      <c r="D98" s="846">
        <v>0.21</v>
      </c>
      <c r="E98" s="846">
        <v>5</v>
      </c>
      <c r="F98" s="846">
        <v>270</v>
      </c>
      <c r="G98" s="846">
        <v>0.62</v>
      </c>
      <c r="H98" s="846">
        <v>-2.57</v>
      </c>
    </row>
    <row r="99" spans="1:8">
      <c r="A99" s="847" t="s">
        <v>256</v>
      </c>
      <c r="B99" s="846" t="s">
        <v>1076</v>
      </c>
      <c r="C99" s="846">
        <v>-4.1100000000000003</v>
      </c>
      <c r="D99" s="846">
        <v>0.14000000000000001</v>
      </c>
      <c r="E99" s="846">
        <v>9</v>
      </c>
      <c r="F99" s="846">
        <v>313</v>
      </c>
      <c r="G99" s="846">
        <v>0.83</v>
      </c>
      <c r="H99" s="846">
        <v>-3.21</v>
      </c>
    </row>
    <row r="100" spans="1:8">
      <c r="A100" s="847" t="s">
        <v>258</v>
      </c>
      <c r="B100" s="846" t="s">
        <v>1076</v>
      </c>
      <c r="C100" s="846">
        <v>-4.78</v>
      </c>
      <c r="D100" s="846">
        <v>0.2</v>
      </c>
      <c r="E100" s="846">
        <v>11</v>
      </c>
      <c r="F100" s="846">
        <v>161</v>
      </c>
      <c r="G100" s="846">
        <v>3.61</v>
      </c>
      <c r="H100" s="846">
        <v>-4.47</v>
      </c>
    </row>
    <row r="101" spans="1:8">
      <c r="A101" s="848" t="s">
        <v>109</v>
      </c>
      <c r="B101" s="846" t="s">
        <v>1076</v>
      </c>
      <c r="C101" s="849">
        <v>-3.6</v>
      </c>
      <c r="D101" s="849">
        <v>0.21</v>
      </c>
      <c r="E101" s="849">
        <v>3</v>
      </c>
      <c r="F101" s="849">
        <v>300</v>
      </c>
      <c r="G101" s="849">
        <v>-1.06</v>
      </c>
      <c r="H101" s="849">
        <v>-1.19</v>
      </c>
    </row>
    <row r="102" spans="1:8">
      <c r="A102" s="847" t="s">
        <v>268</v>
      </c>
      <c r="B102" s="845" t="s">
        <v>1088</v>
      </c>
      <c r="C102" s="845">
        <v>-2.19</v>
      </c>
      <c r="D102" s="845">
        <v>0.5</v>
      </c>
      <c r="E102" s="845">
        <v>3</v>
      </c>
      <c r="F102" s="845">
        <v>180</v>
      </c>
      <c r="G102" s="845">
        <v>1.91</v>
      </c>
      <c r="H102" s="845">
        <v>-2.96</v>
      </c>
    </row>
    <row r="103" spans="1:8">
      <c r="A103" s="847" t="s">
        <v>270</v>
      </c>
      <c r="B103" s="846" t="s">
        <v>1088</v>
      </c>
      <c r="C103" s="846">
        <v>-10.4</v>
      </c>
      <c r="D103" s="846">
        <v>0.5</v>
      </c>
      <c r="E103" s="846">
        <v>5</v>
      </c>
      <c r="F103" s="846">
        <v>156</v>
      </c>
      <c r="G103" s="846">
        <v>6.94</v>
      </c>
      <c r="H103" s="846">
        <v>-7.75</v>
      </c>
    </row>
    <row r="104" spans="1:8">
      <c r="A104" s="847" t="s">
        <v>272</v>
      </c>
      <c r="B104" s="846" t="s">
        <v>1088</v>
      </c>
      <c r="C104" s="846">
        <v>-5.49</v>
      </c>
      <c r="D104" s="846">
        <v>0.65</v>
      </c>
      <c r="E104" s="846">
        <v>3</v>
      </c>
      <c r="F104" s="846">
        <v>208</v>
      </c>
      <c r="G104" s="846">
        <v>5.18</v>
      </c>
      <c r="H104" s="846">
        <v>-6.51</v>
      </c>
    </row>
    <row r="105" spans="1:8">
      <c r="A105" s="847" t="s">
        <v>274</v>
      </c>
      <c r="B105" s="846" t="s">
        <v>1088</v>
      </c>
      <c r="C105" s="846">
        <v>-2.09</v>
      </c>
      <c r="D105" s="846">
        <v>0.59</v>
      </c>
      <c r="E105" s="846">
        <v>3</v>
      </c>
      <c r="F105" s="846">
        <v>100</v>
      </c>
      <c r="G105" s="846">
        <v>2.37</v>
      </c>
      <c r="H105" s="846">
        <v>-2.62</v>
      </c>
    </row>
    <row r="106" spans="1:8">
      <c r="A106" s="847" t="s">
        <v>276</v>
      </c>
      <c r="B106" s="846" t="s">
        <v>1088</v>
      </c>
      <c r="C106" s="846">
        <v>-5.5</v>
      </c>
      <c r="D106" s="846">
        <v>0.51</v>
      </c>
      <c r="E106" s="846">
        <v>5</v>
      </c>
      <c r="F106" s="846">
        <v>217</v>
      </c>
      <c r="G106" s="846">
        <v>3.19</v>
      </c>
      <c r="H106" s="846">
        <v>-4.6100000000000003</v>
      </c>
    </row>
    <row r="107" spans="1:8">
      <c r="A107" s="847" t="s">
        <v>278</v>
      </c>
      <c r="B107" s="846" t="s">
        <v>1088</v>
      </c>
      <c r="C107" s="846">
        <v>-6.07</v>
      </c>
      <c r="D107" s="846">
        <v>0.83</v>
      </c>
      <c r="E107" s="846">
        <v>3</v>
      </c>
      <c r="F107" s="846">
        <v>210</v>
      </c>
      <c r="G107" s="846">
        <v>4.41</v>
      </c>
      <c r="H107" s="846">
        <v>-5.76</v>
      </c>
    </row>
    <row r="108" spans="1:8">
      <c r="A108" s="847" t="s">
        <v>280</v>
      </c>
      <c r="B108" s="846" t="s">
        <v>1088</v>
      </c>
      <c r="C108" s="846">
        <v>-5.99</v>
      </c>
      <c r="D108" s="846">
        <v>0.51</v>
      </c>
      <c r="E108" s="846">
        <v>6</v>
      </c>
      <c r="F108" s="846">
        <v>98</v>
      </c>
      <c r="G108" s="846">
        <v>5.19</v>
      </c>
      <c r="H108" s="846">
        <v>-5.42</v>
      </c>
    </row>
    <row r="109" spans="1:8">
      <c r="A109" s="847" t="s">
        <v>282</v>
      </c>
      <c r="B109" s="846" t="s">
        <v>1088</v>
      </c>
      <c r="C109" s="846">
        <v>-9.0500000000000007</v>
      </c>
      <c r="D109" s="846">
        <v>0.93</v>
      </c>
      <c r="E109" s="846">
        <v>5</v>
      </c>
      <c r="F109" s="846">
        <v>211</v>
      </c>
      <c r="G109" s="846">
        <v>7.49</v>
      </c>
      <c r="H109" s="846">
        <v>-8.85</v>
      </c>
    </row>
    <row r="110" spans="1:8">
      <c r="A110" s="847" t="s">
        <v>112</v>
      </c>
      <c r="B110" s="846" t="s">
        <v>1088</v>
      </c>
      <c r="C110" s="846">
        <v>-5.36</v>
      </c>
      <c r="D110" s="846">
        <v>0.68</v>
      </c>
      <c r="E110" s="846">
        <v>3</v>
      </c>
      <c r="F110" s="846">
        <v>177</v>
      </c>
      <c r="G110" s="846">
        <v>3.37</v>
      </c>
      <c r="H110" s="846">
        <v>-4.3899999999999997</v>
      </c>
    </row>
    <row r="111" spans="1:8">
      <c r="A111" s="847" t="s">
        <v>285</v>
      </c>
      <c r="B111" s="846" t="s">
        <v>1088</v>
      </c>
      <c r="C111" s="846">
        <v>-6.1</v>
      </c>
      <c r="D111" s="846">
        <v>0.52</v>
      </c>
      <c r="E111" s="846">
        <v>10</v>
      </c>
      <c r="F111" s="846">
        <v>229</v>
      </c>
      <c r="G111" s="846">
        <v>4.22</v>
      </c>
      <c r="H111" s="846">
        <v>-5.76</v>
      </c>
    </row>
    <row r="112" spans="1:8">
      <c r="A112" s="847" t="s">
        <v>288</v>
      </c>
      <c r="B112" s="846" t="s">
        <v>1088</v>
      </c>
      <c r="C112" s="846">
        <v>-1.24</v>
      </c>
      <c r="D112" s="846">
        <v>0.54</v>
      </c>
      <c r="E112" s="846">
        <v>3</v>
      </c>
      <c r="F112" s="846">
        <v>162</v>
      </c>
      <c r="G112" s="846">
        <v>-0.21</v>
      </c>
      <c r="H112" s="846">
        <v>-0.66</v>
      </c>
    </row>
    <row r="113" spans="1:8">
      <c r="A113" s="847" t="s">
        <v>290</v>
      </c>
      <c r="B113" s="846" t="s">
        <v>1088</v>
      </c>
      <c r="C113" s="846">
        <v>-4.99</v>
      </c>
      <c r="D113" s="846">
        <v>0.56000000000000005</v>
      </c>
      <c r="E113" s="846">
        <v>11</v>
      </c>
      <c r="F113" s="846">
        <v>214</v>
      </c>
      <c r="G113" s="846">
        <v>3.04</v>
      </c>
      <c r="H113" s="846">
        <v>-4.43</v>
      </c>
    </row>
    <row r="114" spans="1:8">
      <c r="A114" s="847" t="s">
        <v>292</v>
      </c>
      <c r="B114" s="846" t="s">
        <v>1088</v>
      </c>
      <c r="C114" s="846">
        <v>-3.21</v>
      </c>
      <c r="D114" s="846">
        <v>0.55000000000000004</v>
      </c>
      <c r="E114" s="846">
        <v>4</v>
      </c>
      <c r="F114" s="846">
        <v>169</v>
      </c>
      <c r="G114" s="846">
        <v>3.35</v>
      </c>
      <c r="H114" s="846">
        <v>-4.29</v>
      </c>
    </row>
    <row r="115" spans="1:8" ht="16">
      <c r="A115" s="847" t="s">
        <v>114</v>
      </c>
      <c r="B115" s="846" t="s">
        <v>1088</v>
      </c>
      <c r="C115" s="846">
        <v>-1.96</v>
      </c>
      <c r="D115" s="846">
        <v>0.55000000000000004</v>
      </c>
      <c r="E115" s="846">
        <v>3</v>
      </c>
      <c r="F115" s="846" t="s">
        <v>1089</v>
      </c>
      <c r="G115" s="846">
        <v>2.81</v>
      </c>
      <c r="H115" s="846">
        <v>-3.3</v>
      </c>
    </row>
    <row r="116" spans="1:8">
      <c r="A116" s="847" t="s">
        <v>295</v>
      </c>
      <c r="B116" s="846" t="s">
        <v>1088</v>
      </c>
      <c r="C116" s="846">
        <v>-4.9400000000000004</v>
      </c>
      <c r="D116" s="846">
        <v>0.51</v>
      </c>
      <c r="E116" s="846">
        <v>4</v>
      </c>
      <c r="F116" s="846">
        <v>165</v>
      </c>
      <c r="G116" s="846">
        <v>4.8899999999999997</v>
      </c>
      <c r="H116" s="846">
        <v>-5.79</v>
      </c>
    </row>
    <row r="117" spans="1:8">
      <c r="A117" s="847" t="s">
        <v>117</v>
      </c>
      <c r="B117" s="846" t="s">
        <v>1088</v>
      </c>
      <c r="C117" s="846">
        <v>-5.84</v>
      </c>
      <c r="D117" s="846">
        <v>0.65</v>
      </c>
      <c r="E117" s="846">
        <v>4</v>
      </c>
      <c r="F117" s="846">
        <v>161</v>
      </c>
      <c r="G117" s="846">
        <v>4.76</v>
      </c>
      <c r="H117" s="846">
        <v>-5.62</v>
      </c>
    </row>
    <row r="118" spans="1:8">
      <c r="A118" s="847" t="s">
        <v>1090</v>
      </c>
      <c r="B118" s="846" t="s">
        <v>1088</v>
      </c>
      <c r="C118" s="846">
        <v>-5.49</v>
      </c>
      <c r="D118" s="846">
        <v>0.66</v>
      </c>
      <c r="E118" s="846">
        <v>3</v>
      </c>
      <c r="F118" s="846">
        <v>155</v>
      </c>
      <c r="G118" s="846">
        <v>3.74</v>
      </c>
      <c r="H118" s="846">
        <v>-4.54</v>
      </c>
    </row>
    <row r="119" spans="1:8">
      <c r="A119" s="847" t="s">
        <v>300</v>
      </c>
      <c r="B119" s="846" t="s">
        <v>1088</v>
      </c>
      <c r="C119" s="846">
        <v>-8.98</v>
      </c>
      <c r="D119" s="846">
        <v>0.61</v>
      </c>
      <c r="E119" s="846">
        <v>3</v>
      </c>
      <c r="F119" s="846">
        <v>165</v>
      </c>
      <c r="G119" s="846">
        <v>5.58</v>
      </c>
      <c r="H119" s="846">
        <v>-6.48</v>
      </c>
    </row>
    <row r="120" spans="1:8">
      <c r="A120" s="847" t="s">
        <v>302</v>
      </c>
      <c r="B120" s="846" t="s">
        <v>1088</v>
      </c>
      <c r="C120" s="846">
        <v>-5.82</v>
      </c>
      <c r="D120" s="846">
        <v>0.5</v>
      </c>
      <c r="E120" s="846">
        <v>6</v>
      </c>
      <c r="F120" s="846">
        <v>161</v>
      </c>
      <c r="G120" s="846">
        <v>6.45</v>
      </c>
      <c r="H120" s="846">
        <v>-7.31</v>
      </c>
    </row>
    <row r="121" spans="1:8">
      <c r="A121" s="847" t="s">
        <v>304</v>
      </c>
      <c r="B121" s="846" t="s">
        <v>1088</v>
      </c>
      <c r="C121" s="846">
        <v>-5.22</v>
      </c>
      <c r="D121" s="846">
        <v>0.75</v>
      </c>
      <c r="E121" s="846">
        <v>4</v>
      </c>
      <c r="F121" s="846">
        <v>194</v>
      </c>
      <c r="G121" s="846">
        <v>5.41</v>
      </c>
      <c r="H121" s="846">
        <v>-6.6</v>
      </c>
    </row>
    <row r="122" spans="1:8">
      <c r="A122" s="847" t="s">
        <v>306</v>
      </c>
      <c r="B122" s="846" t="s">
        <v>1088</v>
      </c>
      <c r="C122" s="846">
        <v>-3.7</v>
      </c>
      <c r="D122" s="846">
        <v>0.5</v>
      </c>
      <c r="E122" s="846">
        <v>3</v>
      </c>
      <c r="F122" s="846">
        <v>156</v>
      </c>
      <c r="G122" s="846">
        <v>2.9</v>
      </c>
      <c r="H122" s="846">
        <v>-3.71</v>
      </c>
    </row>
    <row r="123" spans="1:8">
      <c r="A123" s="847" t="s">
        <v>308</v>
      </c>
      <c r="B123" s="846" t="s">
        <v>1088</v>
      </c>
      <c r="C123" s="846">
        <v>-6.2</v>
      </c>
      <c r="D123" s="846">
        <v>0.66</v>
      </c>
      <c r="E123" s="846">
        <v>4</v>
      </c>
      <c r="F123" s="846">
        <v>184</v>
      </c>
      <c r="G123" s="846">
        <v>3.16</v>
      </c>
      <c r="H123" s="846">
        <v>-4.25</v>
      </c>
    </row>
    <row r="124" spans="1:8">
      <c r="A124" s="847" t="s">
        <v>310</v>
      </c>
      <c r="B124" s="846" t="s">
        <v>1088</v>
      </c>
      <c r="C124" s="846">
        <v>-2.2999999999999998</v>
      </c>
      <c r="D124" s="846">
        <v>0.6</v>
      </c>
      <c r="E124" s="846">
        <v>3</v>
      </c>
      <c r="F124" s="846">
        <v>61</v>
      </c>
      <c r="G124" s="846">
        <v>1.77</v>
      </c>
      <c r="H124" s="846">
        <v>-1.63</v>
      </c>
    </row>
    <row r="125" spans="1:8">
      <c r="A125" s="847" t="s">
        <v>312</v>
      </c>
      <c r="B125" s="846" t="s">
        <v>1088</v>
      </c>
      <c r="C125" s="846">
        <v>-3.06</v>
      </c>
      <c r="D125" s="846">
        <v>0.56999999999999995</v>
      </c>
      <c r="E125" s="846">
        <v>7</v>
      </c>
      <c r="F125" s="846">
        <v>177</v>
      </c>
      <c r="G125" s="846">
        <v>3.17</v>
      </c>
      <c r="H125" s="846">
        <v>-4.1900000000000004</v>
      </c>
    </row>
    <row r="126" spans="1:8">
      <c r="A126" s="847" t="s">
        <v>314</v>
      </c>
      <c r="B126" s="846" t="s">
        <v>1088</v>
      </c>
      <c r="C126" s="846">
        <v>-6.82</v>
      </c>
      <c r="D126" s="846">
        <v>0.56000000000000005</v>
      </c>
      <c r="E126" s="846">
        <v>6</v>
      </c>
      <c r="F126" s="846">
        <v>145</v>
      </c>
      <c r="G126" s="846">
        <v>6.08</v>
      </c>
      <c r="H126" s="846">
        <v>-6.78</v>
      </c>
    </row>
    <row r="127" spans="1:8" ht="16">
      <c r="A127" s="847" t="s">
        <v>316</v>
      </c>
      <c r="B127" s="846" t="s">
        <v>1088</v>
      </c>
      <c r="C127" s="846">
        <v>-4.09</v>
      </c>
      <c r="D127" s="846">
        <v>0.66</v>
      </c>
      <c r="E127" s="846">
        <v>3</v>
      </c>
      <c r="F127" s="846" t="s">
        <v>1091</v>
      </c>
      <c r="G127" s="846">
        <v>4.62</v>
      </c>
      <c r="H127" s="846">
        <v>-5.63</v>
      </c>
    </row>
    <row r="128" spans="1:8">
      <c r="A128" s="847" t="s">
        <v>318</v>
      </c>
      <c r="B128" s="846" t="s">
        <v>1088</v>
      </c>
      <c r="C128" s="846">
        <v>-5.92</v>
      </c>
      <c r="D128" s="846">
        <v>0.57999999999999996</v>
      </c>
      <c r="E128" s="846">
        <v>3</v>
      </c>
      <c r="F128" s="846">
        <v>350</v>
      </c>
      <c r="G128" s="846">
        <v>3.09</v>
      </c>
      <c r="H128" s="846">
        <v>-5.84</v>
      </c>
    </row>
    <row r="129" spans="1:8">
      <c r="A129" s="847" t="s">
        <v>320</v>
      </c>
      <c r="B129" s="846" t="s">
        <v>1088</v>
      </c>
      <c r="C129" s="846">
        <v>-3.74</v>
      </c>
      <c r="D129" s="846">
        <v>0.7</v>
      </c>
      <c r="E129" s="846">
        <v>3</v>
      </c>
      <c r="F129" s="846">
        <v>204</v>
      </c>
      <c r="G129" s="846">
        <v>0.88</v>
      </c>
      <c r="H129" s="846">
        <v>-2.17</v>
      </c>
    </row>
    <row r="130" spans="1:8">
      <c r="A130" s="847" t="s">
        <v>322</v>
      </c>
      <c r="B130" s="846" t="s">
        <v>1088</v>
      </c>
      <c r="C130" s="846">
        <v>-7.52</v>
      </c>
      <c r="D130" s="846">
        <v>0.72</v>
      </c>
      <c r="E130" s="846">
        <v>7</v>
      </c>
      <c r="F130" s="846">
        <v>98</v>
      </c>
      <c r="G130" s="846">
        <v>6</v>
      </c>
      <c r="H130" s="846">
        <v>-6.23</v>
      </c>
    </row>
    <row r="131" spans="1:8">
      <c r="A131" s="847" t="s">
        <v>324</v>
      </c>
      <c r="B131" s="846" t="s">
        <v>1088</v>
      </c>
      <c r="C131" s="846">
        <v>-6.73</v>
      </c>
      <c r="D131" s="846">
        <v>0.84</v>
      </c>
      <c r="E131" s="846">
        <v>5</v>
      </c>
      <c r="F131" s="846">
        <v>262</v>
      </c>
      <c r="G131" s="846">
        <v>7.26</v>
      </c>
      <c r="H131" s="846">
        <v>-9.1300000000000008</v>
      </c>
    </row>
    <row r="132" spans="1:8">
      <c r="A132" s="847" t="s">
        <v>326</v>
      </c>
      <c r="B132" s="846" t="s">
        <v>1088</v>
      </c>
      <c r="C132" s="846">
        <v>-7.74</v>
      </c>
      <c r="D132" s="846">
        <v>0.71</v>
      </c>
      <c r="E132" s="846">
        <v>11</v>
      </c>
      <c r="F132" s="846">
        <v>150</v>
      </c>
      <c r="G132" s="846">
        <v>6.45</v>
      </c>
      <c r="H132" s="846">
        <v>-7.2</v>
      </c>
    </row>
    <row r="133" spans="1:8">
      <c r="A133" s="848" t="s">
        <v>328</v>
      </c>
      <c r="B133" s="846" t="s">
        <v>1088</v>
      </c>
      <c r="C133" s="849">
        <v>-3.97</v>
      </c>
      <c r="D133" s="849">
        <v>0.5</v>
      </c>
      <c r="E133" s="849">
        <v>4</v>
      </c>
      <c r="F133" s="849">
        <v>305</v>
      </c>
      <c r="G133" s="849">
        <v>2.69</v>
      </c>
      <c r="H133" s="849">
        <v>-4.99</v>
      </c>
    </row>
    <row r="134" spans="1:8">
      <c r="A134" s="850"/>
      <c r="B134" s="845"/>
      <c r="C134" s="845"/>
      <c r="D134" s="845"/>
      <c r="E134" s="851"/>
      <c r="F134" s="845"/>
      <c r="G134" s="845"/>
      <c r="H134" s="845"/>
    </row>
    <row r="135" spans="1:8">
      <c r="A135" s="850"/>
      <c r="B135" s="846"/>
      <c r="C135" s="846"/>
      <c r="D135" s="846"/>
      <c r="F135" s="846"/>
      <c r="G135" s="846"/>
      <c r="H135" s="846"/>
    </row>
    <row r="136" spans="1:8">
      <c r="A136" s="850"/>
      <c r="B136" s="846"/>
      <c r="C136" s="846"/>
      <c r="D136" s="846"/>
      <c r="F136" s="846"/>
      <c r="G136" s="846"/>
    </row>
    <row r="137" spans="1:8" ht="16">
      <c r="A137" s="852"/>
      <c r="B137" s="853"/>
      <c r="C137" s="852"/>
      <c r="D137" s="852"/>
      <c r="E137" s="852"/>
      <c r="F137" s="852"/>
      <c r="G137" s="852"/>
      <c r="H137" s="852"/>
    </row>
    <row r="138" spans="1:8">
      <c r="A138" s="847"/>
      <c r="B138" s="846"/>
      <c r="C138" s="847"/>
      <c r="D138" s="847"/>
      <c r="E138" s="847"/>
      <c r="F138" s="847"/>
      <c r="G138" s="847"/>
    </row>
    <row r="139" spans="1:8" ht="16">
      <c r="A139" s="852"/>
      <c r="B139" s="853"/>
      <c r="C139" s="852"/>
      <c r="D139" s="852"/>
      <c r="E139" s="852"/>
    </row>
    <row r="140" spans="1:8">
      <c r="A140" s="847"/>
      <c r="B140" s="846"/>
      <c r="C140" s="847"/>
      <c r="D140" s="847"/>
      <c r="E140" s="847"/>
      <c r="F140" s="847"/>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194"/>
  <sheetViews>
    <sheetView tabSelected="1" topLeftCell="A19" zoomScale="145" zoomScaleNormal="145" workbookViewId="0">
      <selection activeCell="A122" sqref="A122"/>
    </sheetView>
  </sheetViews>
  <sheetFormatPr baseColWidth="10" defaultColWidth="9.1640625" defaultRowHeight="15"/>
  <cols>
    <col min="1" max="1" width="18.83203125" customWidth="1"/>
    <col min="2" max="3" width="11.33203125" customWidth="1"/>
    <col min="4" max="4" width="7.6640625" customWidth="1"/>
    <col min="5" max="5" width="7.83203125" customWidth="1"/>
    <col min="6" max="6" width="10.1640625" customWidth="1"/>
    <col min="7" max="7" width="11.5" customWidth="1"/>
    <col min="10" max="10" width="16.5" customWidth="1"/>
    <col min="11" max="11" width="4.5" customWidth="1"/>
    <col min="14" max="14" width="9" style="47" customWidth="1"/>
  </cols>
  <sheetData>
    <row r="1" spans="1:26" ht="34">
      <c r="B1" s="87" t="s">
        <v>0</v>
      </c>
      <c r="C1" s="61"/>
      <c r="Z1" s="76"/>
    </row>
    <row r="2" spans="1:26" s="47" customFormat="1" ht="21">
      <c r="B2" s="91" t="s">
        <v>1</v>
      </c>
      <c r="C2" s="92"/>
      <c r="Z2" s="77"/>
    </row>
    <row r="3" spans="1:26" s="47" customFormat="1" ht="19">
      <c r="B3" s="93" t="s">
        <v>2</v>
      </c>
      <c r="C3" s="92"/>
      <c r="Z3" s="78"/>
    </row>
    <row r="4" spans="1:26">
      <c r="A4" s="37" t="s">
        <v>3</v>
      </c>
      <c r="B4" s="106"/>
      <c r="C4" s="44"/>
      <c r="D4" s="44"/>
      <c r="E4" s="44"/>
      <c r="F4" s="44"/>
      <c r="G4" s="44"/>
      <c r="H4" s="44"/>
      <c r="I4" s="44"/>
      <c r="J4" s="44"/>
      <c r="K4" s="44"/>
      <c r="L4" s="44"/>
      <c r="M4" s="44"/>
      <c r="N4" s="48"/>
      <c r="O4" s="44"/>
      <c r="P4" s="44"/>
      <c r="Q4" s="44"/>
      <c r="R4" s="44"/>
      <c r="S4" s="45"/>
    </row>
    <row r="5" spans="1:26">
      <c r="A5" s="37" t="s">
        <v>4</v>
      </c>
      <c r="B5" s="107"/>
      <c r="C5" s="39"/>
      <c r="D5" s="39"/>
      <c r="E5" s="39"/>
      <c r="F5" s="39"/>
      <c r="G5" s="39"/>
      <c r="H5" s="39"/>
      <c r="I5" s="39"/>
      <c r="J5" s="39"/>
      <c r="K5" s="39"/>
      <c r="L5" s="39"/>
      <c r="M5" s="39"/>
      <c r="N5" s="49"/>
      <c r="O5" s="39"/>
      <c r="P5" s="39"/>
      <c r="Q5" s="39"/>
      <c r="R5" s="39"/>
      <c r="S5" s="40"/>
    </row>
    <row r="6" spans="1:26">
      <c r="A6" s="38" t="s">
        <v>5</v>
      </c>
      <c r="B6" s="106"/>
      <c r="C6" s="44"/>
      <c r="D6" s="44"/>
      <c r="E6" s="44"/>
      <c r="F6" s="44"/>
      <c r="G6" s="44"/>
      <c r="H6" s="44"/>
      <c r="I6" s="44"/>
      <c r="J6" s="44"/>
      <c r="K6" s="44"/>
      <c r="L6" s="44"/>
      <c r="M6" s="44"/>
      <c r="N6" s="48"/>
      <c r="O6" s="44"/>
      <c r="P6" s="44"/>
      <c r="Q6" s="44"/>
      <c r="R6" s="44"/>
      <c r="S6" s="45"/>
    </row>
    <row r="7" spans="1:26">
      <c r="A7" s="79"/>
      <c r="B7" s="26"/>
      <c r="C7" s="39"/>
      <c r="D7" s="39"/>
      <c r="E7" s="39"/>
      <c r="F7" s="39"/>
      <c r="G7" s="39"/>
      <c r="H7" s="39"/>
      <c r="I7" s="39"/>
      <c r="J7" s="39"/>
      <c r="K7" s="39"/>
      <c r="L7" s="39"/>
      <c r="M7" s="39"/>
      <c r="N7" s="49"/>
      <c r="O7" s="39"/>
      <c r="P7" s="39"/>
      <c r="Q7" s="39"/>
      <c r="R7" s="39"/>
      <c r="S7" s="40"/>
    </row>
    <row r="8" spans="1:26">
      <c r="A8" s="38" t="s">
        <v>6</v>
      </c>
      <c r="B8" s="106"/>
      <c r="C8" s="44"/>
      <c r="D8" s="44"/>
      <c r="E8" s="44"/>
      <c r="F8" s="44"/>
      <c r="G8" s="44"/>
      <c r="H8" s="44"/>
      <c r="I8" s="44"/>
      <c r="J8" s="44"/>
      <c r="K8" s="44"/>
      <c r="L8" s="44"/>
      <c r="M8" s="44"/>
      <c r="N8" s="48"/>
      <c r="O8" s="44"/>
      <c r="P8" s="44"/>
      <c r="Q8" s="44"/>
      <c r="R8" s="44"/>
      <c r="S8" s="45"/>
    </row>
    <row r="9" spans="1:26">
      <c r="A9" s="36" t="s">
        <v>7</v>
      </c>
      <c r="B9" s="108"/>
      <c r="C9" s="41"/>
      <c r="D9" s="41"/>
      <c r="E9" s="41"/>
      <c r="F9" s="41"/>
      <c r="G9" s="41"/>
      <c r="H9" s="41"/>
      <c r="I9" s="41"/>
      <c r="J9" s="41"/>
      <c r="K9" s="41"/>
      <c r="L9" s="41"/>
      <c r="M9" s="41"/>
      <c r="N9" s="50"/>
      <c r="O9" s="41"/>
      <c r="P9" s="41"/>
      <c r="Q9" s="41"/>
      <c r="R9" s="41"/>
      <c r="S9" s="42"/>
    </row>
    <row r="10" spans="1:26">
      <c r="A10" s="88"/>
    </row>
    <row r="11" spans="1:26" s="86" customFormat="1" ht="26">
      <c r="A11" s="86" t="s">
        <v>8</v>
      </c>
    </row>
    <row r="12" spans="1:26">
      <c r="B12" s="94" t="s">
        <v>9</v>
      </c>
    </row>
    <row r="13" spans="1:26" s="90" customFormat="1">
      <c r="A13" s="89" t="s">
        <v>10</v>
      </c>
    </row>
    <row r="14" spans="1:26">
      <c r="B14" s="105"/>
      <c r="C14" t="s">
        <v>11</v>
      </c>
    </row>
    <row r="15" spans="1:26" s="90" customFormat="1">
      <c r="A15" s="89" t="s">
        <v>12</v>
      </c>
    </row>
    <row r="16" spans="1:26">
      <c r="B16" s="105"/>
      <c r="C16" t="s">
        <v>11</v>
      </c>
    </row>
    <row r="17" spans="1:32" s="90" customFormat="1">
      <c r="A17" s="89" t="s">
        <v>13</v>
      </c>
    </row>
    <row r="18" spans="1:32">
      <c r="B18" s="106" t="s">
        <v>14</v>
      </c>
      <c r="C18" s="44"/>
      <c r="D18" s="44"/>
      <c r="E18" s="44"/>
      <c r="F18" s="44"/>
      <c r="G18" s="44"/>
      <c r="H18" s="44"/>
      <c r="I18" s="44"/>
      <c r="J18" s="44"/>
      <c r="K18" s="44"/>
      <c r="L18" s="44"/>
      <c r="M18" s="44"/>
      <c r="N18" s="48"/>
      <c r="O18" s="44"/>
      <c r="P18" s="44"/>
      <c r="Q18" s="44"/>
      <c r="R18" s="44"/>
      <c r="S18" s="45"/>
      <c r="T18" t="s">
        <v>15</v>
      </c>
    </row>
    <row r="20" spans="1:32" s="64" customFormat="1">
      <c r="A20" s="64" t="s">
        <v>16</v>
      </c>
    </row>
    <row r="21" spans="1:32" s="46" customFormat="1" ht="35" thickBot="1">
      <c r="A21" s="52" t="s">
        <v>17</v>
      </c>
      <c r="B21" s="5"/>
      <c r="C21" s="5"/>
      <c r="D21" s="5"/>
      <c r="E21" s="5"/>
      <c r="F21" s="5"/>
      <c r="G21" s="5"/>
      <c r="H21" s="5"/>
      <c r="I21" s="5"/>
      <c r="J21" s="5"/>
      <c r="K21" s="5"/>
      <c r="L21" s="5"/>
      <c r="M21" s="5"/>
      <c r="N21" s="51"/>
      <c r="O21" s="47"/>
      <c r="P21" s="47"/>
      <c r="Q21" s="47"/>
      <c r="R21" s="47"/>
      <c r="S21" s="47"/>
      <c r="T21" s="47"/>
      <c r="U21" s="47"/>
      <c r="V21" s="47"/>
      <c r="W21" s="47"/>
      <c r="X21" s="47"/>
      <c r="Y21" s="47"/>
      <c r="Z21" s="47"/>
      <c r="AA21" s="47"/>
      <c r="AB21" s="47"/>
      <c r="AC21" s="47"/>
    </row>
    <row r="22" spans="1:32" ht="41.25" customHeight="1" thickBot="1">
      <c r="A22" s="55" t="s">
        <v>18</v>
      </c>
      <c r="B22" s="56" t="s">
        <v>19</v>
      </c>
      <c r="C22" s="56" t="s">
        <v>20</v>
      </c>
      <c r="D22" s="56" t="s">
        <v>21</v>
      </c>
      <c r="E22" s="56" t="s">
        <v>22</v>
      </c>
      <c r="F22" s="56" t="s">
        <v>23</v>
      </c>
      <c r="G22" s="56" t="s">
        <v>24</v>
      </c>
      <c r="H22" s="56" t="s">
        <v>25</v>
      </c>
      <c r="I22" s="102" t="s">
        <v>26</v>
      </c>
      <c r="J22" s="100"/>
      <c r="K22" s="57" t="s">
        <v>27</v>
      </c>
      <c r="L22" s="57"/>
      <c r="M22" s="57"/>
      <c r="N22" s="58" t="s">
        <v>28</v>
      </c>
      <c r="O22" s="59"/>
      <c r="P22" s="59"/>
      <c r="Q22" s="59"/>
      <c r="R22" s="59"/>
      <c r="S22" s="59"/>
      <c r="T22" s="59"/>
      <c r="U22" s="60"/>
      <c r="V22" s="46"/>
      <c r="W22" s="46"/>
      <c r="X22" s="46"/>
      <c r="Y22" s="46"/>
      <c r="Z22" s="46"/>
      <c r="AA22" s="46"/>
      <c r="AB22" s="46"/>
      <c r="AC22" s="46"/>
    </row>
    <row r="23" spans="1:32">
      <c r="A23" s="81" t="s">
        <v>29</v>
      </c>
      <c r="B23" s="104">
        <f>-1.12*I23-0.599*G23</f>
        <v>-1.3216600000000001</v>
      </c>
      <c r="C23" s="73" t="s">
        <v>30</v>
      </c>
      <c r="D23" s="12">
        <v>0.17592262140645501</v>
      </c>
      <c r="E23" s="10">
        <v>11</v>
      </c>
      <c r="F23" s="10">
        <v>258.5</v>
      </c>
      <c r="G23" s="6">
        <v>-0.86</v>
      </c>
      <c r="H23" s="14">
        <f t="shared" ref="H23:H54" si="0">0.5-G23-0.01*(F23-25)</f>
        <v>-0.97500000000000009</v>
      </c>
      <c r="I23" s="103">
        <v>1.64</v>
      </c>
      <c r="J23" s="53" t="s">
        <v>31</v>
      </c>
      <c r="K23" s="104" t="s">
        <v>32</v>
      </c>
      <c r="L23" s="14"/>
      <c r="M23" s="14"/>
      <c r="N23" s="11" t="s">
        <v>33</v>
      </c>
      <c r="AA23" t="s">
        <v>34</v>
      </c>
      <c r="AB23">
        <v>0.55000000000000004</v>
      </c>
      <c r="AC23">
        <v>0.23</v>
      </c>
      <c r="AE23" t="s">
        <v>34</v>
      </c>
      <c r="AF23">
        <v>1.1599999999999999</v>
      </c>
    </row>
    <row r="24" spans="1:32">
      <c r="A24" s="82" t="s">
        <v>35</v>
      </c>
      <c r="B24" s="104">
        <f t="shared" ref="B24:B87" si="1">-1.12*I24-0.599*G24</f>
        <v>-1.7254900000000002</v>
      </c>
      <c r="C24" s="73" t="s">
        <v>36</v>
      </c>
      <c r="D24" s="12">
        <v>0.14701293131372209</v>
      </c>
      <c r="E24" s="10">
        <v>16</v>
      </c>
      <c r="F24" s="10">
        <v>142.4</v>
      </c>
      <c r="G24" s="6">
        <v>1.31</v>
      </c>
      <c r="H24" s="14">
        <f t="shared" si="0"/>
        <v>-1.9840000000000002</v>
      </c>
      <c r="I24" s="103">
        <v>0.84</v>
      </c>
      <c r="J24" s="53" t="s">
        <v>37</v>
      </c>
      <c r="K24" s="54"/>
      <c r="L24" s="14"/>
      <c r="M24" s="14"/>
      <c r="N24" s="11" t="s">
        <v>38</v>
      </c>
      <c r="AA24" t="s">
        <v>39</v>
      </c>
      <c r="AB24">
        <v>1.67</v>
      </c>
      <c r="AC24">
        <v>2.11</v>
      </c>
      <c r="AE24" t="s">
        <v>39</v>
      </c>
      <c r="AF24">
        <v>1.27</v>
      </c>
    </row>
    <row r="25" spans="1:32">
      <c r="A25" s="81" t="s">
        <v>40</v>
      </c>
      <c r="B25" s="104">
        <f t="shared" si="1"/>
        <v>-2.7026700000000003</v>
      </c>
      <c r="C25" s="73" t="s">
        <v>41</v>
      </c>
      <c r="D25" s="12">
        <v>0.15746026945991629</v>
      </c>
      <c r="E25" s="10">
        <v>4</v>
      </c>
      <c r="F25" s="10">
        <v>92</v>
      </c>
      <c r="G25" s="6">
        <v>2.5299999999999998</v>
      </c>
      <c r="H25" s="14">
        <f t="shared" si="0"/>
        <v>-2.6999999999999997</v>
      </c>
      <c r="I25" s="103">
        <v>1.06</v>
      </c>
      <c r="J25" s="53" t="s">
        <v>42</v>
      </c>
      <c r="K25" s="54"/>
      <c r="L25" s="14"/>
      <c r="M25" s="14"/>
      <c r="N25" s="11" t="s">
        <v>43</v>
      </c>
      <c r="AA25" t="s">
        <v>44</v>
      </c>
      <c r="AB25">
        <v>1.64</v>
      </c>
      <c r="AC25">
        <v>2.14</v>
      </c>
      <c r="AE25" t="s">
        <v>44</v>
      </c>
      <c r="AF25">
        <v>1.29</v>
      </c>
    </row>
    <row r="26" spans="1:32">
      <c r="A26" s="82" t="s">
        <v>45</v>
      </c>
      <c r="B26" s="104">
        <f t="shared" si="1"/>
        <v>-4.2404099999999998</v>
      </c>
      <c r="C26" s="73" t="s">
        <v>46</v>
      </c>
      <c r="D26" s="12">
        <v>0.16999222507469616</v>
      </c>
      <c r="E26" s="10">
        <v>3</v>
      </c>
      <c r="F26" s="10">
        <v>234</v>
      </c>
      <c r="G26" s="6">
        <v>3.19</v>
      </c>
      <c r="H26" s="14">
        <f t="shared" si="0"/>
        <v>-4.7799999999999994</v>
      </c>
      <c r="I26" s="103">
        <v>2.08</v>
      </c>
      <c r="J26" s="15" t="s">
        <v>47</v>
      </c>
      <c r="K26" s="29"/>
      <c r="L26" s="14"/>
      <c r="M26" s="14"/>
      <c r="N26" s="11" t="s">
        <v>48</v>
      </c>
      <c r="AA26" t="s">
        <v>49</v>
      </c>
      <c r="AB26">
        <v>14.144</v>
      </c>
      <c r="AC26">
        <v>18.754000000000001</v>
      </c>
      <c r="AE26" t="s">
        <v>49</v>
      </c>
      <c r="AF26">
        <v>10.339</v>
      </c>
    </row>
    <row r="27" spans="1:32">
      <c r="A27" s="82" t="s">
        <v>50</v>
      </c>
      <c r="B27" s="104">
        <f t="shared" si="1"/>
        <v>-5.8567400000000003</v>
      </c>
      <c r="C27" s="73" t="s">
        <v>51</v>
      </c>
      <c r="D27" s="12">
        <v>0.21168830858587184</v>
      </c>
      <c r="E27" s="10">
        <v>3</v>
      </c>
      <c r="F27" s="10">
        <v>139.25</v>
      </c>
      <c r="G27" s="6">
        <v>4.8600000000000003</v>
      </c>
      <c r="H27" s="14">
        <f t="shared" si="0"/>
        <v>-5.5025000000000004</v>
      </c>
      <c r="I27" s="103">
        <v>2.63</v>
      </c>
      <c r="J27" s="15" t="s">
        <v>52</v>
      </c>
      <c r="K27" s="29"/>
      <c r="L27" s="14"/>
      <c r="M27" s="14"/>
      <c r="N27" s="11" t="s">
        <v>53</v>
      </c>
      <c r="AA27" t="s">
        <v>54</v>
      </c>
      <c r="AB27">
        <v>2.85</v>
      </c>
      <c r="AC27">
        <v>3.88</v>
      </c>
      <c r="AE27" t="s">
        <v>54</v>
      </c>
      <c r="AF27">
        <v>2.23</v>
      </c>
    </row>
    <row r="28" spans="1:32">
      <c r="A28" s="81" t="s">
        <v>55</v>
      </c>
      <c r="B28" s="104">
        <f t="shared" si="1"/>
        <v>-6.0892900000000001</v>
      </c>
      <c r="C28" s="71"/>
      <c r="D28" s="12">
        <v>0.18412396392404196</v>
      </c>
      <c r="E28" s="10">
        <v>3</v>
      </c>
      <c r="F28" s="10">
        <v>224.00000000000003</v>
      </c>
      <c r="G28" s="6">
        <v>5.51</v>
      </c>
      <c r="H28" s="14">
        <f t="shared" si="0"/>
        <v>-7</v>
      </c>
      <c r="I28" s="103">
        <v>2.4900000000000002</v>
      </c>
      <c r="J28" s="15" t="s">
        <v>56</v>
      </c>
      <c r="K28" s="29"/>
      <c r="L28" s="14"/>
      <c r="M28" s="14"/>
      <c r="N28" s="11" t="s">
        <v>57</v>
      </c>
      <c r="AA28" t="s">
        <v>58</v>
      </c>
      <c r="AB28">
        <v>2.2999999999999998</v>
      </c>
      <c r="AC28">
        <v>4</v>
      </c>
      <c r="AE28" t="s">
        <v>58</v>
      </c>
      <c r="AF28">
        <v>2.21</v>
      </c>
    </row>
    <row r="29" spans="1:32">
      <c r="A29" s="81" t="s">
        <v>59</v>
      </c>
      <c r="B29" s="104">
        <f t="shared" si="1"/>
        <v>-2.4774200000000004</v>
      </c>
      <c r="C29" s="71"/>
      <c r="D29" s="12">
        <v>0.14933733874523175</v>
      </c>
      <c r="E29" s="10">
        <v>6</v>
      </c>
      <c r="F29" s="10">
        <v>172.5</v>
      </c>
      <c r="G29" s="6">
        <v>1.78</v>
      </c>
      <c r="H29" s="14">
        <f t="shared" si="0"/>
        <v>-2.7549999999999999</v>
      </c>
      <c r="I29" s="103">
        <v>1.26</v>
      </c>
      <c r="J29" s="15" t="s">
        <v>60</v>
      </c>
      <c r="K29" s="31"/>
      <c r="L29" s="14"/>
      <c r="M29" s="14"/>
      <c r="N29" s="11" t="s">
        <v>61</v>
      </c>
      <c r="AA29" t="s">
        <v>62</v>
      </c>
      <c r="AB29">
        <v>2.7725</v>
      </c>
      <c r="AC29">
        <v>3.2883</v>
      </c>
      <c r="AE29" t="s">
        <v>62</v>
      </c>
      <c r="AF29">
        <v>1.7870999999999999</v>
      </c>
    </row>
    <row r="30" spans="1:32">
      <c r="A30" s="81" t="s">
        <v>63</v>
      </c>
      <c r="B30" s="104">
        <f t="shared" si="1"/>
        <v>-2.3461400000000001</v>
      </c>
      <c r="C30" s="71"/>
      <c r="D30" s="12">
        <v>0.14842266063120066</v>
      </c>
      <c r="E30" s="10">
        <v>4</v>
      </c>
      <c r="F30" s="10">
        <v>207.50000000000003</v>
      </c>
      <c r="G30" s="6">
        <v>1.86</v>
      </c>
      <c r="H30" s="14">
        <f t="shared" si="0"/>
        <v>-3.1850000000000005</v>
      </c>
      <c r="I30" s="103">
        <v>1.1000000000000001</v>
      </c>
      <c r="J30" s="30" t="s">
        <v>64</v>
      </c>
      <c r="K30" s="32"/>
      <c r="L30" s="33"/>
      <c r="M30" s="34"/>
      <c r="N30" s="11" t="s">
        <v>65</v>
      </c>
    </row>
    <row r="31" spans="1:32">
      <c r="A31" s="83" t="s">
        <v>66</v>
      </c>
      <c r="B31" s="104">
        <f t="shared" si="1"/>
        <v>-1.5820099999999999</v>
      </c>
      <c r="C31" s="71"/>
      <c r="D31" s="12">
        <v>0.1617973106900604</v>
      </c>
      <c r="E31" s="10">
        <v>10</v>
      </c>
      <c r="F31" s="10">
        <v>166.5</v>
      </c>
      <c r="G31" s="6">
        <v>0.79</v>
      </c>
      <c r="H31" s="14">
        <f t="shared" si="0"/>
        <v>-1.7050000000000001</v>
      </c>
      <c r="I31" s="103">
        <v>0.99</v>
      </c>
      <c r="K31" s="14"/>
      <c r="L31" s="14"/>
      <c r="M31" s="14"/>
      <c r="N31" s="11" t="s">
        <v>67</v>
      </c>
    </row>
    <row r="32" spans="1:32">
      <c r="A32" s="82" t="s">
        <v>68</v>
      </c>
      <c r="B32" s="104">
        <f t="shared" si="1"/>
        <v>-4.6699700000000002</v>
      </c>
      <c r="C32" s="71"/>
      <c r="D32" s="12">
        <v>0.21543706061278237</v>
      </c>
      <c r="E32" s="10">
        <v>6</v>
      </c>
      <c r="F32" s="10">
        <v>231.5</v>
      </c>
      <c r="G32" s="6">
        <v>2.4300000000000002</v>
      </c>
      <c r="H32" s="14">
        <f t="shared" si="0"/>
        <v>-3.9950000000000001</v>
      </c>
      <c r="I32" s="103">
        <v>2.87</v>
      </c>
      <c r="J32" s="16" t="s">
        <v>69</v>
      </c>
      <c r="K32" s="17"/>
      <c r="L32" s="17"/>
      <c r="M32" s="18"/>
      <c r="N32" s="11" t="s">
        <v>70</v>
      </c>
      <c r="Z32" t="s">
        <v>34</v>
      </c>
      <c r="AA32" t="s">
        <v>39</v>
      </c>
      <c r="AB32" t="s">
        <v>44</v>
      </c>
      <c r="AC32" t="s">
        <v>49</v>
      </c>
      <c r="AD32" t="s">
        <v>54</v>
      </c>
      <c r="AE32" t="s">
        <v>58</v>
      </c>
      <c r="AF32" t="s">
        <v>62</v>
      </c>
    </row>
    <row r="33" spans="1:32">
      <c r="A33" s="84" t="s">
        <v>71</v>
      </c>
      <c r="B33" s="104">
        <f t="shared" si="1"/>
        <v>-4.1737700000000002</v>
      </c>
      <c r="C33" s="72"/>
      <c r="D33" s="4">
        <v>0.12912520605069597</v>
      </c>
      <c r="E33" s="2">
        <v>3</v>
      </c>
      <c r="F33" s="13">
        <v>192.7</v>
      </c>
      <c r="G33" s="6">
        <v>2.63</v>
      </c>
      <c r="H33" s="14">
        <f t="shared" si="0"/>
        <v>-3.8069999999999995</v>
      </c>
      <c r="I33" s="103">
        <v>2.3199999999999998</v>
      </c>
      <c r="J33" s="20"/>
      <c r="K33" s="21"/>
      <c r="L33" s="21"/>
      <c r="M33" s="22"/>
      <c r="N33" s="11" t="s">
        <v>72</v>
      </c>
      <c r="Y33" t="s">
        <v>73</v>
      </c>
      <c r="Z33">
        <v>0.71</v>
      </c>
      <c r="AA33">
        <v>0.99</v>
      </c>
      <c r="AB33">
        <v>0.94</v>
      </c>
      <c r="AC33">
        <v>8.4700000000000006</v>
      </c>
      <c r="AD33">
        <v>1.86</v>
      </c>
      <c r="AE33">
        <v>1.64</v>
      </c>
      <c r="AF33">
        <v>1.3613</v>
      </c>
    </row>
    <row r="34" spans="1:32">
      <c r="A34" s="81" t="s">
        <v>74</v>
      </c>
      <c r="B34" s="104">
        <f t="shared" si="1"/>
        <v>-8.3216800000000006</v>
      </c>
      <c r="C34" s="71"/>
      <c r="D34" s="12">
        <v>0.14911462098310888</v>
      </c>
      <c r="E34" s="10">
        <v>6</v>
      </c>
      <c r="F34" s="10">
        <v>167</v>
      </c>
      <c r="G34" s="6">
        <v>6.32</v>
      </c>
      <c r="H34" s="14">
        <f t="shared" si="0"/>
        <v>-7.24</v>
      </c>
      <c r="I34" s="103">
        <v>4.05</v>
      </c>
      <c r="J34" s="23"/>
      <c r="K34" s="7"/>
      <c r="L34" s="7"/>
      <c r="M34" s="24"/>
      <c r="N34" s="11" t="s">
        <v>75</v>
      </c>
      <c r="Y34" t="s">
        <v>76</v>
      </c>
      <c r="Z34">
        <v>1.07</v>
      </c>
      <c r="AA34">
        <v>3.5</v>
      </c>
      <c r="AB34">
        <v>3.5</v>
      </c>
      <c r="AC34">
        <v>20.591999999999999</v>
      </c>
      <c r="AD34">
        <v>4.6100000000000003</v>
      </c>
      <c r="AE34">
        <v>4.07</v>
      </c>
      <c r="AF34">
        <v>3.2238000000000002</v>
      </c>
    </row>
    <row r="35" spans="1:32">
      <c r="A35" s="82" t="s">
        <v>77</v>
      </c>
      <c r="B35" s="104">
        <f t="shared" si="1"/>
        <v>-4.4050100000000008</v>
      </c>
      <c r="C35" s="71"/>
      <c r="D35" s="12">
        <v>0.15809078703524676</v>
      </c>
      <c r="E35" s="10">
        <v>15</v>
      </c>
      <c r="F35" s="10">
        <v>191.5</v>
      </c>
      <c r="G35" s="6">
        <v>3.39</v>
      </c>
      <c r="H35" s="14">
        <f t="shared" si="0"/>
        <v>-4.5549999999999997</v>
      </c>
      <c r="I35" s="103">
        <v>2.12</v>
      </c>
      <c r="J35" s="23"/>
      <c r="K35" s="7"/>
      <c r="L35" s="7"/>
      <c r="M35" s="24"/>
      <c r="N35" s="11" t="s">
        <v>78</v>
      </c>
      <c r="Y35" t="s">
        <v>79</v>
      </c>
      <c r="Z35">
        <v>1.2</v>
      </c>
      <c r="AA35">
        <v>1.35</v>
      </c>
      <c r="AB35">
        <v>1.39</v>
      </c>
      <c r="AC35">
        <v>14.579000000000001</v>
      </c>
      <c r="AD35">
        <v>2.4</v>
      </c>
      <c r="AE35">
        <v>1.61</v>
      </c>
      <c r="AF35">
        <v>3.2475999999999998</v>
      </c>
    </row>
    <row r="36" spans="1:32">
      <c r="A36" s="83" t="s">
        <v>80</v>
      </c>
      <c r="B36" s="104">
        <f t="shared" si="1"/>
        <v>-4.1614800000000001</v>
      </c>
      <c r="C36" s="71"/>
      <c r="D36" s="12">
        <v>0.1911503089068218</v>
      </c>
      <c r="E36" s="10">
        <v>3</v>
      </c>
      <c r="F36" s="10">
        <v>246.2</v>
      </c>
      <c r="G36" s="6">
        <v>3.32</v>
      </c>
      <c r="H36" s="14">
        <f t="shared" si="0"/>
        <v>-5.032</v>
      </c>
      <c r="I36" s="103">
        <v>1.94</v>
      </c>
      <c r="J36" s="25"/>
      <c r="K36" s="7"/>
      <c r="L36" s="7"/>
      <c r="M36" s="24"/>
      <c r="N36" s="11" t="s">
        <v>81</v>
      </c>
      <c r="Y36" t="s">
        <v>82</v>
      </c>
      <c r="Z36">
        <v>0.48</v>
      </c>
      <c r="AA36">
        <v>1.62</v>
      </c>
      <c r="AB36">
        <v>1.63</v>
      </c>
      <c r="AC36">
        <v>12.971</v>
      </c>
      <c r="AD36">
        <v>2.8</v>
      </c>
      <c r="AE36">
        <v>1.9</v>
      </c>
      <c r="AF36">
        <v>2.7389000000000001</v>
      </c>
    </row>
    <row r="37" spans="1:32">
      <c r="A37" s="83" t="s">
        <v>73</v>
      </c>
      <c r="B37" s="104">
        <f t="shared" si="1"/>
        <v>-2.87906</v>
      </c>
      <c r="C37" s="71"/>
      <c r="D37" s="12">
        <v>0.19050575600734274</v>
      </c>
      <c r="E37" s="10">
        <v>4</v>
      </c>
      <c r="F37" s="10">
        <v>304</v>
      </c>
      <c r="G37" s="6">
        <v>1.74</v>
      </c>
      <c r="H37" s="14">
        <f t="shared" si="0"/>
        <v>-4.03</v>
      </c>
      <c r="I37" s="103">
        <v>1.64</v>
      </c>
      <c r="J37" s="25"/>
      <c r="K37" s="7"/>
      <c r="L37" s="7"/>
      <c r="M37" s="24"/>
      <c r="N37" s="11" t="s">
        <v>83</v>
      </c>
      <c r="Y37" t="s">
        <v>84</v>
      </c>
      <c r="Z37">
        <v>1.1599999999999999</v>
      </c>
      <c r="AA37">
        <v>1.27</v>
      </c>
      <c r="AB37">
        <v>1.29</v>
      </c>
      <c r="AC37">
        <v>10.339</v>
      </c>
      <c r="AD37">
        <v>2.23</v>
      </c>
      <c r="AE37">
        <v>2.21</v>
      </c>
      <c r="AF37">
        <v>1.7870999999999999</v>
      </c>
    </row>
    <row r="38" spans="1:32">
      <c r="A38" s="81" t="s">
        <v>76</v>
      </c>
      <c r="B38" s="104">
        <f t="shared" si="1"/>
        <v>-4.0372700000000004</v>
      </c>
      <c r="C38" s="71"/>
      <c r="D38" s="12">
        <v>0.13682393527498057</v>
      </c>
      <c r="E38" s="10">
        <v>7</v>
      </c>
      <c r="F38" s="10">
        <v>187</v>
      </c>
      <c r="G38" s="6">
        <v>-0.87</v>
      </c>
      <c r="H38" s="14">
        <f t="shared" si="0"/>
        <v>-0.25</v>
      </c>
      <c r="I38" s="103">
        <v>4.07</v>
      </c>
      <c r="J38" s="25"/>
      <c r="K38" s="7"/>
      <c r="L38" s="7"/>
      <c r="M38" s="24"/>
      <c r="N38" s="66" t="s">
        <v>85</v>
      </c>
      <c r="Y38" t="s">
        <v>86</v>
      </c>
      <c r="Z38">
        <v>0.38</v>
      </c>
      <c r="AA38">
        <v>2.08</v>
      </c>
      <c r="AB38">
        <v>2.09</v>
      </c>
      <c r="AC38">
        <v>15.555999999999999</v>
      </c>
      <c r="AD38">
        <v>3.52</v>
      </c>
      <c r="AE38">
        <v>1.82</v>
      </c>
      <c r="AF38">
        <v>3.5257000000000001</v>
      </c>
    </row>
    <row r="39" spans="1:32">
      <c r="A39" s="81" t="s">
        <v>87</v>
      </c>
      <c r="B39" s="104">
        <f t="shared" si="1"/>
        <v>-3.6844900000000003</v>
      </c>
      <c r="C39" s="71"/>
      <c r="D39" s="12">
        <v>0.20462356367492032</v>
      </c>
      <c r="E39" s="10">
        <v>4</v>
      </c>
      <c r="F39" s="10">
        <v>221.5</v>
      </c>
      <c r="G39" s="6">
        <v>0.71</v>
      </c>
      <c r="H39" s="14">
        <f t="shared" si="0"/>
        <v>-2.1749999999999998</v>
      </c>
      <c r="I39" s="103">
        <v>2.91</v>
      </c>
      <c r="J39" s="25"/>
      <c r="K39" s="7"/>
      <c r="L39" s="7"/>
      <c r="M39" s="24"/>
      <c r="N39" s="11" t="s">
        <v>88</v>
      </c>
      <c r="Y39" t="s">
        <v>89</v>
      </c>
      <c r="Z39">
        <v>0.56999999999999995</v>
      </c>
      <c r="AA39">
        <v>1.91</v>
      </c>
      <c r="AB39">
        <v>1.94</v>
      </c>
      <c r="AC39">
        <v>14.461</v>
      </c>
      <c r="AD39">
        <v>2.91</v>
      </c>
      <c r="AE39">
        <v>2.5499999999999998</v>
      </c>
      <c r="AF39">
        <v>2.7568000000000001</v>
      </c>
    </row>
    <row r="40" spans="1:32">
      <c r="A40" s="81" t="s">
        <v>90</v>
      </c>
      <c r="B40" s="104">
        <f t="shared" si="1"/>
        <v>-4.9136899999999999</v>
      </c>
      <c r="C40" s="71"/>
      <c r="D40" s="12">
        <v>0.18274602564465547</v>
      </c>
      <c r="E40" s="10">
        <v>6</v>
      </c>
      <c r="F40" s="10">
        <v>157.83333333333334</v>
      </c>
      <c r="G40" s="6">
        <v>3.51</v>
      </c>
      <c r="H40" s="14">
        <f t="shared" si="0"/>
        <v>-4.3383333333333329</v>
      </c>
      <c r="I40" s="103">
        <v>2.5099999999999998</v>
      </c>
      <c r="J40" s="25"/>
      <c r="K40" s="39"/>
      <c r="L40" s="39"/>
      <c r="M40" s="40"/>
      <c r="N40" s="11" t="s">
        <v>91</v>
      </c>
      <c r="Y40" t="s">
        <v>92</v>
      </c>
      <c r="Z40">
        <v>0.13</v>
      </c>
      <c r="AA40">
        <v>0.42</v>
      </c>
      <c r="AB40">
        <v>0.44</v>
      </c>
      <c r="AC40">
        <v>7.3259999999999996</v>
      </c>
      <c r="AD40">
        <v>1.41</v>
      </c>
      <c r="AE40">
        <v>1.37</v>
      </c>
      <c r="AF40">
        <v>1.4239999999999999</v>
      </c>
    </row>
    <row r="41" spans="1:32">
      <c r="A41" s="84" t="s">
        <v>93</v>
      </c>
      <c r="B41" s="104">
        <f t="shared" si="1"/>
        <v>-2.9536500000000006</v>
      </c>
      <c r="C41" s="72"/>
      <c r="D41" s="4">
        <v>0.12610247911779729</v>
      </c>
      <c r="E41" s="2">
        <v>8</v>
      </c>
      <c r="F41" s="10">
        <v>140</v>
      </c>
      <c r="G41" s="6">
        <v>0.35</v>
      </c>
      <c r="H41" s="14">
        <f t="shared" si="0"/>
        <v>-1</v>
      </c>
      <c r="I41" s="103">
        <v>2.4500000000000002</v>
      </c>
      <c r="J41" s="25"/>
      <c r="K41" s="39"/>
      <c r="L41" s="39"/>
      <c r="M41" s="40"/>
      <c r="N41" s="11" t="s">
        <v>94</v>
      </c>
      <c r="Y41" t="s">
        <v>95</v>
      </c>
      <c r="Z41">
        <v>0</v>
      </c>
      <c r="AA41">
        <v>0.32</v>
      </c>
      <c r="AB41">
        <v>0.33</v>
      </c>
      <c r="AC41">
        <v>4.875</v>
      </c>
      <c r="AD41">
        <v>0.39</v>
      </c>
      <c r="AE41">
        <v>0.43</v>
      </c>
      <c r="AF41">
        <v>1.3591</v>
      </c>
    </row>
    <row r="42" spans="1:32">
      <c r="A42" s="82" t="s">
        <v>96</v>
      </c>
      <c r="B42" s="104">
        <f t="shared" si="1"/>
        <v>-2.67746</v>
      </c>
      <c r="C42" s="71"/>
      <c r="D42" s="12">
        <v>0.14493441954543959</v>
      </c>
      <c r="E42" s="10">
        <v>7</v>
      </c>
      <c r="F42" s="10">
        <v>127.93333333333334</v>
      </c>
      <c r="G42" s="6">
        <v>1.74</v>
      </c>
      <c r="H42" s="14">
        <f t="shared" si="0"/>
        <v>-2.2693333333333334</v>
      </c>
      <c r="I42" s="103">
        <v>1.46</v>
      </c>
      <c r="J42" s="25"/>
      <c r="K42" s="39"/>
      <c r="L42" s="39"/>
      <c r="M42" s="40"/>
      <c r="N42" s="11" t="s">
        <v>97</v>
      </c>
      <c r="Y42" t="s">
        <v>98</v>
      </c>
      <c r="Z42">
        <v>0.56999999999999995</v>
      </c>
      <c r="AA42">
        <v>1.1599999999999999</v>
      </c>
      <c r="AB42">
        <v>1.17</v>
      </c>
      <c r="AC42">
        <v>9.5239999999999991</v>
      </c>
      <c r="AD42">
        <v>1.95</v>
      </c>
      <c r="AE42">
        <v>1.7</v>
      </c>
      <c r="AF42">
        <v>1.7908999999999999</v>
      </c>
    </row>
    <row r="43" spans="1:32">
      <c r="A43" s="82" t="s">
        <v>79</v>
      </c>
      <c r="B43" s="104">
        <f t="shared" si="1"/>
        <v>-4.48672</v>
      </c>
      <c r="C43" s="71"/>
      <c r="D43" s="12">
        <v>0.14861388626870758</v>
      </c>
      <c r="E43" s="10">
        <v>7</v>
      </c>
      <c r="F43" s="10">
        <v>176</v>
      </c>
      <c r="G43" s="6">
        <v>4.4800000000000004</v>
      </c>
      <c r="H43" s="14">
        <f t="shared" si="0"/>
        <v>-5.49</v>
      </c>
      <c r="I43" s="103">
        <v>1.61</v>
      </c>
      <c r="J43" s="25"/>
      <c r="K43" s="39"/>
      <c r="L43" s="39"/>
      <c r="M43" s="40"/>
      <c r="N43" s="11" t="s">
        <v>99</v>
      </c>
      <c r="Y43" t="s">
        <v>100</v>
      </c>
      <c r="Z43">
        <v>0.23</v>
      </c>
      <c r="AA43">
        <v>2.11</v>
      </c>
      <c r="AB43">
        <v>2.14</v>
      </c>
      <c r="AC43">
        <v>18.754000000000001</v>
      </c>
      <c r="AD43">
        <v>3.88</v>
      </c>
      <c r="AE43">
        <v>4</v>
      </c>
      <c r="AF43">
        <v>3.2883</v>
      </c>
    </row>
    <row r="44" spans="1:32">
      <c r="A44" s="85" t="s">
        <v>101</v>
      </c>
      <c r="B44" s="104">
        <f t="shared" si="1"/>
        <v>-4.6261399999999995</v>
      </c>
      <c r="C44" s="72"/>
      <c r="D44" s="4">
        <v>0.1280711495400205</v>
      </c>
      <c r="E44" s="2">
        <v>3</v>
      </c>
      <c r="F44" s="10">
        <v>159.69999999999999</v>
      </c>
      <c r="G44" s="6">
        <v>3.46</v>
      </c>
      <c r="H44" s="14">
        <f t="shared" si="0"/>
        <v>-4.3070000000000004</v>
      </c>
      <c r="I44" s="103">
        <v>2.2799999999999998</v>
      </c>
      <c r="J44" s="25"/>
      <c r="K44" s="39"/>
      <c r="L44" s="39"/>
      <c r="M44" s="40"/>
      <c r="N44" s="11" t="s">
        <v>102</v>
      </c>
      <c r="Y44" t="s">
        <v>103</v>
      </c>
      <c r="Z44">
        <v>1.5</v>
      </c>
      <c r="AA44">
        <v>1.04</v>
      </c>
      <c r="AB44">
        <v>1.06</v>
      </c>
      <c r="AC44">
        <v>9.4540000000000006</v>
      </c>
      <c r="AD44">
        <v>1.82</v>
      </c>
      <c r="AE44">
        <v>1.97</v>
      </c>
      <c r="AF44">
        <v>1.7391000000000001</v>
      </c>
    </row>
    <row r="45" spans="1:32">
      <c r="A45" s="84" t="s">
        <v>104</v>
      </c>
      <c r="B45" s="104">
        <f t="shared" si="1"/>
        <v>-2.2186000000000003</v>
      </c>
      <c r="C45" s="72"/>
      <c r="D45" s="4">
        <v>0.21683500301481054</v>
      </c>
      <c r="E45" s="2">
        <v>8</v>
      </c>
      <c r="F45" s="10">
        <v>142</v>
      </c>
      <c r="G45" s="6">
        <v>0.6</v>
      </c>
      <c r="H45" s="14">
        <f t="shared" si="0"/>
        <v>-1.27</v>
      </c>
      <c r="I45" s="103">
        <v>1.66</v>
      </c>
      <c r="J45" s="25"/>
      <c r="K45" s="39"/>
      <c r="L45" s="39"/>
      <c r="M45" s="40"/>
      <c r="N45" s="11" t="s">
        <v>105</v>
      </c>
      <c r="Y45" t="s">
        <v>106</v>
      </c>
      <c r="Z45">
        <v>0.75</v>
      </c>
      <c r="AA45">
        <v>1.61</v>
      </c>
      <c r="AB45">
        <v>1.65</v>
      </c>
      <c r="AC45">
        <v>9.3979999999999997</v>
      </c>
      <c r="AD45">
        <v>2.06</v>
      </c>
      <c r="AE45">
        <v>2.06</v>
      </c>
      <c r="AF45">
        <v>1.7724</v>
      </c>
    </row>
    <row r="46" spans="1:32">
      <c r="A46" s="82" t="s">
        <v>107</v>
      </c>
      <c r="B46" s="104">
        <f t="shared" si="1"/>
        <v>-3.4104200000000002</v>
      </c>
      <c r="C46" s="71"/>
      <c r="D46" s="12">
        <v>0.18255878892749886</v>
      </c>
      <c r="E46" s="10">
        <v>20</v>
      </c>
      <c r="F46" s="10">
        <v>267</v>
      </c>
      <c r="G46" s="6">
        <v>1.58</v>
      </c>
      <c r="H46" s="14">
        <f t="shared" si="0"/>
        <v>-3.5</v>
      </c>
      <c r="I46" s="103">
        <v>2.2000000000000002</v>
      </c>
      <c r="J46" s="25"/>
      <c r="K46" s="39"/>
      <c r="L46" s="39"/>
      <c r="M46" s="40"/>
      <c r="N46" s="11" t="s">
        <v>108</v>
      </c>
      <c r="Y46" t="s">
        <v>109</v>
      </c>
      <c r="Z46">
        <v>0.89</v>
      </c>
      <c r="AA46">
        <v>1.1399999999999999</v>
      </c>
      <c r="AB46">
        <v>1.0900000000000001</v>
      </c>
      <c r="AC46">
        <v>7.577</v>
      </c>
      <c r="AD46">
        <v>1.75</v>
      </c>
      <c r="AE46">
        <v>1.47</v>
      </c>
      <c r="AF46">
        <v>0.9405</v>
      </c>
    </row>
    <row r="47" spans="1:32">
      <c r="A47" s="81" t="s">
        <v>110</v>
      </c>
      <c r="B47" s="104">
        <f t="shared" si="1"/>
        <v>-4.5886399999999998</v>
      </c>
      <c r="C47" s="71"/>
      <c r="D47" s="12">
        <v>0.16704647063532602</v>
      </c>
      <c r="E47" s="10">
        <v>6</v>
      </c>
      <c r="F47" s="10">
        <v>110.00000000000001</v>
      </c>
      <c r="G47" s="6">
        <v>3.36</v>
      </c>
      <c r="H47" s="14">
        <f t="shared" si="0"/>
        <v>-3.71</v>
      </c>
      <c r="I47" s="103">
        <v>2.2999999999999998</v>
      </c>
      <c r="J47" s="25"/>
      <c r="K47" s="39"/>
      <c r="L47" s="39"/>
      <c r="M47" s="40"/>
      <c r="N47" s="11" t="s">
        <v>111</v>
      </c>
      <c r="Y47" t="s">
        <v>112</v>
      </c>
      <c r="Z47">
        <v>0.55000000000000004</v>
      </c>
      <c r="AA47">
        <v>1.67</v>
      </c>
      <c r="AB47">
        <v>1.64</v>
      </c>
      <c r="AC47">
        <v>14.144</v>
      </c>
      <c r="AD47">
        <v>2.85</v>
      </c>
      <c r="AE47">
        <v>2.2999999999999998</v>
      </c>
      <c r="AF47">
        <v>2.7725</v>
      </c>
    </row>
    <row r="48" spans="1:32">
      <c r="A48" s="82" t="s">
        <v>82</v>
      </c>
      <c r="B48" s="104">
        <f t="shared" si="1"/>
        <v>-3.7273300000000003</v>
      </c>
      <c r="C48" s="71"/>
      <c r="D48" s="12">
        <v>0.17164501312359953</v>
      </c>
      <c r="E48" s="10">
        <v>7</v>
      </c>
      <c r="F48" s="10">
        <v>182</v>
      </c>
      <c r="G48" s="6">
        <v>2.67</v>
      </c>
      <c r="H48" s="14">
        <f t="shared" si="0"/>
        <v>-3.74</v>
      </c>
      <c r="I48" s="103">
        <v>1.9</v>
      </c>
      <c r="J48" s="25"/>
      <c r="K48" s="39"/>
      <c r="L48" s="39"/>
      <c r="M48" s="40"/>
      <c r="N48" s="11" t="s">
        <v>113</v>
      </c>
      <c r="Y48" t="s">
        <v>114</v>
      </c>
      <c r="Z48">
        <v>0.15</v>
      </c>
      <c r="AA48">
        <v>1.05</v>
      </c>
      <c r="AB48">
        <v>1.07</v>
      </c>
      <c r="AC48">
        <v>9.3079999999999998</v>
      </c>
      <c r="AD48">
        <v>1.24</v>
      </c>
      <c r="AE48">
        <v>1.2</v>
      </c>
      <c r="AF48">
        <v>2.1254</v>
      </c>
    </row>
    <row r="49" spans="1:32">
      <c r="A49" s="84" t="s">
        <v>115</v>
      </c>
      <c r="B49" s="104">
        <f t="shared" si="1"/>
        <v>-3.8182400000000003</v>
      </c>
      <c r="C49" s="72"/>
      <c r="D49" s="4">
        <v>0.12558353028546052</v>
      </c>
      <c r="E49" s="2">
        <v>4</v>
      </c>
      <c r="F49" s="10">
        <v>222.00000000000003</v>
      </c>
      <c r="G49" s="6">
        <v>2.56</v>
      </c>
      <c r="H49" s="14">
        <f t="shared" si="0"/>
        <v>-4.03</v>
      </c>
      <c r="I49" s="103">
        <v>2.04</v>
      </c>
      <c r="J49" s="25"/>
      <c r="K49" s="39"/>
      <c r="L49" s="39"/>
      <c r="M49" s="40"/>
      <c r="N49" s="11" t="s">
        <v>116</v>
      </c>
      <c r="Y49" t="s">
        <v>117</v>
      </c>
      <c r="Z49">
        <v>0.56999999999999995</v>
      </c>
      <c r="AA49">
        <v>0.81</v>
      </c>
      <c r="AB49">
        <v>0.81</v>
      </c>
      <c r="AC49">
        <v>12.3</v>
      </c>
      <c r="AD49">
        <v>2.29</v>
      </c>
      <c r="AE49">
        <v>2.62</v>
      </c>
      <c r="AF49">
        <v>2.2942</v>
      </c>
    </row>
    <row r="50" spans="1:32">
      <c r="A50" s="82" t="s">
        <v>118</v>
      </c>
      <c r="B50" s="104">
        <f t="shared" si="1"/>
        <v>-6.2707300000000004</v>
      </c>
      <c r="C50" s="71"/>
      <c r="D50" s="12">
        <v>0.1568133990664792</v>
      </c>
      <c r="E50" s="10">
        <v>6</v>
      </c>
      <c r="F50" s="10">
        <v>151</v>
      </c>
      <c r="G50" s="6">
        <v>3.27</v>
      </c>
      <c r="H50" s="14">
        <f t="shared" si="0"/>
        <v>-4.03</v>
      </c>
      <c r="I50" s="103">
        <v>3.85</v>
      </c>
      <c r="J50" s="25"/>
      <c r="K50" s="39"/>
      <c r="L50" s="39"/>
      <c r="M50" s="40"/>
      <c r="N50" s="11" t="s">
        <v>119</v>
      </c>
    </row>
    <row r="51" spans="1:32">
      <c r="A51" s="85" t="s">
        <v>84</v>
      </c>
      <c r="B51" s="104">
        <f t="shared" si="1"/>
        <v>-4.1943299999999999</v>
      </c>
      <c r="C51" s="72"/>
      <c r="D51" s="4">
        <v>0.12789394574374285</v>
      </c>
      <c r="E51" s="2">
        <v>5</v>
      </c>
      <c r="F51" s="10">
        <v>330</v>
      </c>
      <c r="G51" s="6">
        <v>2.87</v>
      </c>
      <c r="H51" s="14">
        <f t="shared" si="0"/>
        <v>-5.42</v>
      </c>
      <c r="I51" s="103">
        <v>2.21</v>
      </c>
      <c r="J51" s="25"/>
      <c r="K51" s="39"/>
      <c r="L51" s="39"/>
      <c r="M51" s="40"/>
      <c r="N51" s="11" t="s">
        <v>120</v>
      </c>
    </row>
    <row r="52" spans="1:32">
      <c r="A52" s="82" t="s">
        <v>121</v>
      </c>
      <c r="B52" s="104">
        <f t="shared" si="1"/>
        <v>-4.1304700000000008</v>
      </c>
      <c r="C52" s="71"/>
      <c r="D52" s="12">
        <v>0.18012800124370357</v>
      </c>
      <c r="E52" s="10">
        <v>3</v>
      </c>
      <c r="F52" s="10">
        <v>100</v>
      </c>
      <c r="G52" s="6">
        <v>3.53</v>
      </c>
      <c r="H52" s="14">
        <f t="shared" si="0"/>
        <v>-3.78</v>
      </c>
      <c r="I52" s="103">
        <v>1.8</v>
      </c>
      <c r="J52" s="23"/>
      <c r="K52" s="7"/>
      <c r="L52" s="7"/>
      <c r="M52" s="24"/>
      <c r="N52" s="11" t="s">
        <v>122</v>
      </c>
    </row>
    <row r="53" spans="1:32">
      <c r="A53" s="81" t="s">
        <v>123</v>
      </c>
      <c r="B53" s="104">
        <f t="shared" si="1"/>
        <v>-3.4565000000000001</v>
      </c>
      <c r="C53" s="71"/>
      <c r="D53" s="12">
        <v>0.18062104750721683</v>
      </c>
      <c r="E53" s="10">
        <v>16</v>
      </c>
      <c r="F53" s="10">
        <v>262.5</v>
      </c>
      <c r="G53" s="6">
        <v>1.9</v>
      </c>
      <c r="H53" s="14">
        <f t="shared" si="0"/>
        <v>-3.7749999999999999</v>
      </c>
      <c r="I53" s="103">
        <v>2.0699999999999998</v>
      </c>
      <c r="J53" s="23"/>
      <c r="K53" s="7"/>
      <c r="L53" s="7"/>
      <c r="M53" s="24"/>
      <c r="N53" s="11" t="s">
        <v>124</v>
      </c>
    </row>
    <row r="54" spans="1:32">
      <c r="A54" s="84" t="s">
        <v>125</v>
      </c>
      <c r="B54" s="104">
        <f t="shared" si="1"/>
        <v>-2.67693</v>
      </c>
      <c r="C54" s="72"/>
      <c r="D54" s="4">
        <v>0.22156244268660033</v>
      </c>
      <c r="E54" s="2">
        <v>4</v>
      </c>
      <c r="F54" s="10">
        <v>328.85</v>
      </c>
      <c r="G54" s="6">
        <v>1.87</v>
      </c>
      <c r="H54" s="14">
        <f t="shared" si="0"/>
        <v>-4.4085000000000001</v>
      </c>
      <c r="I54" s="103">
        <v>1.39</v>
      </c>
      <c r="J54" s="23"/>
      <c r="K54" s="7"/>
      <c r="L54" s="7"/>
      <c r="M54" s="24"/>
      <c r="N54" s="11" t="s">
        <v>126</v>
      </c>
    </row>
    <row r="55" spans="1:32">
      <c r="A55" s="82" t="s">
        <v>127</v>
      </c>
      <c r="B55" s="104">
        <f t="shared" si="1"/>
        <v>-4.6388400000000001</v>
      </c>
      <c r="C55" s="71"/>
      <c r="D55" s="12">
        <v>0.18450811780713378</v>
      </c>
      <c r="E55" s="10">
        <v>33</v>
      </c>
      <c r="F55" s="10">
        <v>167.5</v>
      </c>
      <c r="G55" s="6">
        <v>4.3600000000000003</v>
      </c>
      <c r="H55" s="14">
        <f t="shared" ref="H55:H86" si="2">0.5-G55-0.01*(F55-25)</f>
        <v>-5.2850000000000001</v>
      </c>
      <c r="I55" s="103">
        <v>1.81</v>
      </c>
      <c r="J55" s="23"/>
      <c r="K55" s="7"/>
      <c r="L55" s="7"/>
      <c r="M55" s="24"/>
      <c r="N55" s="11" t="s">
        <v>128</v>
      </c>
    </row>
    <row r="56" spans="1:32">
      <c r="A56" s="82" t="s">
        <v>86</v>
      </c>
      <c r="B56" s="104">
        <f t="shared" si="1"/>
        <v>-3.8294100000000002</v>
      </c>
      <c r="C56" s="71"/>
      <c r="D56" s="12">
        <v>0.15609203233531485</v>
      </c>
      <c r="E56" s="10">
        <v>3</v>
      </c>
      <c r="F56" s="10">
        <v>223</v>
      </c>
      <c r="G56" s="6">
        <v>2.99</v>
      </c>
      <c r="H56" s="14">
        <f t="shared" si="2"/>
        <v>-4.4700000000000006</v>
      </c>
      <c r="I56" s="103">
        <v>1.82</v>
      </c>
      <c r="J56" s="23"/>
      <c r="K56" s="7"/>
      <c r="L56" s="7"/>
      <c r="M56" s="24"/>
      <c r="N56" s="11" t="s">
        <v>129</v>
      </c>
    </row>
    <row r="57" spans="1:32">
      <c r="A57" s="82" t="s">
        <v>89</v>
      </c>
      <c r="B57" s="104">
        <f t="shared" si="1"/>
        <v>-3.3652800000000003</v>
      </c>
      <c r="C57" s="71"/>
      <c r="D57" s="12">
        <v>0.20872343532408041</v>
      </c>
      <c r="E57" s="10">
        <v>3</v>
      </c>
      <c r="F57" s="10">
        <v>210.5</v>
      </c>
      <c r="G57" s="6">
        <v>2.72</v>
      </c>
      <c r="H57" s="14">
        <f t="shared" si="2"/>
        <v>-4.0750000000000002</v>
      </c>
      <c r="I57" s="103">
        <v>1.55</v>
      </c>
      <c r="J57" s="26"/>
      <c r="K57" s="27"/>
      <c r="L57" s="27"/>
      <c r="M57" s="28"/>
      <c r="N57" s="11" t="s">
        <v>130</v>
      </c>
    </row>
    <row r="58" spans="1:32">
      <c r="A58" s="84" t="s">
        <v>131</v>
      </c>
      <c r="B58" s="104">
        <f t="shared" si="1"/>
        <v>-4.9978300000000004</v>
      </c>
      <c r="C58" s="72"/>
      <c r="D58" s="4">
        <v>0.1297319013416561</v>
      </c>
      <c r="E58" s="2">
        <v>3</v>
      </c>
      <c r="F58" s="10">
        <v>209.75</v>
      </c>
      <c r="G58" s="6">
        <v>3.37</v>
      </c>
      <c r="H58" s="14">
        <f t="shared" si="2"/>
        <v>-4.7175000000000002</v>
      </c>
      <c r="I58" s="103">
        <v>2.66</v>
      </c>
      <c r="K58" s="14"/>
      <c r="L58" s="14"/>
      <c r="M58" s="14"/>
      <c r="N58" s="11" t="s">
        <v>132</v>
      </c>
    </row>
    <row r="59" spans="1:32">
      <c r="A59" s="81" t="s">
        <v>92</v>
      </c>
      <c r="B59" s="104">
        <f t="shared" si="1"/>
        <v>-3.5889700000000002</v>
      </c>
      <c r="C59" s="71"/>
      <c r="D59" s="12">
        <v>0.14124198841117766</v>
      </c>
      <c r="E59" s="10">
        <v>3</v>
      </c>
      <c r="F59" s="10">
        <v>53.5</v>
      </c>
      <c r="G59" s="6">
        <v>3.43</v>
      </c>
      <c r="H59" s="14">
        <f t="shared" si="2"/>
        <v>-3.2150000000000003</v>
      </c>
      <c r="I59" s="103">
        <v>1.37</v>
      </c>
      <c r="J59" s="70" t="s">
        <v>133</v>
      </c>
      <c r="K59" s="32"/>
      <c r="L59" s="34"/>
      <c r="M59" s="14"/>
      <c r="N59" s="11" t="s">
        <v>134</v>
      </c>
    </row>
    <row r="60" spans="1:32">
      <c r="A60" s="81" t="s">
        <v>135</v>
      </c>
      <c r="B60" s="104">
        <f t="shared" si="1"/>
        <v>-1.5195500000000002</v>
      </c>
      <c r="C60" s="71"/>
      <c r="D60" s="12">
        <v>0.17069281866408892</v>
      </c>
      <c r="E60" s="10">
        <v>6</v>
      </c>
      <c r="F60" s="10">
        <v>270</v>
      </c>
      <c r="G60" s="6">
        <v>0.05</v>
      </c>
      <c r="H60" s="14">
        <f t="shared" si="2"/>
        <v>-2</v>
      </c>
      <c r="I60" s="103">
        <v>1.33</v>
      </c>
      <c r="J60" s="70" t="s">
        <v>136</v>
      </c>
      <c r="K60" s="32"/>
      <c r="L60" s="34"/>
      <c r="M60" s="14"/>
      <c r="N60" s="11" t="s">
        <v>137</v>
      </c>
    </row>
    <row r="61" spans="1:32">
      <c r="A61" s="82" t="s">
        <v>138</v>
      </c>
      <c r="B61" s="104">
        <f t="shared" si="1"/>
        <v>-2.6496000000000004</v>
      </c>
      <c r="C61" s="71"/>
      <c r="D61" s="12">
        <v>0.2061475968316322</v>
      </c>
      <c r="E61" s="10">
        <v>3</v>
      </c>
      <c r="F61" s="10">
        <v>143.75</v>
      </c>
      <c r="G61" s="6">
        <v>1.6</v>
      </c>
      <c r="H61" s="14">
        <f t="shared" si="2"/>
        <v>-2.2875000000000001</v>
      </c>
      <c r="I61" s="103">
        <v>1.51</v>
      </c>
      <c r="J61" s="70" t="s">
        <v>139</v>
      </c>
      <c r="K61" s="75">
        <f>COUNTA(A23:A122)</f>
        <v>100</v>
      </c>
      <c r="L61" s="34"/>
      <c r="M61" s="14"/>
      <c r="N61" s="11" t="s">
        <v>140</v>
      </c>
    </row>
    <row r="62" spans="1:32">
      <c r="A62" s="81" t="s">
        <v>141</v>
      </c>
      <c r="B62" s="104">
        <f t="shared" si="1"/>
        <v>-4.2343900000000003</v>
      </c>
      <c r="C62" s="71"/>
      <c r="D62" s="12">
        <v>0.18021422622763517</v>
      </c>
      <c r="E62" s="10">
        <v>5</v>
      </c>
      <c r="F62" s="10">
        <v>214.5</v>
      </c>
      <c r="G62" s="6">
        <v>3.61</v>
      </c>
      <c r="H62" s="14">
        <f t="shared" si="2"/>
        <v>-5.0049999999999999</v>
      </c>
      <c r="I62" s="103">
        <v>1.85</v>
      </c>
      <c r="J62" s="14"/>
      <c r="K62" s="14"/>
      <c r="L62" s="14"/>
      <c r="M62" s="14"/>
      <c r="N62" s="11" t="s">
        <v>142</v>
      </c>
    </row>
    <row r="63" spans="1:32">
      <c r="A63" s="82" t="s">
        <v>143</v>
      </c>
      <c r="B63" s="104">
        <f t="shared" si="1"/>
        <v>-4.3601799999999997</v>
      </c>
      <c r="C63" s="71"/>
      <c r="D63" s="12">
        <v>0.19225415374507382</v>
      </c>
      <c r="E63" s="10">
        <v>8</v>
      </c>
      <c r="F63" s="10">
        <v>255.29999999999998</v>
      </c>
      <c r="G63" s="6">
        <v>3.82</v>
      </c>
      <c r="H63" s="14">
        <f t="shared" si="2"/>
        <v>-5.6229999999999993</v>
      </c>
      <c r="I63" s="103">
        <v>1.85</v>
      </c>
      <c r="J63" s="19" t="s">
        <v>144</v>
      </c>
      <c r="K63" s="17"/>
      <c r="L63" s="17"/>
      <c r="M63" s="18"/>
      <c r="N63" s="11" t="s">
        <v>145</v>
      </c>
    </row>
    <row r="64" spans="1:32">
      <c r="A64" s="82" t="s">
        <v>146</v>
      </c>
      <c r="B64" s="104">
        <f t="shared" si="1"/>
        <v>-3.0426600000000001</v>
      </c>
      <c r="C64" s="71"/>
      <c r="D64" s="12">
        <v>0.17</v>
      </c>
      <c r="E64" s="10">
        <v>3</v>
      </c>
      <c r="F64" s="10">
        <v>189</v>
      </c>
      <c r="G64" s="6">
        <v>1.34</v>
      </c>
      <c r="H64" s="14">
        <f t="shared" si="2"/>
        <v>-2.4800000000000004</v>
      </c>
      <c r="I64" s="103">
        <v>2</v>
      </c>
      <c r="J64" s="109" t="s">
        <v>147</v>
      </c>
      <c r="K64" s="21"/>
      <c r="L64" s="21"/>
      <c r="M64" s="22"/>
      <c r="N64" s="11" t="s">
        <v>148</v>
      </c>
    </row>
    <row r="65" spans="1:14">
      <c r="A65" s="82" t="s">
        <v>149</v>
      </c>
      <c r="B65" s="104">
        <f t="shared" si="1"/>
        <v>-4.58826</v>
      </c>
      <c r="C65" s="71"/>
      <c r="D65" s="12">
        <v>0.19794493160510693</v>
      </c>
      <c r="E65" s="10">
        <v>4</v>
      </c>
      <c r="F65" s="10">
        <v>243.5</v>
      </c>
      <c r="G65" s="6">
        <v>1.34</v>
      </c>
      <c r="H65" s="14">
        <f t="shared" si="2"/>
        <v>-3.0250000000000004</v>
      </c>
      <c r="I65" s="103">
        <v>3.38</v>
      </c>
      <c r="J65" s="110" t="s">
        <v>150</v>
      </c>
      <c r="K65" s="7"/>
      <c r="L65" s="7"/>
      <c r="M65" s="24"/>
      <c r="N65" s="11" t="s">
        <v>151</v>
      </c>
    </row>
    <row r="66" spans="1:14">
      <c r="A66" s="81" t="s">
        <v>95</v>
      </c>
      <c r="B66" s="104">
        <f t="shared" si="1"/>
        <v>-2.1228600000000002</v>
      </c>
      <c r="C66" s="71"/>
      <c r="D66" s="12">
        <v>0.21056099074293383</v>
      </c>
      <c r="E66" s="10">
        <v>3</v>
      </c>
      <c r="F66" s="10">
        <v>36.5</v>
      </c>
      <c r="G66" s="6">
        <v>2.74</v>
      </c>
      <c r="H66" s="14">
        <f t="shared" si="2"/>
        <v>-2.3550000000000004</v>
      </c>
      <c r="I66" s="103">
        <v>0.43</v>
      </c>
      <c r="J66" s="23"/>
      <c r="K66" s="7"/>
      <c r="L66" s="7"/>
      <c r="M66" s="24"/>
      <c r="N66" s="113" t="s">
        <v>152</v>
      </c>
    </row>
    <row r="67" spans="1:14">
      <c r="A67" s="83" t="s">
        <v>153</v>
      </c>
      <c r="B67" s="104">
        <f t="shared" si="1"/>
        <v>-4.0414000000000003</v>
      </c>
      <c r="C67" s="71"/>
      <c r="D67" s="12">
        <v>0.21092434073951916</v>
      </c>
      <c r="E67" s="10">
        <v>10</v>
      </c>
      <c r="F67" s="10">
        <v>186</v>
      </c>
      <c r="G67" s="6">
        <v>3.4</v>
      </c>
      <c r="H67" s="14">
        <f t="shared" si="2"/>
        <v>-4.51</v>
      </c>
      <c r="I67" s="103">
        <v>1.79</v>
      </c>
      <c r="J67" s="23"/>
      <c r="K67" s="7"/>
      <c r="L67" s="7"/>
      <c r="M67" s="24"/>
      <c r="N67" s="11" t="s">
        <v>154</v>
      </c>
    </row>
    <row r="68" spans="1:14">
      <c r="A68" s="81" t="s">
        <v>98</v>
      </c>
      <c r="B68" s="104">
        <f t="shared" si="1"/>
        <v>-3.3116500000000002</v>
      </c>
      <c r="C68" s="71"/>
      <c r="D68" s="12">
        <v>0.18695478693957188</v>
      </c>
      <c r="E68" s="10">
        <v>3</v>
      </c>
      <c r="F68" s="10">
        <v>252.99999999999997</v>
      </c>
      <c r="G68" s="6">
        <v>2.35</v>
      </c>
      <c r="H68" s="14">
        <f t="shared" si="2"/>
        <v>-4.13</v>
      </c>
      <c r="I68" s="103">
        <v>1.7</v>
      </c>
      <c r="J68" s="23"/>
      <c r="K68" s="7"/>
      <c r="L68" s="7"/>
      <c r="M68" s="24"/>
      <c r="N68" s="113" t="s">
        <v>155</v>
      </c>
    </row>
    <row r="69" spans="1:14">
      <c r="A69" s="83" t="s">
        <v>156</v>
      </c>
      <c r="B69" s="104">
        <f t="shared" si="1"/>
        <v>-3.8843200000000002</v>
      </c>
      <c r="C69" s="71"/>
      <c r="D69" s="12">
        <v>0.20491085989689112</v>
      </c>
      <c r="E69" s="10">
        <v>23</v>
      </c>
      <c r="F69" s="10">
        <v>111.00000000000001</v>
      </c>
      <c r="G69" s="6">
        <v>3.68</v>
      </c>
      <c r="H69" s="14">
        <f t="shared" si="2"/>
        <v>-4.04</v>
      </c>
      <c r="I69" s="103">
        <v>1.5</v>
      </c>
      <c r="J69" s="23"/>
      <c r="K69" s="7"/>
      <c r="L69" s="7"/>
      <c r="M69" s="24"/>
      <c r="N69" s="11" t="s">
        <v>157</v>
      </c>
    </row>
    <row r="70" spans="1:14">
      <c r="A70" s="81" t="s">
        <v>158</v>
      </c>
      <c r="B70" s="104">
        <f t="shared" si="1"/>
        <v>-3.6048400000000003</v>
      </c>
      <c r="C70" s="71"/>
      <c r="D70" s="12">
        <v>0.15545016183846921</v>
      </c>
      <c r="E70" s="10">
        <v>6</v>
      </c>
      <c r="F70" s="10">
        <v>250</v>
      </c>
      <c r="G70" s="6">
        <v>-0.04</v>
      </c>
      <c r="H70" s="14">
        <f t="shared" si="2"/>
        <v>-1.71</v>
      </c>
      <c r="I70" s="103">
        <v>3.24</v>
      </c>
      <c r="J70" s="23"/>
      <c r="K70" s="7"/>
      <c r="L70" s="7"/>
      <c r="M70" s="24"/>
      <c r="N70" s="11" t="s">
        <v>159</v>
      </c>
    </row>
    <row r="71" spans="1:14">
      <c r="A71" s="82" t="s">
        <v>160</v>
      </c>
      <c r="B71" s="104">
        <f t="shared" si="1"/>
        <v>-1.3511700000000002</v>
      </c>
      <c r="C71" s="71"/>
      <c r="D71" s="12">
        <v>0.13261436390895148</v>
      </c>
      <c r="E71" s="10">
        <v>3</v>
      </c>
      <c r="F71" s="10">
        <v>250</v>
      </c>
      <c r="G71" s="6">
        <v>-1.97</v>
      </c>
      <c r="H71" s="14">
        <f t="shared" si="2"/>
        <v>0.21999999999999975</v>
      </c>
      <c r="I71" s="103">
        <v>2.2599999999999998</v>
      </c>
      <c r="J71" s="23"/>
      <c r="K71" s="7"/>
      <c r="L71" s="7"/>
      <c r="M71" s="24"/>
      <c r="N71" s="11" t="s">
        <v>161</v>
      </c>
    </row>
    <row r="72" spans="1:14">
      <c r="A72" s="82" t="s">
        <v>162</v>
      </c>
      <c r="B72" s="104">
        <f t="shared" si="1"/>
        <v>-4.0683199999999999</v>
      </c>
      <c r="C72" s="71"/>
      <c r="D72" s="12">
        <v>0.21159815676624968</v>
      </c>
      <c r="E72" s="10">
        <v>9</v>
      </c>
      <c r="F72" s="10">
        <v>208.5</v>
      </c>
      <c r="G72" s="6">
        <v>2.08</v>
      </c>
      <c r="H72" s="14">
        <f t="shared" si="2"/>
        <v>-3.415</v>
      </c>
      <c r="I72" s="103">
        <v>2.52</v>
      </c>
      <c r="J72" s="23"/>
      <c r="K72" s="7"/>
      <c r="L72" s="7"/>
      <c r="M72" s="24"/>
      <c r="N72" s="11" t="s">
        <v>163</v>
      </c>
    </row>
    <row r="73" spans="1:14">
      <c r="A73" s="82" t="s">
        <v>164</v>
      </c>
      <c r="B73" s="104">
        <f t="shared" si="1"/>
        <v>-3.6945100000000002</v>
      </c>
      <c r="C73" s="71"/>
      <c r="D73" s="12">
        <v>0.1900151243705871</v>
      </c>
      <c r="E73" s="10">
        <v>15</v>
      </c>
      <c r="F73" s="10">
        <v>220.00000000000003</v>
      </c>
      <c r="G73" s="6">
        <v>2.69</v>
      </c>
      <c r="H73" s="14">
        <f t="shared" si="2"/>
        <v>-4.1400000000000006</v>
      </c>
      <c r="I73" s="103">
        <v>1.86</v>
      </c>
      <c r="J73" s="23"/>
      <c r="K73" s="7"/>
      <c r="L73" s="7"/>
      <c r="M73" s="24"/>
      <c r="N73" s="11" t="s">
        <v>165</v>
      </c>
    </row>
    <row r="74" spans="1:14">
      <c r="A74" s="82" t="s">
        <v>166</v>
      </c>
      <c r="B74" s="104">
        <f t="shared" si="1"/>
        <v>-4.8935700000000004</v>
      </c>
      <c r="C74" s="71"/>
      <c r="D74" s="12">
        <v>0.16978183023026608</v>
      </c>
      <c r="E74" s="10">
        <v>10</v>
      </c>
      <c r="F74" s="10">
        <v>151</v>
      </c>
      <c r="G74" s="6">
        <v>4.43</v>
      </c>
      <c r="H74" s="14">
        <f t="shared" si="2"/>
        <v>-5.1899999999999995</v>
      </c>
      <c r="I74" s="103">
        <v>2</v>
      </c>
      <c r="J74" s="23"/>
      <c r="K74" s="7"/>
      <c r="L74" s="7"/>
      <c r="M74" s="24"/>
      <c r="N74" s="11" t="s">
        <v>167</v>
      </c>
    </row>
    <row r="75" spans="1:14">
      <c r="A75" s="83" t="s">
        <v>100</v>
      </c>
      <c r="B75" s="104">
        <f t="shared" si="1"/>
        <v>-7.0077800000000003</v>
      </c>
      <c r="C75" s="71"/>
      <c r="D75" s="12">
        <v>0.19416214604145643</v>
      </c>
      <c r="E75" s="10">
        <v>7</v>
      </c>
      <c r="F75" s="10">
        <v>154.5</v>
      </c>
      <c r="G75" s="6">
        <v>4.22</v>
      </c>
      <c r="H75" s="14">
        <f t="shared" si="2"/>
        <v>-5.0149999999999997</v>
      </c>
      <c r="I75" s="103">
        <v>4</v>
      </c>
      <c r="J75" s="23"/>
      <c r="K75" s="7"/>
      <c r="L75" s="7"/>
      <c r="M75" s="24"/>
      <c r="N75" s="113" t="s">
        <v>168</v>
      </c>
    </row>
    <row r="76" spans="1:14">
      <c r="A76" s="82" t="s">
        <v>169</v>
      </c>
      <c r="B76" s="104">
        <f t="shared" si="1"/>
        <v>-5.7847299999999997</v>
      </c>
      <c r="C76" s="71"/>
      <c r="D76" s="12">
        <v>0.16048013551961601</v>
      </c>
      <c r="E76" s="10">
        <v>5</v>
      </c>
      <c r="F76" s="10">
        <v>167.75</v>
      </c>
      <c r="G76" s="6">
        <v>2.87</v>
      </c>
      <c r="H76" s="14">
        <f t="shared" si="2"/>
        <v>-3.7975000000000003</v>
      </c>
      <c r="I76" s="103">
        <v>3.63</v>
      </c>
      <c r="J76" s="23"/>
      <c r="K76" s="7"/>
      <c r="L76" s="7"/>
      <c r="M76" s="24"/>
      <c r="N76" s="11" t="s">
        <v>170</v>
      </c>
    </row>
    <row r="77" spans="1:14">
      <c r="A77" s="84" t="s">
        <v>171</v>
      </c>
      <c r="B77" s="104">
        <f t="shared" si="1"/>
        <v>-5.0868700000000002</v>
      </c>
      <c r="C77" s="72"/>
      <c r="D77" s="4">
        <v>0.22239504833634874</v>
      </c>
      <c r="E77" s="2">
        <v>21</v>
      </c>
      <c r="F77" s="10">
        <v>159</v>
      </c>
      <c r="G77" s="6">
        <v>3.93</v>
      </c>
      <c r="H77" s="14">
        <f t="shared" si="2"/>
        <v>-4.7700000000000005</v>
      </c>
      <c r="I77" s="103">
        <v>2.44</v>
      </c>
      <c r="J77" s="23"/>
      <c r="K77" s="7"/>
      <c r="L77" s="7"/>
      <c r="M77" s="24"/>
      <c r="N77" s="11" t="s">
        <v>172</v>
      </c>
    </row>
    <row r="78" spans="1:14">
      <c r="A78" s="82" t="s">
        <v>173</v>
      </c>
      <c r="B78" s="104">
        <f t="shared" si="1"/>
        <v>-3.9713600000000002</v>
      </c>
      <c r="C78" s="71"/>
      <c r="D78" s="12">
        <v>0.21209434799218393</v>
      </c>
      <c r="E78" s="10">
        <v>5</v>
      </c>
      <c r="F78" s="10">
        <v>213.49999999999997</v>
      </c>
      <c r="G78" s="6">
        <v>3.04</v>
      </c>
      <c r="H78" s="14">
        <f t="shared" si="2"/>
        <v>-4.4249999999999998</v>
      </c>
      <c r="I78" s="103">
        <v>1.92</v>
      </c>
      <c r="J78" s="23"/>
      <c r="K78" s="7"/>
      <c r="L78" s="7"/>
      <c r="M78" s="24"/>
      <c r="N78" s="11" t="s">
        <v>174</v>
      </c>
    </row>
    <row r="79" spans="1:14">
      <c r="A79" s="82" t="s">
        <v>175</v>
      </c>
      <c r="B79" s="104">
        <f t="shared" si="1"/>
        <v>-6.0385900000000001</v>
      </c>
      <c r="C79" s="71"/>
      <c r="D79" s="12">
        <v>0.1407224156406931</v>
      </c>
      <c r="E79" s="10">
        <v>11</v>
      </c>
      <c r="F79" s="10">
        <v>146</v>
      </c>
      <c r="G79" s="6">
        <v>4.21</v>
      </c>
      <c r="H79" s="14">
        <f t="shared" si="2"/>
        <v>-4.92</v>
      </c>
      <c r="I79" s="103">
        <v>3.14</v>
      </c>
      <c r="J79" s="23"/>
      <c r="K79" s="7"/>
      <c r="L79" s="7"/>
      <c r="M79" s="24"/>
      <c r="N79" s="11" t="s">
        <v>176</v>
      </c>
    </row>
    <row r="80" spans="1:14">
      <c r="A80" s="82" t="s">
        <v>177</v>
      </c>
      <c r="B80" s="104">
        <f t="shared" si="1"/>
        <v>-4.4929899999999998</v>
      </c>
      <c r="C80" s="71"/>
      <c r="D80" s="12">
        <v>0.21748916450754371</v>
      </c>
      <c r="E80" s="10">
        <v>5</v>
      </c>
      <c r="F80" s="10">
        <v>92.333333333333329</v>
      </c>
      <c r="G80" s="6">
        <v>4.21</v>
      </c>
      <c r="H80" s="14">
        <f t="shared" si="2"/>
        <v>-4.3833333333333329</v>
      </c>
      <c r="I80" s="103">
        <v>1.76</v>
      </c>
      <c r="J80" s="23"/>
      <c r="K80" s="7"/>
      <c r="L80" s="7"/>
      <c r="M80" s="24"/>
      <c r="N80" s="11" t="s">
        <v>178</v>
      </c>
    </row>
    <row r="81" spans="1:14">
      <c r="A81" s="81" t="s">
        <v>179</v>
      </c>
      <c r="B81" s="104">
        <f t="shared" si="1"/>
        <v>-4.6360900000000003</v>
      </c>
      <c r="C81" s="71"/>
      <c r="D81" s="12">
        <v>0.20531013145176411</v>
      </c>
      <c r="E81" s="10">
        <v>8</v>
      </c>
      <c r="F81" s="10">
        <v>256</v>
      </c>
      <c r="G81" s="6">
        <v>2.71</v>
      </c>
      <c r="H81" s="14">
        <f t="shared" si="2"/>
        <v>-4.5199999999999996</v>
      </c>
      <c r="I81" s="103">
        <v>2.69</v>
      </c>
      <c r="J81" s="23"/>
      <c r="K81" s="7"/>
      <c r="L81" s="7"/>
      <c r="M81" s="24"/>
      <c r="N81" s="11" t="s">
        <v>180</v>
      </c>
    </row>
    <row r="82" spans="1:14">
      <c r="A82" s="81" t="s">
        <v>181</v>
      </c>
      <c r="B82" s="104">
        <f t="shared" si="1"/>
        <v>-3.7770299999999999</v>
      </c>
      <c r="C82" s="71"/>
      <c r="D82" s="12">
        <v>0.21176785142223761</v>
      </c>
      <c r="E82" s="10">
        <v>3</v>
      </c>
      <c r="F82" s="10">
        <v>80</v>
      </c>
      <c r="G82" s="6">
        <v>3.37</v>
      </c>
      <c r="H82" s="14">
        <f t="shared" si="2"/>
        <v>-3.42</v>
      </c>
      <c r="I82" s="103">
        <v>1.57</v>
      </c>
      <c r="J82" s="23"/>
      <c r="K82" s="7"/>
      <c r="L82" s="7"/>
      <c r="M82" s="24"/>
      <c r="N82" s="11" t="s">
        <v>182</v>
      </c>
    </row>
    <row r="83" spans="1:14">
      <c r="A83" s="81" t="s">
        <v>183</v>
      </c>
      <c r="B83" s="104">
        <f t="shared" si="1"/>
        <v>-3.54576</v>
      </c>
      <c r="C83" s="71"/>
      <c r="D83" s="12">
        <v>0.16217657762412213</v>
      </c>
      <c r="E83" s="10">
        <v>17</v>
      </c>
      <c r="F83" s="10">
        <v>153</v>
      </c>
      <c r="G83" s="6">
        <v>3.04</v>
      </c>
      <c r="H83" s="14">
        <f t="shared" si="2"/>
        <v>-3.8200000000000003</v>
      </c>
      <c r="I83" s="103">
        <v>1.54</v>
      </c>
      <c r="J83" s="23"/>
      <c r="K83" s="7"/>
      <c r="L83" s="7"/>
      <c r="M83" s="24"/>
      <c r="N83" s="11" t="s">
        <v>184</v>
      </c>
    </row>
    <row r="84" spans="1:14">
      <c r="A84" s="82" t="s">
        <v>185</v>
      </c>
      <c r="B84" s="104">
        <f t="shared" si="1"/>
        <v>-6.4292500000000006</v>
      </c>
      <c r="C84" s="71"/>
      <c r="D84" s="12">
        <v>0.20448827496623867</v>
      </c>
      <c r="E84" s="10">
        <v>3</v>
      </c>
      <c r="F84" s="10">
        <v>349.84</v>
      </c>
      <c r="G84" s="6">
        <v>4.75</v>
      </c>
      <c r="H84" s="14">
        <f t="shared" si="2"/>
        <v>-7.4984000000000002</v>
      </c>
      <c r="I84" s="103">
        <v>3.2</v>
      </c>
      <c r="J84" s="23"/>
      <c r="K84" s="7"/>
      <c r="L84" s="7"/>
      <c r="M84" s="24"/>
      <c r="N84" s="11" t="s">
        <v>186</v>
      </c>
    </row>
    <row r="85" spans="1:14">
      <c r="A85" s="82" t="s">
        <v>187</v>
      </c>
      <c r="B85" s="104">
        <f t="shared" si="1"/>
        <v>-4.23055</v>
      </c>
      <c r="C85" s="71"/>
      <c r="D85" s="12">
        <v>0.14358294446577732</v>
      </c>
      <c r="E85" s="10">
        <v>6</v>
      </c>
      <c r="F85" s="10">
        <v>248</v>
      </c>
      <c r="G85" s="6">
        <v>2.65</v>
      </c>
      <c r="H85" s="14">
        <f t="shared" si="2"/>
        <v>-4.38</v>
      </c>
      <c r="I85" s="103">
        <v>2.36</v>
      </c>
      <c r="J85" s="23"/>
      <c r="K85" s="7"/>
      <c r="L85" s="7"/>
      <c r="M85" s="24"/>
      <c r="N85" s="11" t="s">
        <v>188</v>
      </c>
    </row>
    <row r="86" spans="1:14">
      <c r="A86" s="82" t="s">
        <v>189</v>
      </c>
      <c r="B86" s="104">
        <f t="shared" si="1"/>
        <v>-3.0530200000000001</v>
      </c>
      <c r="C86" s="71"/>
      <c r="D86" s="12">
        <v>0.15384096988991314</v>
      </c>
      <c r="E86" s="10">
        <v>11</v>
      </c>
      <c r="F86" s="10">
        <v>173</v>
      </c>
      <c r="G86" s="6">
        <v>2.1800000000000002</v>
      </c>
      <c r="H86" s="14">
        <f t="shared" si="2"/>
        <v>-3.16</v>
      </c>
      <c r="I86" s="103">
        <v>1.56</v>
      </c>
      <c r="J86" s="23"/>
      <c r="K86" s="7"/>
      <c r="L86" s="7"/>
      <c r="M86" s="24"/>
      <c r="N86" s="11" t="s">
        <v>190</v>
      </c>
    </row>
    <row r="87" spans="1:14">
      <c r="A87" s="82" t="s">
        <v>191</v>
      </c>
      <c r="B87" s="104">
        <f t="shared" si="1"/>
        <v>-3.9268399999999999</v>
      </c>
      <c r="C87" s="71"/>
      <c r="D87" s="12">
        <v>0.14176528631434945</v>
      </c>
      <c r="E87" s="10">
        <v>5</v>
      </c>
      <c r="F87" s="10">
        <v>143.75</v>
      </c>
      <c r="G87" s="6">
        <v>2.76</v>
      </c>
      <c r="H87" s="14">
        <f t="shared" ref="H87:H118" si="3">0.5-G87-0.01*(F87-25)</f>
        <v>-3.4474999999999998</v>
      </c>
      <c r="I87" s="103">
        <v>2.0299999999999998</v>
      </c>
      <c r="J87" s="23"/>
      <c r="K87" s="7"/>
      <c r="L87" s="7"/>
      <c r="M87" s="24"/>
      <c r="N87" s="11" t="s">
        <v>192</v>
      </c>
    </row>
    <row r="88" spans="1:14">
      <c r="A88" s="82" t="s">
        <v>193</v>
      </c>
      <c r="B88" s="104">
        <f t="shared" ref="B88:B122" si="4">-1.12*I88-0.599*G88</f>
        <v>-2.9783300000000001</v>
      </c>
      <c r="C88" s="71"/>
      <c r="D88" s="12">
        <v>0.16213928191469343</v>
      </c>
      <c r="E88" s="10">
        <v>19</v>
      </c>
      <c r="F88" s="10">
        <v>220.5</v>
      </c>
      <c r="G88" s="6">
        <v>1.27</v>
      </c>
      <c r="H88" s="14">
        <f t="shared" si="3"/>
        <v>-2.7250000000000001</v>
      </c>
      <c r="I88" s="103">
        <v>1.98</v>
      </c>
      <c r="J88" s="23"/>
      <c r="K88" s="7"/>
      <c r="L88" s="7"/>
      <c r="M88" s="24"/>
      <c r="N88" s="11" t="s">
        <v>194</v>
      </c>
    </row>
    <row r="89" spans="1:14">
      <c r="A89" s="82" t="s">
        <v>195</v>
      </c>
      <c r="B89" s="104">
        <f t="shared" si="4"/>
        <v>-4.1869699999999996</v>
      </c>
      <c r="C89" s="71"/>
      <c r="D89" s="12">
        <v>0.16127920198135692</v>
      </c>
      <c r="E89" s="10">
        <v>5</v>
      </c>
      <c r="F89" s="10">
        <v>214</v>
      </c>
      <c r="G89" s="6">
        <v>3.83</v>
      </c>
      <c r="H89" s="14">
        <f t="shared" si="3"/>
        <v>-5.2200000000000006</v>
      </c>
      <c r="I89" s="103">
        <v>1.69</v>
      </c>
      <c r="J89" s="23"/>
      <c r="K89" s="7"/>
      <c r="L89" s="7"/>
      <c r="M89" s="24"/>
      <c r="N89" s="11" t="s">
        <v>196</v>
      </c>
    </row>
    <row r="90" spans="1:14">
      <c r="A90" s="83" t="s">
        <v>197</v>
      </c>
      <c r="B90" s="104">
        <f t="shared" si="4"/>
        <v>-4.4019200000000005</v>
      </c>
      <c r="C90" s="71"/>
      <c r="D90" s="12">
        <v>0.13869006117838048</v>
      </c>
      <c r="E90" s="10">
        <v>3</v>
      </c>
      <c r="F90" s="10">
        <v>176</v>
      </c>
      <c r="G90" s="6">
        <v>2.88</v>
      </c>
      <c r="H90" s="14">
        <f t="shared" si="3"/>
        <v>-3.8899999999999997</v>
      </c>
      <c r="I90" s="103">
        <v>2.39</v>
      </c>
      <c r="J90" s="23"/>
      <c r="K90" s="7"/>
      <c r="L90" s="7"/>
      <c r="M90" s="24"/>
      <c r="N90" s="11" t="s">
        <v>198</v>
      </c>
    </row>
    <row r="91" spans="1:14">
      <c r="A91" s="85" t="s">
        <v>199</v>
      </c>
      <c r="B91" s="104">
        <f t="shared" si="4"/>
        <v>-3.4536600000000002</v>
      </c>
      <c r="C91" s="72"/>
      <c r="D91" s="4">
        <v>0.1259834086188602</v>
      </c>
      <c r="E91" s="2">
        <v>14</v>
      </c>
      <c r="F91" s="10">
        <v>253.5</v>
      </c>
      <c r="G91" s="6">
        <v>1.54</v>
      </c>
      <c r="H91" s="14">
        <f t="shared" si="3"/>
        <v>-3.3250000000000002</v>
      </c>
      <c r="I91" s="103">
        <v>2.2599999999999998</v>
      </c>
      <c r="J91" s="23"/>
      <c r="K91" s="7"/>
      <c r="L91" s="7"/>
      <c r="M91" s="24"/>
      <c r="N91" s="11" t="s">
        <v>200</v>
      </c>
    </row>
    <row r="92" spans="1:14">
      <c r="A92" s="82" t="s">
        <v>201</v>
      </c>
      <c r="B92" s="104">
        <f t="shared" si="4"/>
        <v>-3.9651500000000004</v>
      </c>
      <c r="C92" s="71"/>
      <c r="D92" s="12">
        <v>0.16504944177542516</v>
      </c>
      <c r="E92" s="10">
        <v>5</v>
      </c>
      <c r="F92" s="10">
        <v>205.50000000000003</v>
      </c>
      <c r="G92" s="6">
        <v>2.4500000000000002</v>
      </c>
      <c r="H92" s="14">
        <f t="shared" si="3"/>
        <v>-3.7550000000000008</v>
      </c>
      <c r="I92" s="103">
        <v>2.23</v>
      </c>
      <c r="J92" s="23"/>
      <c r="K92" s="7"/>
      <c r="L92" s="7"/>
      <c r="M92" s="24"/>
      <c r="N92" s="11" t="s">
        <v>202</v>
      </c>
    </row>
    <row r="93" spans="1:14">
      <c r="A93" s="83" t="s">
        <v>203</v>
      </c>
      <c r="B93" s="104">
        <f t="shared" si="4"/>
        <v>-4.7561099999999996</v>
      </c>
      <c r="C93" s="71"/>
      <c r="D93" s="12">
        <v>0.19426266518058349</v>
      </c>
      <c r="E93" s="10">
        <v>3</v>
      </c>
      <c r="F93" s="10">
        <v>96</v>
      </c>
      <c r="G93" s="6">
        <v>3.49</v>
      </c>
      <c r="H93" s="14">
        <f t="shared" si="3"/>
        <v>-3.7</v>
      </c>
      <c r="I93" s="103">
        <v>2.38</v>
      </c>
      <c r="J93" s="23"/>
      <c r="K93" s="7"/>
      <c r="L93" s="7"/>
      <c r="M93" s="24"/>
      <c r="N93" s="11" t="s">
        <v>204</v>
      </c>
    </row>
    <row r="94" spans="1:14">
      <c r="A94" s="82" t="s">
        <v>205</v>
      </c>
      <c r="B94" s="104">
        <f t="shared" si="4"/>
        <v>-4.7649400000000002</v>
      </c>
      <c r="C94" s="71"/>
      <c r="D94" s="12">
        <v>0.18894337149737056</v>
      </c>
      <c r="E94" s="10">
        <v>12</v>
      </c>
      <c r="F94" s="10">
        <v>147.25</v>
      </c>
      <c r="G94" s="6">
        <v>3.86</v>
      </c>
      <c r="H94" s="14">
        <f t="shared" si="3"/>
        <v>-4.5824999999999996</v>
      </c>
      <c r="I94" s="103">
        <v>2.19</v>
      </c>
      <c r="J94" s="23"/>
      <c r="K94" s="7"/>
      <c r="L94" s="7"/>
      <c r="M94" s="24"/>
      <c r="N94" s="11" t="s">
        <v>206</v>
      </c>
    </row>
    <row r="95" spans="1:14">
      <c r="A95" s="82" t="s">
        <v>207</v>
      </c>
      <c r="B95" s="104">
        <f t="shared" si="4"/>
        <v>-5.5744600000000002</v>
      </c>
      <c r="C95" s="71"/>
      <c r="D95" s="12">
        <v>0.17391407185160324</v>
      </c>
      <c r="E95" s="10">
        <v>6</v>
      </c>
      <c r="F95" s="10">
        <v>97</v>
      </c>
      <c r="G95" s="6">
        <v>3.94</v>
      </c>
      <c r="H95" s="14">
        <f t="shared" si="3"/>
        <v>-4.16</v>
      </c>
      <c r="I95" s="103">
        <v>2.87</v>
      </c>
      <c r="J95" s="23"/>
      <c r="K95" s="7"/>
      <c r="L95" s="7"/>
      <c r="M95" s="24"/>
      <c r="N95" s="11" t="s">
        <v>208</v>
      </c>
    </row>
    <row r="96" spans="1:14">
      <c r="A96" s="81" t="s">
        <v>209</v>
      </c>
      <c r="B96" s="104">
        <f t="shared" si="4"/>
        <v>-2.2971599999999999</v>
      </c>
      <c r="C96" s="71"/>
      <c r="D96" s="12">
        <v>0.13764369691033657</v>
      </c>
      <c r="E96" s="10">
        <v>10</v>
      </c>
      <c r="F96" s="10">
        <v>134.5</v>
      </c>
      <c r="G96" s="6">
        <v>2.04</v>
      </c>
      <c r="H96" s="14">
        <f t="shared" si="3"/>
        <v>-2.6349999999999998</v>
      </c>
      <c r="I96" s="103">
        <v>0.96</v>
      </c>
      <c r="J96" s="23"/>
      <c r="K96" s="7"/>
      <c r="L96" s="7"/>
      <c r="M96" s="24"/>
      <c r="N96" s="11" t="s">
        <v>210</v>
      </c>
    </row>
    <row r="97" spans="1:14">
      <c r="A97" s="82" t="s">
        <v>211</v>
      </c>
      <c r="B97" s="104">
        <f t="shared" si="4"/>
        <v>-3.86694</v>
      </c>
      <c r="C97" s="71"/>
      <c r="D97" s="12">
        <v>0.16245746888591447</v>
      </c>
      <c r="E97" s="10">
        <v>7</v>
      </c>
      <c r="F97" s="10">
        <v>139</v>
      </c>
      <c r="G97" s="6">
        <v>2.66</v>
      </c>
      <c r="H97" s="14">
        <f t="shared" si="3"/>
        <v>-3.3000000000000003</v>
      </c>
      <c r="I97" s="103">
        <v>2.0299999999999998</v>
      </c>
      <c r="J97" s="23"/>
      <c r="K97" s="7"/>
      <c r="L97" s="7"/>
      <c r="M97" s="24"/>
      <c r="N97" s="11" t="s">
        <v>212</v>
      </c>
    </row>
    <row r="98" spans="1:14">
      <c r="A98" s="82" t="s">
        <v>213</v>
      </c>
      <c r="B98" s="104">
        <f t="shared" si="4"/>
        <v>-3.0480900000000002</v>
      </c>
      <c r="C98" s="71"/>
      <c r="D98" s="12">
        <v>0.15322122505052199</v>
      </c>
      <c r="E98" s="10">
        <v>9</v>
      </c>
      <c r="F98" s="10">
        <v>170</v>
      </c>
      <c r="G98" s="6">
        <v>1.91</v>
      </c>
      <c r="H98" s="14">
        <f t="shared" si="3"/>
        <v>-2.86</v>
      </c>
      <c r="I98" s="103">
        <v>1.7</v>
      </c>
      <c r="J98" s="23"/>
      <c r="K98" s="7"/>
      <c r="L98" s="7"/>
      <c r="M98" s="24"/>
      <c r="N98" s="11" t="s">
        <v>214</v>
      </c>
    </row>
    <row r="99" spans="1:14">
      <c r="A99" s="81" t="s">
        <v>215</v>
      </c>
      <c r="B99" s="104">
        <f t="shared" si="4"/>
        <v>-3.2535600000000002</v>
      </c>
      <c r="C99" s="71"/>
      <c r="D99" s="12">
        <v>0.15273607916541068</v>
      </c>
      <c r="E99" s="10">
        <v>10</v>
      </c>
      <c r="F99" s="10">
        <v>326</v>
      </c>
      <c r="G99" s="6">
        <v>2.44</v>
      </c>
      <c r="H99" s="14">
        <f t="shared" si="3"/>
        <v>-4.95</v>
      </c>
      <c r="I99" s="103">
        <v>1.6</v>
      </c>
      <c r="J99" s="23"/>
      <c r="K99" s="7"/>
      <c r="L99" s="7"/>
      <c r="M99" s="24"/>
      <c r="N99" s="11" t="s">
        <v>216</v>
      </c>
    </row>
    <row r="100" spans="1:14">
      <c r="A100" s="82" t="s">
        <v>217</v>
      </c>
      <c r="B100" s="104">
        <f t="shared" si="4"/>
        <v>-3.5422000000000002</v>
      </c>
      <c r="C100" s="71"/>
      <c r="D100" s="12">
        <v>0.18404701512102448</v>
      </c>
      <c r="E100" s="10">
        <v>5</v>
      </c>
      <c r="F100" s="10">
        <v>232.50000000000003</v>
      </c>
      <c r="G100" s="6">
        <v>1.8</v>
      </c>
      <c r="H100" s="14">
        <f t="shared" si="3"/>
        <v>-3.375</v>
      </c>
      <c r="I100" s="103">
        <v>2.2000000000000002</v>
      </c>
      <c r="J100" s="23"/>
      <c r="K100" s="7"/>
      <c r="L100" s="7"/>
      <c r="M100" s="24"/>
      <c r="N100" s="11" t="s">
        <v>218</v>
      </c>
    </row>
    <row r="101" spans="1:14">
      <c r="A101" s="82" t="s">
        <v>219</v>
      </c>
      <c r="B101" s="104">
        <f t="shared" si="4"/>
        <v>-2.0146600000000001</v>
      </c>
      <c r="C101" s="71"/>
      <c r="D101" s="12">
        <v>0.13604063752604376</v>
      </c>
      <c r="E101" s="10">
        <v>4</v>
      </c>
      <c r="F101" s="10">
        <v>281.5</v>
      </c>
      <c r="G101" s="6">
        <v>0.54</v>
      </c>
      <c r="H101" s="14">
        <f t="shared" si="3"/>
        <v>-2.605</v>
      </c>
      <c r="I101" s="103">
        <v>1.51</v>
      </c>
      <c r="J101" s="23"/>
      <c r="K101" s="7"/>
      <c r="L101" s="7"/>
      <c r="M101" s="24"/>
      <c r="N101" s="11" t="s">
        <v>220</v>
      </c>
    </row>
    <row r="102" spans="1:14">
      <c r="A102" s="82" t="s">
        <v>221</v>
      </c>
      <c r="B102" s="104">
        <f t="shared" si="4"/>
        <v>-2.7178000000000004</v>
      </c>
      <c r="C102" s="71"/>
      <c r="D102" s="12">
        <v>0.19798964803022484</v>
      </c>
      <c r="E102" s="10">
        <v>4</v>
      </c>
      <c r="F102" s="10">
        <v>197.1</v>
      </c>
      <c r="G102" s="6">
        <v>2.2000000000000002</v>
      </c>
      <c r="H102" s="14">
        <f t="shared" si="3"/>
        <v>-3.4210000000000003</v>
      </c>
      <c r="I102" s="103">
        <v>1.25</v>
      </c>
      <c r="J102" s="23"/>
      <c r="K102" s="7"/>
      <c r="L102" s="7"/>
      <c r="M102" s="24"/>
      <c r="N102" s="11" t="s">
        <v>222</v>
      </c>
    </row>
    <row r="103" spans="1:14">
      <c r="A103" s="83" t="s">
        <v>223</v>
      </c>
      <c r="B103" s="104">
        <f t="shared" si="4"/>
        <v>-4.9253600000000004</v>
      </c>
      <c r="C103" s="71"/>
      <c r="D103" s="12">
        <v>0.13486720020739137</v>
      </c>
      <c r="E103" s="10">
        <v>4</v>
      </c>
      <c r="F103" s="10">
        <v>33</v>
      </c>
      <c r="G103" s="6">
        <v>4.24</v>
      </c>
      <c r="H103" s="14">
        <f t="shared" si="3"/>
        <v>-3.8200000000000003</v>
      </c>
      <c r="I103" s="103">
        <v>2.13</v>
      </c>
      <c r="J103" s="23"/>
      <c r="K103" s="7"/>
      <c r="L103" s="7"/>
      <c r="M103" s="24"/>
      <c r="N103" s="11" t="s">
        <v>224</v>
      </c>
    </row>
    <row r="104" spans="1:14">
      <c r="A104" s="82" t="s">
        <v>225</v>
      </c>
      <c r="B104" s="104">
        <f t="shared" si="4"/>
        <v>-4.9365600000000001</v>
      </c>
      <c r="C104" s="71"/>
      <c r="D104" s="12">
        <v>0.18801274760604275</v>
      </c>
      <c r="E104" s="10">
        <v>11</v>
      </c>
      <c r="F104" s="10">
        <v>60</v>
      </c>
      <c r="G104" s="6">
        <v>4.24</v>
      </c>
      <c r="H104" s="14">
        <f t="shared" si="3"/>
        <v>-4.09</v>
      </c>
      <c r="I104" s="103">
        <v>2.14</v>
      </c>
      <c r="J104" s="23"/>
      <c r="K104" s="7"/>
      <c r="L104" s="7"/>
      <c r="M104" s="24"/>
      <c r="N104" s="11" t="s">
        <v>226</v>
      </c>
    </row>
    <row r="105" spans="1:14">
      <c r="A105" s="82" t="s">
        <v>227</v>
      </c>
      <c r="B105" s="104">
        <f t="shared" si="4"/>
        <v>-5.5571799999999998</v>
      </c>
      <c r="C105" s="71"/>
      <c r="D105" s="12">
        <v>0.1664014074224209</v>
      </c>
      <c r="E105" s="10">
        <v>4</v>
      </c>
      <c r="F105" s="10">
        <v>130.5</v>
      </c>
      <c r="G105" s="6">
        <v>5.22</v>
      </c>
      <c r="H105" s="14">
        <f t="shared" si="3"/>
        <v>-5.7749999999999995</v>
      </c>
      <c r="I105" s="103">
        <v>2.17</v>
      </c>
      <c r="J105" s="23"/>
      <c r="K105" s="7"/>
      <c r="L105" s="7"/>
      <c r="M105" s="24"/>
      <c r="N105" s="11" t="s">
        <v>228</v>
      </c>
    </row>
    <row r="106" spans="1:14">
      <c r="A106" s="83" t="s">
        <v>103</v>
      </c>
      <c r="B106" s="104">
        <f t="shared" si="4"/>
        <v>-3.9854300000000005</v>
      </c>
      <c r="C106" s="71"/>
      <c r="D106" s="12">
        <v>0.17506472136100007</v>
      </c>
      <c r="E106" s="10">
        <v>7</v>
      </c>
      <c r="F106" s="10">
        <v>254</v>
      </c>
      <c r="G106" s="6">
        <v>2.97</v>
      </c>
      <c r="H106" s="14">
        <f t="shared" si="3"/>
        <v>-4.76</v>
      </c>
      <c r="I106" s="103">
        <v>1.97</v>
      </c>
      <c r="J106" s="23"/>
      <c r="K106" s="7"/>
      <c r="L106" s="7"/>
      <c r="M106" s="24"/>
      <c r="N106" s="11" t="s">
        <v>229</v>
      </c>
    </row>
    <row r="107" spans="1:14">
      <c r="A107" s="83" t="s">
        <v>230</v>
      </c>
      <c r="B107" s="104">
        <f t="shared" si="4"/>
        <v>-7.6728900000000007</v>
      </c>
      <c r="C107" s="71"/>
      <c r="D107" s="12">
        <v>0.1605416460069265</v>
      </c>
      <c r="E107" s="10">
        <v>5</v>
      </c>
      <c r="F107" s="10">
        <v>121</v>
      </c>
      <c r="G107" s="6">
        <v>5.91</v>
      </c>
      <c r="H107" s="14">
        <f t="shared" si="3"/>
        <v>-6.37</v>
      </c>
      <c r="I107" s="103">
        <v>3.69</v>
      </c>
      <c r="J107" s="23"/>
      <c r="K107" s="7"/>
      <c r="L107" s="7"/>
      <c r="M107" s="24"/>
      <c r="N107" s="11" t="s">
        <v>231</v>
      </c>
    </row>
    <row r="108" spans="1:14">
      <c r="A108" s="82" t="s">
        <v>232</v>
      </c>
      <c r="B108" s="104">
        <f t="shared" si="4"/>
        <v>-3.3926400000000001</v>
      </c>
      <c r="C108" s="71"/>
      <c r="D108" s="12">
        <v>0.15756984748208766</v>
      </c>
      <c r="E108" s="10">
        <v>5</v>
      </c>
      <c r="F108" s="10">
        <v>206.99999999999997</v>
      </c>
      <c r="G108" s="6">
        <v>2.56</v>
      </c>
      <c r="H108" s="14">
        <f t="shared" si="3"/>
        <v>-3.88</v>
      </c>
      <c r="I108" s="103">
        <v>1.66</v>
      </c>
      <c r="J108" s="23"/>
      <c r="K108" s="7"/>
      <c r="L108" s="7"/>
      <c r="M108" s="24"/>
      <c r="N108" s="11" t="s">
        <v>233</v>
      </c>
    </row>
    <row r="109" spans="1:14">
      <c r="A109" s="81" t="s">
        <v>234</v>
      </c>
      <c r="B109" s="104">
        <f t="shared" si="4"/>
        <v>-5.4251500000000004</v>
      </c>
      <c r="C109" s="71"/>
      <c r="D109" s="12">
        <v>0.16160362353179636</v>
      </c>
      <c r="E109" s="10">
        <v>6</v>
      </c>
      <c r="F109" s="10">
        <v>134.5</v>
      </c>
      <c r="G109" s="6">
        <v>4.8499999999999996</v>
      </c>
      <c r="H109" s="14">
        <f t="shared" si="3"/>
        <v>-5.4449999999999994</v>
      </c>
      <c r="I109" s="103">
        <v>2.25</v>
      </c>
      <c r="J109" s="23"/>
      <c r="K109" s="7"/>
      <c r="L109" s="7"/>
      <c r="M109" s="24"/>
      <c r="N109" s="11" t="s">
        <v>235</v>
      </c>
    </row>
    <row r="110" spans="1:14">
      <c r="A110" s="81" t="s">
        <v>236</v>
      </c>
      <c r="B110" s="104">
        <f t="shared" si="4"/>
        <v>-4.1863100000000006</v>
      </c>
      <c r="C110" s="71"/>
      <c r="D110" s="12">
        <v>0.18685765827673947</v>
      </c>
      <c r="E110" s="10">
        <v>6</v>
      </c>
      <c r="F110" s="10">
        <v>275</v>
      </c>
      <c r="G110" s="6">
        <v>2.09</v>
      </c>
      <c r="H110" s="14">
        <f t="shared" si="3"/>
        <v>-4.09</v>
      </c>
      <c r="I110" s="103">
        <v>2.62</v>
      </c>
      <c r="J110" s="23"/>
      <c r="K110" s="7"/>
      <c r="L110" s="7"/>
      <c r="M110" s="24"/>
      <c r="N110" s="11" t="s">
        <v>237</v>
      </c>
    </row>
    <row r="111" spans="1:14">
      <c r="A111" s="82" t="s">
        <v>238</v>
      </c>
      <c r="B111" s="104">
        <f t="shared" si="4"/>
        <v>-4.4382000000000001</v>
      </c>
      <c r="C111" s="71"/>
      <c r="D111" s="12">
        <v>0.13950112944748669</v>
      </c>
      <c r="E111" s="10">
        <v>9</v>
      </c>
      <c r="F111" s="10">
        <v>220.00000000000003</v>
      </c>
      <c r="G111" s="6">
        <v>1.8</v>
      </c>
      <c r="H111" s="14">
        <f t="shared" si="3"/>
        <v>-3.2500000000000004</v>
      </c>
      <c r="I111" s="103">
        <v>3</v>
      </c>
      <c r="J111" s="23"/>
      <c r="K111" s="7"/>
      <c r="L111" s="7"/>
      <c r="M111" s="24"/>
      <c r="N111" s="11" t="s">
        <v>239</v>
      </c>
    </row>
    <row r="112" spans="1:14">
      <c r="A112" s="85" t="s">
        <v>240</v>
      </c>
      <c r="B112" s="104">
        <f t="shared" si="4"/>
        <v>-3.2236700000000003</v>
      </c>
      <c r="C112" s="72"/>
      <c r="D112" s="4">
        <v>0.22014005046870977</v>
      </c>
      <c r="E112" s="2">
        <v>9</v>
      </c>
      <c r="F112" s="10">
        <v>202</v>
      </c>
      <c r="G112" s="6">
        <v>1.53</v>
      </c>
      <c r="H112" s="14">
        <f t="shared" si="3"/>
        <v>-2.8</v>
      </c>
      <c r="I112" s="103">
        <v>2.06</v>
      </c>
      <c r="J112" s="23"/>
      <c r="K112" s="7"/>
      <c r="L112" s="7"/>
      <c r="M112" s="24"/>
      <c r="N112" s="11" t="s">
        <v>241</v>
      </c>
    </row>
    <row r="113" spans="1:29">
      <c r="A113" s="82" t="s">
        <v>242</v>
      </c>
      <c r="B113" s="104">
        <f t="shared" si="4"/>
        <v>-3.2609200000000005</v>
      </c>
      <c r="C113" s="71"/>
      <c r="D113" s="12">
        <v>0.14014083879485537</v>
      </c>
      <c r="E113" s="10">
        <v>3</v>
      </c>
      <c r="F113" s="10">
        <v>243.00000000000003</v>
      </c>
      <c r="G113" s="6">
        <v>1.48</v>
      </c>
      <c r="H113" s="14">
        <f t="shared" si="3"/>
        <v>-3.16</v>
      </c>
      <c r="I113" s="103">
        <v>2.12</v>
      </c>
      <c r="J113" s="23"/>
      <c r="K113" s="7"/>
      <c r="L113" s="7"/>
      <c r="M113" s="24"/>
      <c r="N113" s="11" t="s">
        <v>243</v>
      </c>
    </row>
    <row r="114" spans="1:29">
      <c r="A114" s="83" t="s">
        <v>244</v>
      </c>
      <c r="B114" s="104">
        <f t="shared" si="4"/>
        <v>-3.2403300000000002</v>
      </c>
      <c r="C114" s="71"/>
      <c r="D114" s="12">
        <v>0.13726989684757951</v>
      </c>
      <c r="E114" s="10">
        <v>3</v>
      </c>
      <c r="F114" s="10">
        <v>191</v>
      </c>
      <c r="G114" s="6">
        <v>1.67</v>
      </c>
      <c r="H114" s="14">
        <f t="shared" si="3"/>
        <v>-2.83</v>
      </c>
      <c r="I114" s="103">
        <v>2</v>
      </c>
      <c r="J114" s="23"/>
      <c r="K114" s="7"/>
      <c r="L114" s="7"/>
      <c r="M114" s="24"/>
      <c r="N114" s="11" t="s">
        <v>245</v>
      </c>
    </row>
    <row r="115" spans="1:29">
      <c r="A115" s="82" t="s">
        <v>246</v>
      </c>
      <c r="B115" s="104">
        <f t="shared" si="4"/>
        <v>-5.1488300000000002</v>
      </c>
      <c r="C115" s="71"/>
      <c r="D115" s="12">
        <v>0.21357402153711522</v>
      </c>
      <c r="E115" s="10">
        <v>7</v>
      </c>
      <c r="F115" s="10">
        <v>183.5</v>
      </c>
      <c r="G115" s="6">
        <v>4.37</v>
      </c>
      <c r="H115" s="14">
        <f t="shared" si="3"/>
        <v>-5.4550000000000001</v>
      </c>
      <c r="I115" s="103">
        <v>2.2599999999999998</v>
      </c>
      <c r="J115" s="23"/>
      <c r="K115" s="7"/>
      <c r="L115" s="7"/>
      <c r="M115" s="24"/>
      <c r="N115" s="11" t="s">
        <v>247</v>
      </c>
    </row>
    <row r="116" spans="1:29">
      <c r="A116" s="82" t="s">
        <v>248</v>
      </c>
      <c r="B116" s="104">
        <f t="shared" si="4"/>
        <v>-2.7117800000000001</v>
      </c>
      <c r="C116" s="71"/>
      <c r="D116" s="12">
        <v>0.10564411177747912</v>
      </c>
      <c r="E116" s="10">
        <v>3</v>
      </c>
      <c r="F116" s="10">
        <v>149</v>
      </c>
      <c r="G116" s="6">
        <v>2.62</v>
      </c>
      <c r="H116" s="14">
        <f t="shared" si="3"/>
        <v>-3.3600000000000003</v>
      </c>
      <c r="I116" s="103">
        <v>1.02</v>
      </c>
      <c r="J116" s="23"/>
      <c r="K116" s="7"/>
      <c r="L116" s="7"/>
      <c r="M116" s="24"/>
      <c r="N116" s="11" t="s">
        <v>249</v>
      </c>
    </row>
    <row r="117" spans="1:29">
      <c r="A117" s="81" t="s">
        <v>250</v>
      </c>
      <c r="B117" s="104">
        <f t="shared" si="4"/>
        <v>-3.63117</v>
      </c>
      <c r="C117" s="71"/>
      <c r="D117" s="12">
        <v>0.14623917640453388</v>
      </c>
      <c r="E117" s="10">
        <v>8</v>
      </c>
      <c r="F117" s="10">
        <v>165</v>
      </c>
      <c r="G117" s="6">
        <v>-0.37</v>
      </c>
      <c r="H117" s="14">
        <f t="shared" si="3"/>
        <v>-0.53000000000000014</v>
      </c>
      <c r="I117" s="103">
        <v>3.44</v>
      </c>
      <c r="J117" s="23"/>
      <c r="K117" s="7"/>
      <c r="L117" s="7"/>
      <c r="M117" s="24"/>
      <c r="N117" s="11" t="s">
        <v>251</v>
      </c>
    </row>
    <row r="118" spans="1:29">
      <c r="A118" s="82" t="s">
        <v>252</v>
      </c>
      <c r="B118" s="104">
        <f t="shared" si="4"/>
        <v>-2.7923900000000001</v>
      </c>
      <c r="C118" s="71"/>
      <c r="D118" s="12">
        <v>0.16291639539032501</v>
      </c>
      <c r="E118" s="10">
        <v>10</v>
      </c>
      <c r="F118" s="10">
        <v>225</v>
      </c>
      <c r="G118" s="6">
        <v>0.81</v>
      </c>
      <c r="H118" s="14">
        <f t="shared" si="3"/>
        <v>-2.31</v>
      </c>
      <c r="I118" s="103">
        <v>2.06</v>
      </c>
      <c r="J118" s="23"/>
      <c r="K118" s="7"/>
      <c r="L118" s="7"/>
      <c r="M118" s="24"/>
      <c r="N118" s="11" t="s">
        <v>253</v>
      </c>
    </row>
    <row r="119" spans="1:29">
      <c r="A119" s="82" t="s">
        <v>254</v>
      </c>
      <c r="B119" s="104">
        <f t="shared" si="4"/>
        <v>-2.91378</v>
      </c>
      <c r="C119" s="71"/>
      <c r="D119" s="12">
        <v>0.21166647357477791</v>
      </c>
      <c r="E119" s="10">
        <v>5</v>
      </c>
      <c r="F119" s="10">
        <v>270</v>
      </c>
      <c r="G119" s="6">
        <v>0.62</v>
      </c>
      <c r="H119" s="14">
        <f t="shared" ref="H119:H122" si="5">0.5-G119-0.01*(F119-25)</f>
        <v>-2.5700000000000003</v>
      </c>
      <c r="I119" s="103">
        <v>2.27</v>
      </c>
      <c r="J119" s="23"/>
      <c r="K119" s="7"/>
      <c r="L119" s="7"/>
      <c r="M119" s="24"/>
      <c r="N119" s="11" t="s">
        <v>255</v>
      </c>
    </row>
    <row r="120" spans="1:29">
      <c r="A120" s="81" t="s">
        <v>256</v>
      </c>
      <c r="B120" s="104">
        <f t="shared" si="4"/>
        <v>-4.0699700000000005</v>
      </c>
      <c r="C120" s="71"/>
      <c r="D120" s="12">
        <v>0.14175650298978676</v>
      </c>
      <c r="E120" s="10">
        <v>9</v>
      </c>
      <c r="F120" s="10">
        <v>312.66666666666669</v>
      </c>
      <c r="G120" s="6">
        <v>0.83</v>
      </c>
      <c r="H120" s="14">
        <f t="shared" si="5"/>
        <v>-3.206666666666667</v>
      </c>
      <c r="I120" s="103">
        <v>3.19</v>
      </c>
      <c r="J120" s="23"/>
      <c r="K120" s="7"/>
      <c r="L120" s="7"/>
      <c r="M120" s="24"/>
      <c r="N120" s="11" t="s">
        <v>257</v>
      </c>
    </row>
    <row r="121" spans="1:29">
      <c r="A121" s="82" t="s">
        <v>258</v>
      </c>
      <c r="B121" s="104">
        <f t="shared" si="4"/>
        <v>-4.3799899999999994</v>
      </c>
      <c r="C121" s="71"/>
      <c r="D121" s="12">
        <v>0.2034688635346244</v>
      </c>
      <c r="E121" s="10">
        <v>11</v>
      </c>
      <c r="F121" s="10">
        <v>161</v>
      </c>
      <c r="G121" s="6">
        <v>3.61</v>
      </c>
      <c r="H121" s="14">
        <f t="shared" si="5"/>
        <v>-4.47</v>
      </c>
      <c r="I121" s="103">
        <v>1.98</v>
      </c>
      <c r="J121" s="23"/>
      <c r="K121" s="7"/>
      <c r="L121" s="7"/>
      <c r="M121" s="24"/>
      <c r="N121" s="11" t="s">
        <v>259</v>
      </c>
    </row>
    <row r="122" spans="1:29">
      <c r="A122" s="81" t="s">
        <v>109</v>
      </c>
      <c r="B122" s="104">
        <f t="shared" si="4"/>
        <v>-1.01146</v>
      </c>
      <c r="C122" s="71"/>
      <c r="D122" s="12">
        <v>0.20579636821699754</v>
      </c>
      <c r="E122" s="10">
        <v>3</v>
      </c>
      <c r="F122" s="10">
        <v>300</v>
      </c>
      <c r="G122" s="6">
        <v>-1.06</v>
      </c>
      <c r="H122" s="14">
        <f t="shared" si="5"/>
        <v>-1.19</v>
      </c>
      <c r="I122" s="103">
        <v>1.47</v>
      </c>
      <c r="J122" s="35"/>
      <c r="K122" s="27"/>
      <c r="L122" s="27"/>
      <c r="M122" s="28"/>
      <c r="N122" s="11" t="s">
        <v>260</v>
      </c>
    </row>
    <row r="123" spans="1:29">
      <c r="A123" s="11"/>
      <c r="C123" s="65" t="s">
        <v>261</v>
      </c>
      <c r="D123" s="80">
        <f>AVERAGE(D23:D122)</f>
        <v>0.17115851538193166</v>
      </c>
      <c r="E123" s="67"/>
      <c r="F123" s="68"/>
      <c r="G123" s="68"/>
      <c r="H123" s="69" t="s">
        <v>262</v>
      </c>
      <c r="I123" s="69"/>
      <c r="J123" s="68"/>
      <c r="K123" s="6"/>
      <c r="L123" s="6"/>
      <c r="M123" s="6"/>
      <c r="N123" s="11"/>
    </row>
    <row r="124" spans="1:29">
      <c r="A124" s="11"/>
      <c r="C124" s="65" t="s">
        <v>263</v>
      </c>
      <c r="D124" s="80">
        <f>MIN(D23:D122)</f>
        <v>0.10564411177747912</v>
      </c>
      <c r="E124" s="67"/>
      <c r="F124" s="68"/>
      <c r="G124" s="68"/>
      <c r="H124" s="69" t="s">
        <v>264</v>
      </c>
      <c r="I124" s="69"/>
      <c r="J124" s="68"/>
      <c r="K124" s="6"/>
      <c r="L124" s="6"/>
      <c r="M124" s="6"/>
      <c r="N124" s="11"/>
    </row>
    <row r="125" spans="1:29">
      <c r="A125" s="11"/>
      <c r="C125" s="65" t="s">
        <v>265</v>
      </c>
      <c r="D125" s="80">
        <f>MAX(D23:D122)</f>
        <v>0.22239504833634874</v>
      </c>
      <c r="E125" s="67"/>
      <c r="F125" s="68"/>
      <c r="G125" s="68"/>
      <c r="H125" s="69"/>
      <c r="I125" s="69"/>
      <c r="J125" s="68"/>
      <c r="K125" s="6"/>
      <c r="L125" s="6"/>
      <c r="M125" s="6"/>
      <c r="N125" s="11"/>
    </row>
    <row r="126" spans="1:29" s="47" customFormat="1">
      <c r="A126" s="8"/>
      <c r="B126" s="6"/>
      <c r="C126" s="6"/>
      <c r="D126" s="9"/>
      <c r="E126" s="6"/>
      <c r="F126" s="6"/>
      <c r="G126" s="6"/>
      <c r="H126" s="6"/>
      <c r="I126" s="6"/>
      <c r="J126" s="6"/>
      <c r="K126" s="6"/>
      <c r="L126" s="6"/>
      <c r="M126" s="6"/>
      <c r="N126" s="11"/>
      <c r="O126"/>
      <c r="P126"/>
      <c r="Q126"/>
      <c r="R126"/>
      <c r="S126"/>
      <c r="T126"/>
      <c r="U126"/>
      <c r="V126"/>
      <c r="W126"/>
      <c r="X126"/>
      <c r="Y126"/>
      <c r="Z126"/>
      <c r="AA126"/>
      <c r="AB126"/>
      <c r="AC126"/>
    </row>
    <row r="127" spans="1:29" s="46" customFormat="1" ht="32.25" customHeight="1" thickBot="1">
      <c r="A127" s="52" t="s">
        <v>266</v>
      </c>
      <c r="B127" s="9"/>
      <c r="C127" s="9"/>
      <c r="D127" s="9"/>
      <c r="E127" s="9"/>
      <c r="F127" s="9"/>
      <c r="G127" s="9"/>
      <c r="H127" s="9"/>
      <c r="I127" s="9"/>
      <c r="J127" s="9"/>
      <c r="K127" s="9"/>
      <c r="L127" s="9"/>
      <c r="M127" s="9"/>
      <c r="N127" s="11"/>
      <c r="O127" s="47"/>
      <c r="P127" s="47"/>
      <c r="Q127" s="47"/>
      <c r="R127" s="47"/>
      <c r="S127" s="47"/>
      <c r="T127" s="47"/>
      <c r="U127" s="47"/>
      <c r="V127" s="47"/>
      <c r="W127" s="47"/>
      <c r="X127" s="47"/>
      <c r="Y127" s="47"/>
      <c r="Z127" s="47"/>
      <c r="AA127" s="47"/>
      <c r="AB127" s="47"/>
      <c r="AC127" s="47"/>
    </row>
    <row r="128" spans="1:29" ht="43.5" customHeight="1" thickBot="1">
      <c r="A128" s="55" t="s">
        <v>18</v>
      </c>
      <c r="B128" s="56" t="s">
        <v>267</v>
      </c>
      <c r="C128" s="56" t="s">
        <v>20</v>
      </c>
      <c r="D128" s="56" t="s">
        <v>21</v>
      </c>
      <c r="E128" s="56" t="s">
        <v>22</v>
      </c>
      <c r="F128" s="56" t="s">
        <v>23</v>
      </c>
      <c r="G128" s="56" t="s">
        <v>24</v>
      </c>
      <c r="H128" s="56" t="s">
        <v>25</v>
      </c>
      <c r="I128" s="56"/>
      <c r="J128" s="100"/>
      <c r="K128" s="57" t="s">
        <v>27</v>
      </c>
      <c r="L128" s="57"/>
      <c r="M128" s="57"/>
      <c r="N128" s="58" t="s">
        <v>28</v>
      </c>
      <c r="O128" s="59"/>
      <c r="P128" s="59"/>
      <c r="Q128" s="59"/>
      <c r="R128" s="59"/>
      <c r="S128" s="59"/>
      <c r="T128" s="59"/>
      <c r="U128" s="59"/>
      <c r="V128" s="59"/>
      <c r="W128" s="60"/>
      <c r="X128" s="46"/>
      <c r="Y128" s="46"/>
      <c r="Z128" s="46"/>
      <c r="AA128" s="46"/>
      <c r="AB128" s="46"/>
      <c r="AC128" s="46"/>
    </row>
    <row r="129" spans="1:14">
      <c r="A129" s="82" t="s">
        <v>268</v>
      </c>
      <c r="B129" s="104">
        <f>-1.12*I129-0.599*G129</f>
        <v>-2.0848899999999997</v>
      </c>
      <c r="C129" s="73" t="s">
        <v>30</v>
      </c>
      <c r="D129" s="12">
        <v>0.50033555401430185</v>
      </c>
      <c r="E129" s="10">
        <v>3</v>
      </c>
      <c r="F129" s="10">
        <v>180</v>
      </c>
      <c r="G129" s="1">
        <v>1.91</v>
      </c>
      <c r="H129" s="14">
        <f t="shared" ref="H129:H160" si="6">0.5-G129-0.01*(F129-25)</f>
        <v>-2.96</v>
      </c>
      <c r="I129" s="103">
        <v>0.84</v>
      </c>
      <c r="J129" s="53" t="s">
        <v>31</v>
      </c>
      <c r="K129" s="112" t="s">
        <v>32</v>
      </c>
      <c r="L129" s="14"/>
      <c r="M129" s="14"/>
      <c r="N129" s="3" t="s">
        <v>269</v>
      </c>
    </row>
    <row r="130" spans="1:14">
      <c r="A130" s="82" t="s">
        <v>270</v>
      </c>
      <c r="B130" s="104">
        <f t="shared" ref="B130:B160" si="7">-1.12*I130-0.599*G130</f>
        <v>-7.8866600000000009</v>
      </c>
      <c r="C130" s="73" t="s">
        <v>36</v>
      </c>
      <c r="D130" s="12">
        <v>0.5</v>
      </c>
      <c r="E130" s="6">
        <v>5</v>
      </c>
      <c r="F130" s="10">
        <v>156</v>
      </c>
      <c r="G130" s="1">
        <v>6.94</v>
      </c>
      <c r="H130" s="14">
        <f t="shared" si="6"/>
        <v>-7.75</v>
      </c>
      <c r="I130" s="103">
        <v>3.33</v>
      </c>
      <c r="J130" s="53" t="s">
        <v>37</v>
      </c>
      <c r="K130" s="54"/>
      <c r="L130" s="14"/>
      <c r="M130" s="14"/>
      <c r="N130" s="3" t="s">
        <v>271</v>
      </c>
    </row>
    <row r="131" spans="1:14">
      <c r="A131" s="83" t="s">
        <v>272</v>
      </c>
      <c r="B131" s="104">
        <f t="shared" si="7"/>
        <v>-6.1268200000000004</v>
      </c>
      <c r="C131" s="73" t="s">
        <v>41</v>
      </c>
      <c r="D131" s="12">
        <v>0.6530957900260097</v>
      </c>
      <c r="E131" s="10">
        <v>3</v>
      </c>
      <c r="F131" s="10">
        <v>208</v>
      </c>
      <c r="G131" s="1">
        <v>5.18</v>
      </c>
      <c r="H131" s="14">
        <f t="shared" si="6"/>
        <v>-6.51</v>
      </c>
      <c r="I131" s="103">
        <v>2.7</v>
      </c>
      <c r="J131" s="53" t="s">
        <v>42</v>
      </c>
      <c r="K131" s="54"/>
      <c r="L131" s="14"/>
      <c r="M131" s="14"/>
      <c r="N131" s="3" t="s">
        <v>273</v>
      </c>
    </row>
    <row r="132" spans="1:14">
      <c r="A132" s="82" t="s">
        <v>274</v>
      </c>
      <c r="B132" s="104">
        <f t="shared" si="7"/>
        <v>-2.6964299999999999</v>
      </c>
      <c r="C132" s="73" t="s">
        <v>46</v>
      </c>
      <c r="D132" s="12">
        <v>0.59285217963150294</v>
      </c>
      <c r="E132" s="10">
        <v>3</v>
      </c>
      <c r="F132" s="10">
        <v>100</v>
      </c>
      <c r="G132" s="1">
        <v>2.37</v>
      </c>
      <c r="H132" s="14">
        <f t="shared" si="6"/>
        <v>-2.62</v>
      </c>
      <c r="I132" s="103">
        <v>1.1399999999999999</v>
      </c>
      <c r="J132" s="15" t="s">
        <v>47</v>
      </c>
      <c r="K132" s="29"/>
      <c r="L132" s="14"/>
      <c r="M132" s="14"/>
      <c r="N132" s="3" t="s">
        <v>275</v>
      </c>
    </row>
    <row r="133" spans="1:14">
      <c r="A133" s="82" t="s">
        <v>276</v>
      </c>
      <c r="B133" s="104">
        <f t="shared" si="7"/>
        <v>-6.7604100000000003</v>
      </c>
      <c r="C133" s="73" t="s">
        <v>51</v>
      </c>
      <c r="D133" s="12">
        <v>0.51067901383936642</v>
      </c>
      <c r="E133" s="10">
        <v>5</v>
      </c>
      <c r="F133" s="10">
        <v>217</v>
      </c>
      <c r="G133" s="1">
        <v>3.19</v>
      </c>
      <c r="H133" s="14">
        <f t="shared" si="6"/>
        <v>-4.6099999999999994</v>
      </c>
      <c r="I133" s="103">
        <v>4.33</v>
      </c>
      <c r="J133" s="15" t="s">
        <v>52</v>
      </c>
      <c r="K133" s="29"/>
      <c r="L133" s="14"/>
      <c r="M133" s="14"/>
      <c r="N133" s="3" t="s">
        <v>277</v>
      </c>
    </row>
    <row r="134" spans="1:14">
      <c r="A134" s="82" t="s">
        <v>278</v>
      </c>
      <c r="B134" s="104">
        <f t="shared" si="7"/>
        <v>-5.3519900000000007</v>
      </c>
      <c r="C134" s="71"/>
      <c r="D134" s="12">
        <v>0.83065522865171437</v>
      </c>
      <c r="E134" s="10">
        <v>3</v>
      </c>
      <c r="F134" s="10">
        <v>209.50000000000003</v>
      </c>
      <c r="G134" s="1">
        <v>4.41</v>
      </c>
      <c r="H134" s="14">
        <f t="shared" si="6"/>
        <v>-5.7550000000000008</v>
      </c>
      <c r="I134" s="103">
        <v>2.42</v>
      </c>
      <c r="J134" s="15" t="s">
        <v>56</v>
      </c>
      <c r="K134" s="29"/>
      <c r="L134" s="14"/>
      <c r="M134" s="14"/>
      <c r="N134" s="3" t="s">
        <v>279</v>
      </c>
    </row>
    <row r="135" spans="1:14">
      <c r="A135" s="82" t="s">
        <v>280</v>
      </c>
      <c r="B135" s="104">
        <f t="shared" si="7"/>
        <v>-5.5840100000000001</v>
      </c>
      <c r="C135" s="71"/>
      <c r="D135" s="12">
        <v>0.51097181417141646</v>
      </c>
      <c r="E135" s="10">
        <v>6</v>
      </c>
      <c r="F135" s="10">
        <v>97.5</v>
      </c>
      <c r="G135" s="1">
        <v>5.19</v>
      </c>
      <c r="H135" s="14">
        <f t="shared" si="6"/>
        <v>-5.415</v>
      </c>
      <c r="I135" s="103">
        <v>2.21</v>
      </c>
      <c r="J135" s="15" t="s">
        <v>60</v>
      </c>
      <c r="K135" s="31"/>
      <c r="L135" s="14"/>
      <c r="M135" s="14"/>
      <c r="N135" s="3" t="s">
        <v>281</v>
      </c>
    </row>
    <row r="136" spans="1:14">
      <c r="A136" s="81" t="s">
        <v>282</v>
      </c>
      <c r="B136" s="104">
        <f t="shared" si="7"/>
        <v>-8.4065100000000008</v>
      </c>
      <c r="C136" s="71"/>
      <c r="D136" s="12">
        <v>0.92735432696895004</v>
      </c>
      <c r="E136" s="10">
        <v>5</v>
      </c>
      <c r="F136" s="10">
        <v>211</v>
      </c>
      <c r="G136" s="1">
        <v>7.49</v>
      </c>
      <c r="H136" s="14">
        <f t="shared" si="6"/>
        <v>-8.85</v>
      </c>
      <c r="I136" s="103">
        <v>3.5</v>
      </c>
      <c r="J136" s="30" t="s">
        <v>64</v>
      </c>
      <c r="K136" s="32"/>
      <c r="L136" s="33"/>
      <c r="M136" s="34"/>
      <c r="N136" s="3" t="s">
        <v>283</v>
      </c>
    </row>
    <row r="137" spans="1:14">
      <c r="A137" s="82" t="s">
        <v>112</v>
      </c>
      <c r="B137" s="104">
        <f t="shared" si="7"/>
        <v>-4.5946300000000004</v>
      </c>
      <c r="C137" s="71"/>
      <c r="D137" s="12">
        <v>0.68239272333923895</v>
      </c>
      <c r="E137" s="10">
        <v>3</v>
      </c>
      <c r="F137" s="10">
        <v>177</v>
      </c>
      <c r="G137" s="1">
        <v>3.37</v>
      </c>
      <c r="H137" s="14">
        <f t="shared" si="6"/>
        <v>-4.3900000000000006</v>
      </c>
      <c r="I137" s="103">
        <v>2.2999999999999998</v>
      </c>
      <c r="K137" s="14"/>
      <c r="L137" s="14"/>
      <c r="M137" s="14"/>
      <c r="N137" s="3" t="s">
        <v>284</v>
      </c>
    </row>
    <row r="138" spans="1:14">
      <c r="A138" s="82" t="s">
        <v>285</v>
      </c>
      <c r="B138" s="104">
        <f t="shared" si="7"/>
        <v>-4.9245800000000006</v>
      </c>
      <c r="C138" s="71"/>
      <c r="D138" s="12">
        <v>0.520951861602862</v>
      </c>
      <c r="E138" s="10">
        <v>10</v>
      </c>
      <c r="F138" s="10">
        <v>228.6</v>
      </c>
      <c r="G138" s="1">
        <v>4.22</v>
      </c>
      <c r="H138" s="14">
        <f t="shared" si="6"/>
        <v>-5.7560000000000002</v>
      </c>
      <c r="I138" s="103">
        <v>2.14</v>
      </c>
      <c r="J138" s="16" t="s">
        <v>286</v>
      </c>
      <c r="K138" s="17"/>
      <c r="L138" s="17"/>
      <c r="M138" s="18"/>
      <c r="N138" s="3" t="s">
        <v>287</v>
      </c>
    </row>
    <row r="139" spans="1:14">
      <c r="A139" s="81" t="s">
        <v>288</v>
      </c>
      <c r="B139" s="104">
        <f t="shared" si="7"/>
        <v>-2.1478100000000002</v>
      </c>
      <c r="C139" s="71"/>
      <c r="D139" s="12">
        <v>0.53906642829149898</v>
      </c>
      <c r="E139" s="10">
        <v>3</v>
      </c>
      <c r="F139" s="10">
        <v>161.5</v>
      </c>
      <c r="G139" s="1">
        <v>-0.21</v>
      </c>
      <c r="H139" s="14">
        <f t="shared" si="6"/>
        <v>-0.65500000000000003</v>
      </c>
      <c r="I139" s="103">
        <v>2.0299999999999998</v>
      </c>
      <c r="J139" s="20"/>
      <c r="K139" s="21"/>
      <c r="L139" s="21"/>
      <c r="M139" s="22"/>
      <c r="N139" s="3" t="s">
        <v>289</v>
      </c>
    </row>
    <row r="140" spans="1:14">
      <c r="A140" s="81" t="s">
        <v>290</v>
      </c>
      <c r="B140" s="104">
        <f t="shared" si="7"/>
        <v>-3.5569600000000001</v>
      </c>
      <c r="C140" s="71"/>
      <c r="D140" s="12">
        <v>0.56233984781338708</v>
      </c>
      <c r="E140" s="10">
        <v>11</v>
      </c>
      <c r="F140" s="10">
        <v>213.49999999999997</v>
      </c>
      <c r="G140" s="1">
        <v>3.04</v>
      </c>
      <c r="H140" s="14">
        <f t="shared" si="6"/>
        <v>-4.4249999999999998</v>
      </c>
      <c r="I140" s="103">
        <v>1.55</v>
      </c>
      <c r="J140" s="23"/>
      <c r="K140" s="7"/>
      <c r="L140" s="7"/>
      <c r="M140" s="24"/>
      <c r="N140" s="3" t="s">
        <v>291</v>
      </c>
    </row>
    <row r="141" spans="1:14">
      <c r="A141" s="83" t="s">
        <v>292</v>
      </c>
      <c r="B141" s="104">
        <f t="shared" si="7"/>
        <v>-3.5298500000000006</v>
      </c>
      <c r="C141" s="71"/>
      <c r="D141" s="12">
        <v>0.54710381306524825</v>
      </c>
      <c r="E141" s="10">
        <v>4</v>
      </c>
      <c r="F141" s="10">
        <v>168.5</v>
      </c>
      <c r="G141" s="1">
        <v>3.35</v>
      </c>
      <c r="H141" s="14">
        <f t="shared" si="6"/>
        <v>-4.2850000000000001</v>
      </c>
      <c r="I141" s="103">
        <v>1.36</v>
      </c>
      <c r="J141" s="23"/>
      <c r="K141" s="7"/>
      <c r="L141" s="7"/>
      <c r="M141" s="24"/>
      <c r="N141" s="3" t="s">
        <v>293</v>
      </c>
    </row>
    <row r="142" spans="1:14">
      <c r="A142" s="81" t="s">
        <v>114</v>
      </c>
      <c r="B142" s="104">
        <f t="shared" si="7"/>
        <v>-3.02719</v>
      </c>
      <c r="C142" s="71"/>
      <c r="D142" s="12">
        <v>0.54612637818466869</v>
      </c>
      <c r="E142" s="10">
        <v>3</v>
      </c>
      <c r="F142" s="13">
        <v>124.1</v>
      </c>
      <c r="G142" s="1">
        <v>2.81</v>
      </c>
      <c r="H142" s="14">
        <f t="shared" si="6"/>
        <v>-3.3010000000000002</v>
      </c>
      <c r="I142" s="103">
        <v>1.2</v>
      </c>
      <c r="J142" s="25"/>
      <c r="K142" s="7"/>
      <c r="L142" s="7"/>
      <c r="M142" s="24"/>
      <c r="N142" s="3" t="s">
        <v>294</v>
      </c>
    </row>
    <row r="143" spans="1:14">
      <c r="A143" s="81" t="s">
        <v>295</v>
      </c>
      <c r="B143" s="104">
        <f t="shared" si="7"/>
        <v>-5.8971099999999996</v>
      </c>
      <c r="C143" s="71"/>
      <c r="D143" s="12">
        <v>0.51160213896594608</v>
      </c>
      <c r="E143" s="10">
        <v>4</v>
      </c>
      <c r="F143" s="10">
        <v>165</v>
      </c>
      <c r="G143" s="1">
        <v>4.8899999999999997</v>
      </c>
      <c r="H143" s="14">
        <f t="shared" si="6"/>
        <v>-5.79</v>
      </c>
      <c r="I143" s="103">
        <v>2.65</v>
      </c>
      <c r="J143" s="25"/>
      <c r="K143" s="7"/>
      <c r="L143" s="7"/>
      <c r="M143" s="24"/>
      <c r="N143" s="3" t="s">
        <v>296</v>
      </c>
    </row>
    <row r="144" spans="1:14">
      <c r="A144" s="81" t="s">
        <v>117</v>
      </c>
      <c r="B144" s="104">
        <f t="shared" si="7"/>
        <v>-5.7856400000000008</v>
      </c>
      <c r="C144" s="71"/>
      <c r="D144" s="12">
        <v>0.65141515533308314</v>
      </c>
      <c r="E144" s="10">
        <v>4</v>
      </c>
      <c r="F144" s="10">
        <v>161.1</v>
      </c>
      <c r="G144" s="1">
        <v>4.76</v>
      </c>
      <c r="H144" s="14">
        <f t="shared" si="6"/>
        <v>-5.6209999999999996</v>
      </c>
      <c r="I144" s="103">
        <v>2.62</v>
      </c>
      <c r="J144" s="25"/>
      <c r="K144" s="7"/>
      <c r="L144" s="7"/>
      <c r="M144" s="24"/>
      <c r="N144" s="3" t="s">
        <v>297</v>
      </c>
    </row>
    <row r="145" spans="1:29">
      <c r="A145" s="83" t="s">
        <v>298</v>
      </c>
      <c r="B145" s="104">
        <f t="shared" si="7"/>
        <v>-5.4994600000000009</v>
      </c>
      <c r="C145" s="71"/>
      <c r="D145" s="12">
        <v>0.65883215509381909</v>
      </c>
      <c r="E145" s="10">
        <v>3</v>
      </c>
      <c r="F145" s="10">
        <v>155</v>
      </c>
      <c r="G145" s="1">
        <v>3.74</v>
      </c>
      <c r="H145" s="14">
        <f t="shared" si="6"/>
        <v>-4.54</v>
      </c>
      <c r="I145" s="103">
        <v>2.91</v>
      </c>
      <c r="J145" s="25"/>
      <c r="K145" s="7"/>
      <c r="L145" s="7"/>
      <c r="M145" s="24"/>
      <c r="N145" s="3" t="s">
        <v>299</v>
      </c>
    </row>
    <row r="146" spans="1:29">
      <c r="A146" s="82" t="s">
        <v>300</v>
      </c>
      <c r="B146" s="104">
        <f t="shared" si="7"/>
        <v>-8.5504200000000008</v>
      </c>
      <c r="C146" s="71"/>
      <c r="D146" s="12">
        <v>0.61400477095750339</v>
      </c>
      <c r="E146" s="10">
        <v>3</v>
      </c>
      <c r="F146" s="10">
        <v>165.4</v>
      </c>
      <c r="G146" s="1">
        <v>5.58</v>
      </c>
      <c r="H146" s="14">
        <f t="shared" si="6"/>
        <v>-6.484</v>
      </c>
      <c r="I146" s="103">
        <v>4.6500000000000004</v>
      </c>
      <c r="J146" s="25"/>
      <c r="K146" s="7"/>
      <c r="L146" s="7"/>
      <c r="M146" s="24"/>
      <c r="N146" s="3" t="s">
        <v>301</v>
      </c>
    </row>
    <row r="147" spans="1:29">
      <c r="A147" s="82" t="s">
        <v>302</v>
      </c>
      <c r="B147" s="104">
        <f t="shared" si="7"/>
        <v>-6.5179500000000008</v>
      </c>
      <c r="C147" s="71"/>
      <c r="D147" s="12">
        <v>0.50406532001413251</v>
      </c>
      <c r="E147" s="10">
        <v>6</v>
      </c>
      <c r="F147" s="10">
        <v>161</v>
      </c>
      <c r="G147" s="1">
        <v>6.45</v>
      </c>
      <c r="H147" s="14">
        <f t="shared" si="6"/>
        <v>-7.3100000000000005</v>
      </c>
      <c r="I147" s="103">
        <v>2.37</v>
      </c>
      <c r="J147" s="26"/>
      <c r="K147" s="27"/>
      <c r="L147" s="27"/>
      <c r="M147" s="28"/>
      <c r="N147" s="3" t="s">
        <v>303</v>
      </c>
    </row>
    <row r="148" spans="1:29">
      <c r="A148" s="82" t="s">
        <v>304</v>
      </c>
      <c r="B148" s="104">
        <f t="shared" si="7"/>
        <v>-6.1637900000000005</v>
      </c>
      <c r="C148" s="71"/>
      <c r="D148" s="12">
        <v>0.75493366325441691</v>
      </c>
      <c r="E148" s="10">
        <v>4</v>
      </c>
      <c r="F148" s="10">
        <v>193.5</v>
      </c>
      <c r="G148" s="1">
        <v>5.41</v>
      </c>
      <c r="H148" s="14">
        <f t="shared" si="6"/>
        <v>-6.5950000000000006</v>
      </c>
      <c r="I148" s="103">
        <v>2.61</v>
      </c>
      <c r="K148" s="14"/>
      <c r="L148" s="14"/>
      <c r="M148" s="14"/>
      <c r="N148" s="3" t="s">
        <v>305</v>
      </c>
    </row>
    <row r="149" spans="1:29">
      <c r="A149" s="82" t="s">
        <v>306</v>
      </c>
      <c r="B149" s="104">
        <f t="shared" si="7"/>
        <v>-4.7275</v>
      </c>
      <c r="C149" s="71"/>
      <c r="D149" s="12">
        <v>0.50089358058597189</v>
      </c>
      <c r="E149" s="10">
        <v>3</v>
      </c>
      <c r="F149" s="10">
        <v>156</v>
      </c>
      <c r="G149" s="1">
        <v>2.9</v>
      </c>
      <c r="H149" s="14">
        <f t="shared" si="6"/>
        <v>-3.71</v>
      </c>
      <c r="I149" s="103">
        <v>2.67</v>
      </c>
      <c r="J149" s="70" t="s">
        <v>133</v>
      </c>
      <c r="K149" s="32"/>
      <c r="L149" s="34"/>
      <c r="M149" s="14"/>
      <c r="N149" s="3" t="s">
        <v>307</v>
      </c>
    </row>
    <row r="150" spans="1:29">
      <c r="A150" s="83" t="s">
        <v>308</v>
      </c>
      <c r="B150" s="104">
        <f t="shared" si="7"/>
        <v>-4.50244</v>
      </c>
      <c r="C150" s="71"/>
      <c r="D150" s="12">
        <v>0.6587984329866341</v>
      </c>
      <c r="E150" s="10">
        <v>4</v>
      </c>
      <c r="F150" s="10">
        <v>183.5</v>
      </c>
      <c r="G150" s="1">
        <v>3.16</v>
      </c>
      <c r="H150" s="14">
        <f t="shared" si="6"/>
        <v>-4.2450000000000001</v>
      </c>
      <c r="I150" s="103">
        <v>2.33</v>
      </c>
      <c r="J150" s="70" t="s">
        <v>136</v>
      </c>
      <c r="K150" s="32"/>
      <c r="L150" s="34"/>
      <c r="M150" s="14"/>
      <c r="N150" s="3" t="s">
        <v>309</v>
      </c>
    </row>
    <row r="151" spans="1:29">
      <c r="A151" s="83" t="s">
        <v>310</v>
      </c>
      <c r="B151" s="104">
        <f t="shared" si="7"/>
        <v>-2.3034300000000005</v>
      </c>
      <c r="C151" s="71"/>
      <c r="D151" s="12">
        <v>0.59871706042825668</v>
      </c>
      <c r="E151" s="10">
        <v>3</v>
      </c>
      <c r="F151" s="10">
        <v>61</v>
      </c>
      <c r="G151" s="1">
        <v>1.77</v>
      </c>
      <c r="H151" s="14">
        <f t="shared" si="6"/>
        <v>-1.63</v>
      </c>
      <c r="I151" s="103">
        <v>1.1100000000000001</v>
      </c>
      <c r="J151" s="70" t="s">
        <v>139</v>
      </c>
      <c r="K151" s="75">
        <f>COUNTA(A129:A160)</f>
        <v>32</v>
      </c>
      <c r="L151" s="34"/>
      <c r="M151" s="14"/>
      <c r="N151" s="3" t="s">
        <v>311</v>
      </c>
    </row>
    <row r="152" spans="1:29">
      <c r="A152" s="82" t="s">
        <v>312</v>
      </c>
      <c r="B152" s="104">
        <f t="shared" si="7"/>
        <v>-4.58683</v>
      </c>
      <c r="C152" s="71"/>
      <c r="D152" s="12">
        <v>0.57115657899345518</v>
      </c>
      <c r="E152" s="10">
        <v>7</v>
      </c>
      <c r="F152" s="10">
        <v>177</v>
      </c>
      <c r="G152" s="1">
        <v>3.17</v>
      </c>
      <c r="H152" s="14">
        <f t="shared" si="6"/>
        <v>-4.1899999999999995</v>
      </c>
      <c r="I152" s="103">
        <v>2.4</v>
      </c>
      <c r="J152" s="14"/>
      <c r="K152" s="14"/>
      <c r="L152" s="14"/>
      <c r="M152" s="14"/>
      <c r="N152" s="3" t="s">
        <v>313</v>
      </c>
    </row>
    <row r="153" spans="1:29">
      <c r="A153" s="81" t="s">
        <v>314</v>
      </c>
      <c r="B153" s="104">
        <f t="shared" si="7"/>
        <v>-7.84192</v>
      </c>
      <c r="C153" s="71"/>
      <c r="D153" s="12">
        <v>0.55807775121880254</v>
      </c>
      <c r="E153" s="10">
        <v>6</v>
      </c>
      <c r="F153" s="10">
        <v>145</v>
      </c>
      <c r="G153" s="1">
        <v>6.08</v>
      </c>
      <c r="H153" s="14">
        <f t="shared" si="6"/>
        <v>-6.78</v>
      </c>
      <c r="I153" s="103">
        <v>3.75</v>
      </c>
      <c r="J153" s="19" t="s">
        <v>144</v>
      </c>
      <c r="K153" s="17"/>
      <c r="L153" s="17"/>
      <c r="M153" s="18"/>
      <c r="N153" s="3" t="s">
        <v>315</v>
      </c>
    </row>
    <row r="154" spans="1:29">
      <c r="A154" s="81" t="s">
        <v>316</v>
      </c>
      <c r="B154" s="104">
        <f t="shared" si="7"/>
        <v>-7.5161800000000012</v>
      </c>
      <c r="C154" s="71"/>
      <c r="D154" s="12">
        <v>0.66417698790166113</v>
      </c>
      <c r="E154" s="10">
        <v>3</v>
      </c>
      <c r="F154" s="13">
        <v>175.8</v>
      </c>
      <c r="G154" s="1">
        <v>4.62</v>
      </c>
      <c r="H154" s="14">
        <f t="shared" si="6"/>
        <v>-5.6280000000000001</v>
      </c>
      <c r="I154" s="103">
        <v>4.24</v>
      </c>
      <c r="J154" s="111" t="s">
        <v>147</v>
      </c>
      <c r="K154" s="21"/>
      <c r="L154" s="21"/>
      <c r="M154" s="22"/>
      <c r="N154" s="3" t="s">
        <v>317</v>
      </c>
    </row>
    <row r="155" spans="1:29">
      <c r="A155" s="82" t="s">
        <v>318</v>
      </c>
      <c r="B155" s="104">
        <f t="shared" si="7"/>
        <v>-6.4317099999999998</v>
      </c>
      <c r="C155" s="71"/>
      <c r="D155" s="12">
        <v>0.57716593661781801</v>
      </c>
      <c r="E155" s="10">
        <v>3</v>
      </c>
      <c r="F155" s="10">
        <v>349.84</v>
      </c>
      <c r="G155" s="1">
        <v>3.09</v>
      </c>
      <c r="H155" s="14">
        <f t="shared" si="6"/>
        <v>-5.8384</v>
      </c>
      <c r="I155" s="103">
        <v>4.09</v>
      </c>
      <c r="J155" s="114" t="s">
        <v>150</v>
      </c>
      <c r="K155" s="7"/>
      <c r="L155" s="7"/>
      <c r="M155" s="24"/>
      <c r="N155" s="3" t="s">
        <v>319</v>
      </c>
    </row>
    <row r="156" spans="1:29">
      <c r="A156" s="83" t="s">
        <v>320</v>
      </c>
      <c r="B156" s="104">
        <f t="shared" si="7"/>
        <v>-2.9575200000000001</v>
      </c>
      <c r="C156" s="71"/>
      <c r="D156" s="12">
        <v>0.70324590282883903</v>
      </c>
      <c r="E156" s="10">
        <v>3</v>
      </c>
      <c r="F156" s="10">
        <v>204</v>
      </c>
      <c r="G156" s="1">
        <v>0.88</v>
      </c>
      <c r="H156" s="14">
        <f t="shared" si="6"/>
        <v>-2.17</v>
      </c>
      <c r="I156" s="103">
        <v>2.17</v>
      </c>
      <c r="J156" s="23"/>
      <c r="K156" s="7"/>
      <c r="L156" s="7"/>
      <c r="M156" s="24"/>
      <c r="N156" s="3" t="s">
        <v>321</v>
      </c>
    </row>
    <row r="157" spans="1:29">
      <c r="A157" s="82" t="s">
        <v>322</v>
      </c>
      <c r="B157" s="104">
        <f t="shared" si="7"/>
        <v>-5.9012000000000002</v>
      </c>
      <c r="C157" s="71"/>
      <c r="D157" s="12">
        <v>0.7237903588794764</v>
      </c>
      <c r="E157" s="10">
        <v>7</v>
      </c>
      <c r="F157" s="10">
        <v>97.8</v>
      </c>
      <c r="G157" s="1">
        <v>6</v>
      </c>
      <c r="H157" s="14">
        <f t="shared" si="6"/>
        <v>-6.2279999999999998</v>
      </c>
      <c r="I157" s="103">
        <v>2.06</v>
      </c>
      <c r="J157" s="23"/>
      <c r="K157" s="7"/>
      <c r="L157" s="7"/>
      <c r="M157" s="24"/>
      <c r="N157" s="3" t="s">
        <v>323</v>
      </c>
    </row>
    <row r="158" spans="1:29">
      <c r="A158" s="82" t="s">
        <v>324</v>
      </c>
      <c r="B158" s="104">
        <f t="shared" si="7"/>
        <v>-9.5119399999999992</v>
      </c>
      <c r="C158" s="71"/>
      <c r="D158" s="12">
        <v>0.84033450922624497</v>
      </c>
      <c r="E158" s="10">
        <v>5</v>
      </c>
      <c r="F158" s="10">
        <v>262</v>
      </c>
      <c r="G158" s="1">
        <v>7.26</v>
      </c>
      <c r="H158" s="14">
        <f t="shared" si="6"/>
        <v>-9.129999999999999</v>
      </c>
      <c r="I158" s="103">
        <v>4.6100000000000003</v>
      </c>
      <c r="J158" s="23"/>
      <c r="K158" s="7"/>
      <c r="L158" s="7"/>
      <c r="M158" s="24"/>
      <c r="N158" s="3" t="s">
        <v>325</v>
      </c>
    </row>
    <row r="159" spans="1:29">
      <c r="A159" s="82" t="s">
        <v>326</v>
      </c>
      <c r="B159" s="104">
        <f t="shared" si="7"/>
        <v>-6.7195499999999999</v>
      </c>
      <c r="C159" s="71"/>
      <c r="D159" s="12">
        <v>0.70969645885144073</v>
      </c>
      <c r="E159" s="10">
        <v>11</v>
      </c>
      <c r="F159" s="10">
        <v>149.6</v>
      </c>
      <c r="G159" s="1">
        <v>6.45</v>
      </c>
      <c r="H159" s="14">
        <f t="shared" si="6"/>
        <v>-7.1959999999999997</v>
      </c>
      <c r="I159" s="103">
        <v>2.5499999999999998</v>
      </c>
      <c r="J159" s="23"/>
      <c r="K159" s="7"/>
      <c r="L159" s="7"/>
      <c r="M159" s="24"/>
      <c r="N159" s="3" t="s">
        <v>327</v>
      </c>
    </row>
    <row r="160" spans="1:29" s="62" customFormat="1">
      <c r="A160" s="81" t="s">
        <v>328</v>
      </c>
      <c r="B160" s="104">
        <f t="shared" si="7"/>
        <v>-4.0977100000000002</v>
      </c>
      <c r="C160" s="71"/>
      <c r="D160" s="12">
        <v>0.49644864464459931</v>
      </c>
      <c r="E160" s="10">
        <v>4</v>
      </c>
      <c r="F160" s="10">
        <v>304.5</v>
      </c>
      <c r="G160" s="1">
        <v>2.69</v>
      </c>
      <c r="H160" s="14">
        <f t="shared" si="6"/>
        <v>-4.9849999999999994</v>
      </c>
      <c r="I160" s="103">
        <v>2.2200000000000002</v>
      </c>
      <c r="J160" s="35"/>
      <c r="K160" s="27"/>
      <c r="L160" s="27"/>
      <c r="M160" s="28"/>
      <c r="N160" s="3" t="s">
        <v>329</v>
      </c>
      <c r="O160"/>
      <c r="P160"/>
      <c r="Q160"/>
      <c r="R160"/>
      <c r="S160"/>
      <c r="T160"/>
      <c r="U160"/>
      <c r="V160"/>
      <c r="W160"/>
      <c r="X160"/>
      <c r="Y160"/>
      <c r="Z160"/>
      <c r="AA160"/>
      <c r="AB160"/>
      <c r="AC160"/>
    </row>
    <row r="161" spans="1:29">
      <c r="A161" s="62"/>
      <c r="B161" s="62"/>
      <c r="C161" s="65" t="s">
        <v>261</v>
      </c>
      <c r="D161" s="80">
        <f>AVERAGE(D129:D160)</f>
        <v>0.61629001144944573</v>
      </c>
      <c r="E161" s="62"/>
      <c r="F161" s="62"/>
      <c r="G161" s="62"/>
      <c r="H161" s="69" t="s">
        <v>262</v>
      </c>
      <c r="I161" s="69"/>
      <c r="J161" s="63"/>
      <c r="K161" s="63"/>
      <c r="L161" s="63"/>
      <c r="M161" s="63"/>
      <c r="N161" s="64"/>
      <c r="O161" s="62"/>
      <c r="P161" s="62"/>
      <c r="Q161" s="62"/>
      <c r="R161" s="62"/>
      <c r="S161" s="62"/>
      <c r="T161" s="62"/>
      <c r="U161" s="62"/>
      <c r="V161" s="62"/>
      <c r="W161" s="62"/>
      <c r="X161" s="62"/>
      <c r="Y161" s="62"/>
      <c r="Z161" s="62"/>
      <c r="AA161" s="62"/>
      <c r="AB161" s="62"/>
      <c r="AC161" s="62"/>
    </row>
    <row r="162" spans="1:29">
      <c r="A162" s="11"/>
      <c r="C162" s="65" t="s">
        <v>263</v>
      </c>
      <c r="D162" s="80">
        <f>MIN(D129:D160)</f>
        <v>0.49644864464459931</v>
      </c>
      <c r="E162" s="67"/>
      <c r="F162" s="68"/>
      <c r="G162" s="68"/>
      <c r="H162" s="69" t="s">
        <v>330</v>
      </c>
      <c r="I162" s="69"/>
      <c r="J162" s="68"/>
      <c r="K162" s="6"/>
      <c r="L162" s="6"/>
      <c r="M162" s="6"/>
      <c r="N162" s="11"/>
    </row>
    <row r="163" spans="1:29">
      <c r="A163" s="11"/>
      <c r="C163" s="65" t="s">
        <v>265</v>
      </c>
      <c r="D163" s="80">
        <f>MAX(D129:D160)</f>
        <v>0.92735432696895004</v>
      </c>
      <c r="E163" s="67"/>
      <c r="F163" s="68"/>
      <c r="G163" s="68"/>
      <c r="H163" s="69"/>
      <c r="I163" s="69"/>
      <c r="J163" s="68"/>
      <c r="K163" s="6"/>
      <c r="L163" s="6"/>
      <c r="M163" s="6"/>
      <c r="N163" s="11"/>
    </row>
    <row r="165" spans="1:29">
      <c r="A165" t="s">
        <v>331</v>
      </c>
    </row>
    <row r="166" spans="1:29">
      <c r="A166" t="s">
        <v>332</v>
      </c>
    </row>
    <row r="168" spans="1:29">
      <c r="A168" t="s">
        <v>333</v>
      </c>
    </row>
    <row r="169" spans="1:29">
      <c r="A169" t="s">
        <v>334</v>
      </c>
    </row>
    <row r="170" spans="1:29" ht="15.75" customHeight="1"/>
    <row r="171" spans="1:29" s="47" customFormat="1" ht="19">
      <c r="A171" s="101" t="s">
        <v>335</v>
      </c>
    </row>
    <row r="172" spans="1:29" s="47" customFormat="1" ht="18">
      <c r="A172" s="95" t="s">
        <v>336</v>
      </c>
    </row>
    <row r="173" spans="1:29" s="47" customFormat="1" ht="16">
      <c r="A173" s="95" t="s">
        <v>337</v>
      </c>
    </row>
    <row r="174" spans="1:29" s="47" customFormat="1">
      <c r="A174" s="96" t="s">
        <v>338</v>
      </c>
    </row>
    <row r="175" spans="1:29" s="47" customFormat="1">
      <c r="A175" s="97" t="s">
        <v>339</v>
      </c>
    </row>
    <row r="176" spans="1:29"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8">
      <c r="A193" s="74" t="s">
        <v>356</v>
      </c>
    </row>
    <row r="194" spans="1:18">
      <c r="A194" s="43"/>
      <c r="B194" s="44"/>
      <c r="C194" s="44"/>
      <c r="D194" s="44"/>
      <c r="E194" s="44"/>
      <c r="F194" s="44"/>
      <c r="G194" s="44"/>
      <c r="H194" s="44"/>
      <c r="I194" s="44"/>
      <c r="J194" s="44"/>
      <c r="K194" s="44"/>
      <c r="L194" s="44"/>
      <c r="M194" s="44"/>
      <c r="N194" s="48"/>
      <c r="O194" s="44"/>
      <c r="P194" s="44"/>
      <c r="Q194" s="44"/>
      <c r="R194" s="45"/>
    </row>
  </sheetData>
  <pageMargins left="0" right="0" top="0" bottom="0" header="0.3" footer="0.3"/>
  <pageSetup scale="54"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E36C5-354B-4FDB-A5F6-AD42C00D183F}">
  <dimension ref="A1:AB199"/>
  <sheetViews>
    <sheetView workbookViewId="0">
      <selection activeCell="B4" sqref="B4:B9"/>
    </sheetView>
  </sheetViews>
  <sheetFormatPr baseColWidth="10" defaultColWidth="9.1640625" defaultRowHeight="15"/>
  <cols>
    <col min="1" max="1" width="18.83203125" customWidth="1"/>
    <col min="2" max="3" width="11.33203125" customWidth="1"/>
    <col min="4" max="4" width="7.6640625" customWidth="1"/>
    <col min="5" max="5" width="7.83203125" customWidth="1"/>
    <col min="6" max="6" width="10.1640625" customWidth="1"/>
    <col min="7" max="7" width="11.5" customWidth="1"/>
    <col min="9" max="9" width="13.1640625" customWidth="1"/>
    <col min="10" max="10" width="5.33203125" customWidth="1"/>
    <col min="13" max="13" width="9" style="47" customWidth="1"/>
    <col min="23" max="23" width="21" bestFit="1" customWidth="1"/>
    <col min="24" max="24" width="15.33203125" bestFit="1" customWidth="1"/>
    <col min="25" max="25" width="11.6640625" bestFit="1" customWidth="1"/>
    <col min="26" max="26" width="3.5" bestFit="1"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118"/>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c r="C14" t="s">
        <v>11</v>
      </c>
    </row>
    <row r="15" spans="1:25" s="90" customFormat="1">
      <c r="A15" s="89" t="s">
        <v>12</v>
      </c>
    </row>
    <row r="16" spans="1:25">
      <c r="B16" s="129" t="s">
        <v>367</v>
      </c>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3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s="130">
        <v>-1.75032864</v>
      </c>
      <c r="C23" s="73" t="s">
        <v>30</v>
      </c>
      <c r="D23" s="12">
        <v>0.17592262140645501</v>
      </c>
      <c r="E23" s="10">
        <v>11</v>
      </c>
      <c r="F23" s="10">
        <v>258.5</v>
      </c>
      <c r="G23" s="6">
        <v>-0.86</v>
      </c>
      <c r="H23" s="14">
        <f t="shared" ref="H23:H86" si="0">0.5-G23-0.01*(F23-25)</f>
        <v>-0.97500000000000009</v>
      </c>
      <c r="I23" s="53" t="s">
        <v>31</v>
      </c>
      <c r="J23" s="54"/>
      <c r="K23" s="14"/>
      <c r="L23" s="14"/>
      <c r="M23" s="11" t="s">
        <v>33</v>
      </c>
    </row>
    <row r="24" spans="1:28">
      <c r="A24" s="82" t="s">
        <v>35</v>
      </c>
      <c r="B24" s="130">
        <v>-2.05285786</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s="130">
        <v>-3.1424478499999999</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s="130">
        <v>-2.6593367300000001</v>
      </c>
      <c r="C26" s="73" t="s">
        <v>46</v>
      </c>
      <c r="D26" s="12">
        <v>0.16999222507469616</v>
      </c>
      <c r="E26" s="10">
        <v>3</v>
      </c>
      <c r="F26" s="10">
        <v>234</v>
      </c>
      <c r="G26" s="6">
        <v>3.19</v>
      </c>
      <c r="H26" s="14">
        <f t="shared" si="0"/>
        <v>-4.7799999999999994</v>
      </c>
      <c r="I26" s="15" t="s">
        <v>47</v>
      </c>
      <c r="J26" s="29" t="s">
        <v>367</v>
      </c>
      <c r="K26" s="14"/>
      <c r="L26" s="14"/>
      <c r="M26" s="11" t="s">
        <v>48</v>
      </c>
    </row>
    <row r="27" spans="1:28">
      <c r="A27" s="82" t="s">
        <v>50</v>
      </c>
      <c r="B27" s="130">
        <v>-4.2128528699999999</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s="130">
        <v>-8.0816593599999997</v>
      </c>
      <c r="C28" s="71"/>
      <c r="D28" s="12">
        <v>0.18412396392404196</v>
      </c>
      <c r="E28" s="10">
        <v>3</v>
      </c>
      <c r="F28" s="10">
        <v>224.00000000000003</v>
      </c>
      <c r="G28" s="6">
        <v>5.51</v>
      </c>
      <c r="H28" s="14">
        <f t="shared" si="0"/>
        <v>-7</v>
      </c>
      <c r="I28" s="15" t="s">
        <v>56</v>
      </c>
      <c r="J28" s="29"/>
      <c r="K28" s="14"/>
      <c r="L28" s="14"/>
      <c r="M28" s="11" t="s">
        <v>57</v>
      </c>
    </row>
    <row r="29" spans="1:28">
      <c r="A29" s="81" t="s">
        <v>59</v>
      </c>
      <c r="B29" s="130">
        <v>-3.3989867899999999</v>
      </c>
      <c r="C29" s="71"/>
      <c r="D29" s="12">
        <v>0.14933733874523175</v>
      </c>
      <c r="E29" s="10">
        <v>6</v>
      </c>
      <c r="F29" s="10">
        <v>172.5</v>
      </c>
      <c r="G29" s="6">
        <v>1.78</v>
      </c>
      <c r="H29" s="14">
        <f t="shared" si="0"/>
        <v>-2.7549999999999999</v>
      </c>
      <c r="I29" s="15" t="s">
        <v>60</v>
      </c>
      <c r="J29" s="31"/>
      <c r="K29" s="14"/>
      <c r="L29" s="14"/>
      <c r="M29" s="11" t="s">
        <v>61</v>
      </c>
    </row>
    <row r="30" spans="1:28">
      <c r="A30" s="81" t="s">
        <v>63</v>
      </c>
      <c r="B30" s="130">
        <v>-1.75152485</v>
      </c>
      <c r="C30" s="71"/>
      <c r="D30" s="12">
        <v>0.14842266063120066</v>
      </c>
      <c r="E30" s="10">
        <v>4</v>
      </c>
      <c r="F30" s="10">
        <v>207.50000000000003</v>
      </c>
      <c r="G30" s="6">
        <v>1.86</v>
      </c>
      <c r="H30" s="14">
        <f t="shared" si="0"/>
        <v>-3.1850000000000005</v>
      </c>
      <c r="I30" s="30" t="s">
        <v>64</v>
      </c>
      <c r="J30" s="32"/>
      <c r="K30" s="33"/>
      <c r="L30" s="34"/>
      <c r="M30" s="11" t="s">
        <v>65</v>
      </c>
    </row>
    <row r="31" spans="1:28">
      <c r="A31" s="83" t="s">
        <v>66</v>
      </c>
      <c r="B31" s="130">
        <v>-2.3980715799999999</v>
      </c>
      <c r="C31" s="71"/>
      <c r="D31" s="12">
        <v>0.1617973106900604</v>
      </c>
      <c r="E31" s="10">
        <v>10</v>
      </c>
      <c r="F31" s="10">
        <v>166.5</v>
      </c>
      <c r="G31" s="6">
        <v>0.79</v>
      </c>
      <c r="H31" s="14">
        <f t="shared" si="0"/>
        <v>-1.7050000000000001</v>
      </c>
      <c r="J31" s="14"/>
      <c r="K31" s="14"/>
      <c r="L31" s="14"/>
      <c r="M31" s="11" t="s">
        <v>67</v>
      </c>
    </row>
    <row r="32" spans="1:28">
      <c r="A32" s="82" t="s">
        <v>68</v>
      </c>
      <c r="B32" s="130">
        <v>-4.5296847900000001</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s="130">
        <v>-3.8309912399999999</v>
      </c>
      <c r="C33" s="72"/>
      <c r="D33" s="4">
        <v>0.12912520605069597</v>
      </c>
      <c r="E33" s="2">
        <v>3</v>
      </c>
      <c r="F33" s="13">
        <v>192.7</v>
      </c>
      <c r="G33" s="6">
        <v>2.63</v>
      </c>
      <c r="H33" s="14">
        <f t="shared" si="0"/>
        <v>-3.8069999999999995</v>
      </c>
      <c r="I33" s="20" t="s">
        <v>390</v>
      </c>
      <c r="J33" s="21"/>
      <c r="K33" s="21"/>
      <c r="L33" s="22"/>
      <c r="M33" s="11" t="s">
        <v>72</v>
      </c>
    </row>
    <row r="34" spans="1:13">
      <c r="A34" s="81" t="s">
        <v>74</v>
      </c>
      <c r="B34" s="130">
        <v>-6.1098125300000001</v>
      </c>
      <c r="C34" s="71"/>
      <c r="D34" s="12">
        <v>0.14911462098310888</v>
      </c>
      <c r="E34" s="10">
        <v>6</v>
      </c>
      <c r="F34" s="10">
        <v>167</v>
      </c>
      <c r="G34" s="6">
        <v>6.32</v>
      </c>
      <c r="H34" s="14">
        <f t="shared" si="0"/>
        <v>-7.24</v>
      </c>
      <c r="I34" s="23"/>
      <c r="J34" s="7"/>
      <c r="K34" s="7"/>
      <c r="L34" s="24"/>
      <c r="M34" s="11" t="s">
        <v>75</v>
      </c>
    </row>
    <row r="35" spans="1:13">
      <c r="A35" s="82" t="s">
        <v>77</v>
      </c>
      <c r="B35" s="130">
        <v>-4.3396101099999997</v>
      </c>
      <c r="C35" s="71"/>
      <c r="D35" s="12">
        <v>0.15809078703524676</v>
      </c>
      <c r="E35" s="10">
        <v>15</v>
      </c>
      <c r="F35" s="10">
        <v>191.5</v>
      </c>
      <c r="G35" s="6">
        <v>3.39</v>
      </c>
      <c r="H35" s="14">
        <f t="shared" si="0"/>
        <v>-4.5549999999999997</v>
      </c>
      <c r="I35" s="23"/>
      <c r="J35" s="7"/>
      <c r="K35" s="7"/>
      <c r="L35" s="24"/>
      <c r="M35" s="11" t="s">
        <v>78</v>
      </c>
    </row>
    <row r="36" spans="1:13">
      <c r="A36" s="83" t="s">
        <v>80</v>
      </c>
      <c r="B36" s="130">
        <v>-3.7134836099999999</v>
      </c>
      <c r="C36" s="71"/>
      <c r="D36" s="12">
        <v>0.1911503089068218</v>
      </c>
      <c r="E36" s="10">
        <v>3</v>
      </c>
      <c r="F36" s="10">
        <v>246.2</v>
      </c>
      <c r="G36" s="6">
        <v>3.32</v>
      </c>
      <c r="H36" s="14">
        <f t="shared" si="0"/>
        <v>-5.032</v>
      </c>
      <c r="I36" s="25"/>
      <c r="J36" s="7"/>
      <c r="K36" s="7"/>
      <c r="L36" s="24"/>
      <c r="M36" s="11" t="s">
        <v>81</v>
      </c>
    </row>
    <row r="37" spans="1:13">
      <c r="A37" s="83" t="s">
        <v>73</v>
      </c>
      <c r="B37" s="130">
        <v>-3.4908370799999999</v>
      </c>
      <c r="C37" s="71"/>
      <c r="D37" s="12">
        <v>0.19050575600734274</v>
      </c>
      <c r="E37" s="10">
        <v>4</v>
      </c>
      <c r="F37" s="10">
        <v>304</v>
      </c>
      <c r="G37" s="6">
        <v>1.74</v>
      </c>
      <c r="H37" s="14">
        <f t="shared" si="0"/>
        <v>-4.03</v>
      </c>
      <c r="I37" s="25"/>
      <c r="J37" s="7"/>
      <c r="K37" s="7"/>
      <c r="L37" s="24"/>
      <c r="M37" s="11" t="s">
        <v>83</v>
      </c>
    </row>
    <row r="38" spans="1:13">
      <c r="A38" s="81" t="s">
        <v>76</v>
      </c>
      <c r="B38" s="130">
        <v>-3.4498157699999998</v>
      </c>
      <c r="C38" s="71"/>
      <c r="D38" s="12">
        <v>0.13682393527498057</v>
      </c>
      <c r="E38" s="10">
        <v>7</v>
      </c>
      <c r="F38" s="10">
        <v>187</v>
      </c>
      <c r="G38" s="6">
        <v>-0.87</v>
      </c>
      <c r="H38" s="14">
        <f t="shared" si="0"/>
        <v>-0.25</v>
      </c>
      <c r="I38" s="25"/>
      <c r="J38" s="7"/>
      <c r="K38" s="7"/>
      <c r="L38" s="24"/>
      <c r="M38" s="66" t="s">
        <v>85</v>
      </c>
    </row>
    <row r="39" spans="1:13">
      <c r="A39" s="81" t="s">
        <v>87</v>
      </c>
      <c r="B39" s="130">
        <v>-2.3875913199999999</v>
      </c>
      <c r="C39" s="71"/>
      <c r="D39" s="12">
        <v>0.20462356367492032</v>
      </c>
      <c r="E39" s="10">
        <v>4</v>
      </c>
      <c r="F39" s="10">
        <v>221.5</v>
      </c>
      <c r="G39" s="6">
        <v>0.71</v>
      </c>
      <c r="H39" s="14">
        <f t="shared" si="0"/>
        <v>-2.1749999999999998</v>
      </c>
      <c r="I39" s="25"/>
      <c r="J39" s="7"/>
      <c r="K39" s="7"/>
      <c r="L39" s="24"/>
      <c r="M39" s="11" t="s">
        <v>88</v>
      </c>
    </row>
    <row r="40" spans="1:13">
      <c r="A40" s="81" t="s">
        <v>90</v>
      </c>
      <c r="B40" s="130">
        <v>-4.8163829199999997</v>
      </c>
      <c r="C40" s="71"/>
      <c r="D40" s="12">
        <v>0.18274602564465547</v>
      </c>
      <c r="E40" s="10">
        <v>6</v>
      </c>
      <c r="F40" s="10">
        <v>157.83333333333334</v>
      </c>
      <c r="G40" s="6">
        <v>3.51</v>
      </c>
      <c r="H40" s="14">
        <f t="shared" si="0"/>
        <v>-4.3383333333333329</v>
      </c>
      <c r="I40" s="25"/>
      <c r="J40" s="39"/>
      <c r="K40" s="39"/>
      <c r="L40" s="40"/>
      <c r="M40" s="11" t="s">
        <v>91</v>
      </c>
    </row>
    <row r="41" spans="1:13">
      <c r="A41" s="84" t="s">
        <v>93</v>
      </c>
      <c r="B41" s="130">
        <v>-1.39881429</v>
      </c>
      <c r="C41" s="72"/>
      <c r="D41" s="4">
        <v>0.12610247911779729</v>
      </c>
      <c r="E41" s="2">
        <v>8</v>
      </c>
      <c r="F41" s="10">
        <v>140</v>
      </c>
      <c r="G41" s="6">
        <v>0.35</v>
      </c>
      <c r="H41" s="14">
        <f t="shared" si="0"/>
        <v>-1</v>
      </c>
      <c r="I41" s="25"/>
      <c r="J41" s="39"/>
      <c r="K41" s="39"/>
      <c r="L41" s="40"/>
      <c r="M41" s="11" t="s">
        <v>94</v>
      </c>
    </row>
    <row r="42" spans="1:13">
      <c r="A42" s="82" t="s">
        <v>96</v>
      </c>
      <c r="B42" s="130">
        <v>-2.8358877900000001</v>
      </c>
      <c r="C42" s="71"/>
      <c r="D42" s="12">
        <v>0.14493441954543959</v>
      </c>
      <c r="E42" s="10">
        <v>7</v>
      </c>
      <c r="F42" s="10">
        <v>127.93333333333334</v>
      </c>
      <c r="G42" s="6">
        <v>1.74</v>
      </c>
      <c r="H42" s="14">
        <f t="shared" si="0"/>
        <v>-2.2693333333333334</v>
      </c>
      <c r="I42" s="25"/>
      <c r="J42" s="39"/>
      <c r="K42" s="39"/>
      <c r="L42" s="40"/>
      <c r="M42" s="11" t="s">
        <v>97</v>
      </c>
    </row>
    <row r="43" spans="1:13">
      <c r="A43" s="82" t="s">
        <v>79</v>
      </c>
      <c r="B43" s="130">
        <v>-4.0680723399999996</v>
      </c>
      <c r="C43" s="71"/>
      <c r="D43" s="12">
        <v>0.14861388626870758</v>
      </c>
      <c r="E43" s="10">
        <v>7</v>
      </c>
      <c r="F43" s="10">
        <v>176</v>
      </c>
      <c r="G43" s="6">
        <v>4.4800000000000004</v>
      </c>
      <c r="H43" s="14">
        <f t="shared" si="0"/>
        <v>-5.49</v>
      </c>
      <c r="I43" s="25"/>
      <c r="J43" s="39"/>
      <c r="K43" s="39"/>
      <c r="L43" s="40"/>
      <c r="M43" s="11" t="s">
        <v>99</v>
      </c>
    </row>
    <row r="44" spans="1:13">
      <c r="A44" s="85" t="s">
        <v>101</v>
      </c>
      <c r="B44" s="130">
        <v>-3.3156777200000001</v>
      </c>
      <c r="C44" s="72"/>
      <c r="D44" s="4">
        <v>0.1280711495400205</v>
      </c>
      <c r="E44" s="2">
        <v>3</v>
      </c>
      <c r="F44" s="10">
        <v>159.69999999999999</v>
      </c>
      <c r="G44" s="6">
        <v>3.46</v>
      </c>
      <c r="H44" s="14">
        <f t="shared" si="0"/>
        <v>-4.3070000000000004</v>
      </c>
      <c r="I44" s="25"/>
      <c r="J44" s="39"/>
      <c r="K44" s="39"/>
      <c r="L44" s="40"/>
      <c r="M44" s="11" t="s">
        <v>102</v>
      </c>
    </row>
    <row r="45" spans="1:13">
      <c r="A45" s="84" t="s">
        <v>104</v>
      </c>
      <c r="B45" s="130">
        <v>-3.0788339100000002</v>
      </c>
      <c r="C45" s="72"/>
      <c r="D45" s="4">
        <v>0.21683500301481054</v>
      </c>
      <c r="E45" s="2">
        <v>8</v>
      </c>
      <c r="F45" s="10">
        <v>142</v>
      </c>
      <c r="G45" s="6">
        <v>0.6</v>
      </c>
      <c r="H45" s="14">
        <f t="shared" si="0"/>
        <v>-1.27</v>
      </c>
      <c r="I45" s="25"/>
      <c r="J45" s="39"/>
      <c r="K45" s="39"/>
      <c r="L45" s="40"/>
      <c r="M45" s="11" t="s">
        <v>105</v>
      </c>
    </row>
    <row r="46" spans="1:13">
      <c r="A46" s="82" t="s">
        <v>107</v>
      </c>
      <c r="B46" s="130">
        <v>-4.1191730599999996</v>
      </c>
      <c r="C46" s="71"/>
      <c r="D46" s="12">
        <v>0.18255878892749886</v>
      </c>
      <c r="E46" s="10">
        <v>20</v>
      </c>
      <c r="F46" s="10">
        <v>267</v>
      </c>
      <c r="G46" s="6">
        <v>1.58</v>
      </c>
      <c r="H46" s="14">
        <f t="shared" si="0"/>
        <v>-3.5</v>
      </c>
      <c r="I46" s="25"/>
      <c r="J46" s="39"/>
      <c r="K46" s="39"/>
      <c r="L46" s="40"/>
      <c r="M46" s="11" t="s">
        <v>108</v>
      </c>
    </row>
    <row r="47" spans="1:13">
      <c r="A47" s="81" t="s">
        <v>110</v>
      </c>
      <c r="B47" s="130">
        <v>-3.5612877300000001</v>
      </c>
      <c r="C47" s="71"/>
      <c r="D47" s="12">
        <v>0.16704647063532602</v>
      </c>
      <c r="E47" s="10">
        <v>6</v>
      </c>
      <c r="F47" s="10">
        <v>110.00000000000001</v>
      </c>
      <c r="G47" s="6">
        <v>3.36</v>
      </c>
      <c r="H47" s="14">
        <f t="shared" si="0"/>
        <v>-3.71</v>
      </c>
      <c r="I47" s="25"/>
      <c r="J47" s="39"/>
      <c r="K47" s="39"/>
      <c r="L47" s="40"/>
      <c r="M47" s="11" t="s">
        <v>111</v>
      </c>
    </row>
    <row r="48" spans="1:13">
      <c r="A48" s="82" t="s">
        <v>82</v>
      </c>
      <c r="B48" s="130">
        <v>-3.42331926</v>
      </c>
      <c r="C48" s="71"/>
      <c r="D48" s="12">
        <v>0.17164501312359953</v>
      </c>
      <c r="E48" s="10">
        <v>7</v>
      </c>
      <c r="F48" s="10">
        <v>182</v>
      </c>
      <c r="G48" s="6">
        <v>2.67</v>
      </c>
      <c r="H48" s="14">
        <f t="shared" si="0"/>
        <v>-3.74</v>
      </c>
      <c r="I48" s="25"/>
      <c r="J48" s="39"/>
      <c r="K48" s="39"/>
      <c r="L48" s="40"/>
      <c r="M48" s="11" t="s">
        <v>113</v>
      </c>
    </row>
    <row r="49" spans="1:13">
      <c r="A49" s="84" t="s">
        <v>115</v>
      </c>
      <c r="B49" s="130">
        <v>-4.2015154499999996</v>
      </c>
      <c r="C49" s="72"/>
      <c r="D49" s="4">
        <v>0.12558353028546052</v>
      </c>
      <c r="E49" s="2">
        <v>4</v>
      </c>
      <c r="F49" s="10">
        <v>222.00000000000003</v>
      </c>
      <c r="G49" s="6">
        <v>2.56</v>
      </c>
      <c r="H49" s="14">
        <f t="shared" si="0"/>
        <v>-4.03</v>
      </c>
      <c r="I49" s="25"/>
      <c r="J49" s="39"/>
      <c r="K49" s="39"/>
      <c r="L49" s="40"/>
      <c r="M49" s="11" t="s">
        <v>116</v>
      </c>
    </row>
    <row r="50" spans="1:13">
      <c r="A50" s="82" t="s">
        <v>118</v>
      </c>
      <c r="B50" s="130">
        <v>-3.9746657299999999</v>
      </c>
      <c r="C50" s="71"/>
      <c r="D50" s="12">
        <v>0.1568133990664792</v>
      </c>
      <c r="E50" s="10">
        <v>6</v>
      </c>
      <c r="F50" s="10">
        <v>151</v>
      </c>
      <c r="G50" s="6">
        <v>3.27</v>
      </c>
      <c r="H50" s="14">
        <f t="shared" si="0"/>
        <v>-4.03</v>
      </c>
      <c r="I50" s="25"/>
      <c r="J50" s="39"/>
      <c r="K50" s="39"/>
      <c r="L50" s="40"/>
      <c r="M50" s="11" t="s">
        <v>119</v>
      </c>
    </row>
    <row r="51" spans="1:13">
      <c r="A51" s="85" t="s">
        <v>84</v>
      </c>
      <c r="B51" s="130">
        <v>-3.6857201700000002</v>
      </c>
      <c r="C51" s="72"/>
      <c r="D51" s="4">
        <v>0.12789394574374285</v>
      </c>
      <c r="E51" s="2">
        <v>5</v>
      </c>
      <c r="F51" s="10">
        <v>330</v>
      </c>
      <c r="G51" s="6">
        <v>2.87</v>
      </c>
      <c r="H51" s="14">
        <f t="shared" si="0"/>
        <v>-5.42</v>
      </c>
      <c r="I51" s="25"/>
      <c r="J51" s="39"/>
      <c r="K51" s="39"/>
      <c r="L51" s="40"/>
      <c r="M51" s="11" t="s">
        <v>120</v>
      </c>
    </row>
    <row r="52" spans="1:13">
      <c r="A52" s="82" t="s">
        <v>121</v>
      </c>
      <c r="B52" s="130">
        <v>-3.21553142</v>
      </c>
      <c r="C52" s="71"/>
      <c r="D52" s="12">
        <v>0.18012800124370357</v>
      </c>
      <c r="E52" s="10">
        <v>3</v>
      </c>
      <c r="F52" s="10">
        <v>100</v>
      </c>
      <c r="G52" s="6">
        <v>3.53</v>
      </c>
      <c r="H52" s="14">
        <f t="shared" si="0"/>
        <v>-3.78</v>
      </c>
      <c r="I52" s="23"/>
      <c r="J52" s="7"/>
      <c r="K52" s="7"/>
      <c r="L52" s="24"/>
      <c r="M52" s="11" t="s">
        <v>122</v>
      </c>
    </row>
    <row r="53" spans="1:13">
      <c r="A53" s="81" t="s">
        <v>123</v>
      </c>
      <c r="B53" s="130">
        <v>-3.6296854000000001</v>
      </c>
      <c r="C53" s="71"/>
      <c r="D53" s="12">
        <v>0.18062104750721683</v>
      </c>
      <c r="E53" s="10">
        <v>16</v>
      </c>
      <c r="F53" s="10">
        <v>262.5</v>
      </c>
      <c r="G53" s="6">
        <v>1.9</v>
      </c>
      <c r="H53" s="14">
        <f t="shared" si="0"/>
        <v>-3.7749999999999999</v>
      </c>
      <c r="I53" s="23"/>
      <c r="J53" s="7"/>
      <c r="K53" s="7"/>
      <c r="L53" s="24"/>
      <c r="M53" s="11" t="s">
        <v>124</v>
      </c>
    </row>
    <row r="54" spans="1:13">
      <c r="A54" s="84" t="s">
        <v>125</v>
      </c>
      <c r="B54" s="130">
        <v>-3.0548115600000001</v>
      </c>
      <c r="C54" s="72"/>
      <c r="D54" s="4">
        <v>0.22156244268660033</v>
      </c>
      <c r="E54" s="2">
        <v>4</v>
      </c>
      <c r="F54" s="10">
        <v>328.85</v>
      </c>
      <c r="G54" s="6">
        <v>1.87</v>
      </c>
      <c r="H54" s="14">
        <f t="shared" si="0"/>
        <v>-4.4085000000000001</v>
      </c>
      <c r="I54" s="23"/>
      <c r="J54" s="7"/>
      <c r="K54" s="7"/>
      <c r="L54" s="24"/>
      <c r="M54" s="11" t="s">
        <v>126</v>
      </c>
    </row>
    <row r="55" spans="1:13">
      <c r="A55" s="82" t="s">
        <v>127</v>
      </c>
      <c r="B55" s="130">
        <v>-4.1933119300000001</v>
      </c>
      <c r="C55" s="71"/>
      <c r="D55" s="12">
        <v>0.18450811780713378</v>
      </c>
      <c r="E55" s="10">
        <v>33</v>
      </c>
      <c r="F55" s="10">
        <v>167.5</v>
      </c>
      <c r="G55" s="6">
        <v>4.3600000000000003</v>
      </c>
      <c r="H55" s="14">
        <f t="shared" si="0"/>
        <v>-5.2850000000000001</v>
      </c>
      <c r="I55" s="23"/>
      <c r="J55" s="7"/>
      <c r="K55" s="7"/>
      <c r="L55" s="24"/>
      <c r="M55" s="11" t="s">
        <v>128</v>
      </c>
    </row>
    <row r="56" spans="1:13">
      <c r="A56" s="82" t="s">
        <v>86</v>
      </c>
      <c r="B56" s="130">
        <v>-4.6545294100000003</v>
      </c>
      <c r="C56" s="71"/>
      <c r="D56" s="12">
        <v>0.15609203233531485</v>
      </c>
      <c r="E56" s="10">
        <v>3</v>
      </c>
      <c r="F56" s="10">
        <v>223</v>
      </c>
      <c r="G56" s="6">
        <v>2.99</v>
      </c>
      <c r="H56" s="14">
        <f t="shared" si="0"/>
        <v>-4.4700000000000006</v>
      </c>
      <c r="I56" s="23"/>
      <c r="J56" s="7"/>
      <c r="K56" s="7"/>
      <c r="L56" s="24"/>
      <c r="M56" s="11" t="s">
        <v>129</v>
      </c>
    </row>
    <row r="57" spans="1:13">
      <c r="A57" s="82" t="s">
        <v>89</v>
      </c>
      <c r="B57" s="130">
        <v>-4.0189115600000003</v>
      </c>
      <c r="C57" s="71"/>
      <c r="D57" s="12">
        <v>0.20872343532408041</v>
      </c>
      <c r="E57" s="10">
        <v>3</v>
      </c>
      <c r="F57" s="10">
        <v>210.5</v>
      </c>
      <c r="G57" s="6">
        <v>2.72</v>
      </c>
      <c r="H57" s="14">
        <f t="shared" si="0"/>
        <v>-4.0750000000000002</v>
      </c>
      <c r="I57" s="26"/>
      <c r="J57" s="27"/>
      <c r="K57" s="27"/>
      <c r="L57" s="28"/>
      <c r="M57" s="11" t="s">
        <v>130</v>
      </c>
    </row>
    <row r="58" spans="1:13">
      <c r="A58" s="84" t="s">
        <v>131</v>
      </c>
      <c r="B58" s="130">
        <v>-2.64945392</v>
      </c>
      <c r="C58" s="72"/>
      <c r="D58" s="4">
        <v>0.1297319013416561</v>
      </c>
      <c r="E58" s="2">
        <v>3</v>
      </c>
      <c r="F58" s="10">
        <v>209.75</v>
      </c>
      <c r="G58" s="6">
        <v>3.37</v>
      </c>
      <c r="H58" s="14">
        <f t="shared" si="0"/>
        <v>-4.7175000000000002</v>
      </c>
      <c r="J58" s="14"/>
      <c r="K58" s="14"/>
      <c r="L58" s="14"/>
      <c r="M58" s="11" t="s">
        <v>132</v>
      </c>
    </row>
    <row r="59" spans="1:13">
      <c r="A59" s="81" t="s">
        <v>92</v>
      </c>
      <c r="B59" s="130">
        <v>-2.9493490200000001</v>
      </c>
      <c r="C59" s="71"/>
      <c r="D59" s="12">
        <v>0.14124198841117766</v>
      </c>
      <c r="E59" s="10">
        <v>3</v>
      </c>
      <c r="F59" s="10">
        <v>53.5</v>
      </c>
      <c r="G59" s="6">
        <v>3.43</v>
      </c>
      <c r="H59" s="14">
        <f t="shared" si="0"/>
        <v>-3.2150000000000003</v>
      </c>
      <c r="I59" s="70" t="s">
        <v>133</v>
      </c>
      <c r="J59" s="131">
        <v>2641</v>
      </c>
      <c r="K59" s="34"/>
      <c r="L59" s="14"/>
      <c r="M59" s="11" t="s">
        <v>134</v>
      </c>
    </row>
    <row r="60" spans="1:13">
      <c r="A60" s="81" t="s">
        <v>135</v>
      </c>
      <c r="B60" s="130">
        <v>-1.46861193</v>
      </c>
      <c r="C60" s="71"/>
      <c r="D60" s="12">
        <v>0.17069281866408892</v>
      </c>
      <c r="E60" s="10">
        <v>6</v>
      </c>
      <c r="F60" s="10">
        <v>270</v>
      </c>
      <c r="G60" s="6">
        <v>0.05</v>
      </c>
      <c r="H60" s="14">
        <f t="shared" si="0"/>
        <v>-2</v>
      </c>
      <c r="I60" s="70" t="s">
        <v>136</v>
      </c>
      <c r="J60" s="131">
        <v>955</v>
      </c>
      <c r="K60" s="34"/>
      <c r="L60" s="14"/>
      <c r="M60" s="11" t="s">
        <v>137</v>
      </c>
    </row>
    <row r="61" spans="1:13">
      <c r="A61" s="82" t="s">
        <v>138</v>
      </c>
      <c r="B61" s="130">
        <v>-2.1211776499999999</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s="130">
        <v>-4.4825186300000004</v>
      </c>
      <c r="C62" s="71"/>
      <c r="D62" s="12">
        <v>0.18021422622763517</v>
      </c>
      <c r="E62" s="10">
        <v>5</v>
      </c>
      <c r="F62" s="10">
        <v>214.5</v>
      </c>
      <c r="G62" s="6">
        <v>3.61</v>
      </c>
      <c r="H62" s="14">
        <f t="shared" si="0"/>
        <v>-5.0049999999999999</v>
      </c>
      <c r="I62" s="14"/>
      <c r="J62" s="14"/>
      <c r="K62" s="14"/>
      <c r="L62" s="14"/>
      <c r="M62" s="11" t="s">
        <v>142</v>
      </c>
    </row>
    <row r="63" spans="1:13">
      <c r="A63" s="82" t="s">
        <v>143</v>
      </c>
      <c r="B63" s="130">
        <v>-4.3832456999999998</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s="130">
        <v>-3.3168299999999999</v>
      </c>
      <c r="C64" s="71"/>
      <c r="D64" s="12">
        <v>0.17</v>
      </c>
      <c r="E64" s="10">
        <v>3</v>
      </c>
      <c r="F64" s="10">
        <v>189</v>
      </c>
      <c r="G64" s="6">
        <v>1.34</v>
      </c>
      <c r="H64" s="14">
        <f t="shared" si="0"/>
        <v>-2.4800000000000004</v>
      </c>
      <c r="I64" s="20"/>
      <c r="J64" s="21"/>
      <c r="K64" s="21"/>
      <c r="L64" s="22"/>
      <c r="M64" s="11" t="s">
        <v>148</v>
      </c>
    </row>
    <row r="65" spans="1:13">
      <c r="A65" s="82" t="s">
        <v>149</v>
      </c>
      <c r="B65" s="130">
        <v>-3.1126214800000001</v>
      </c>
      <c r="C65" s="71"/>
      <c r="D65" s="12">
        <v>0.19794493160510693</v>
      </c>
      <c r="E65" s="10">
        <v>4</v>
      </c>
      <c r="F65" s="10">
        <v>243.5</v>
      </c>
      <c r="G65" s="6">
        <v>1.34</v>
      </c>
      <c r="H65" s="14">
        <f t="shared" si="0"/>
        <v>-3.0250000000000004</v>
      </c>
      <c r="I65" s="23"/>
      <c r="J65" s="7"/>
      <c r="K65" s="7"/>
      <c r="L65" s="24"/>
      <c r="M65" s="11" t="s">
        <v>151</v>
      </c>
    </row>
    <row r="66" spans="1:13">
      <c r="A66" s="81" t="s">
        <v>95</v>
      </c>
      <c r="B66" s="130">
        <v>-2.6030351199999999</v>
      </c>
      <c r="C66" s="71"/>
      <c r="D66" s="12">
        <v>0.21056099074293383</v>
      </c>
      <c r="E66" s="10">
        <v>3</v>
      </c>
      <c r="F66" s="10">
        <v>36.5</v>
      </c>
      <c r="G66" s="6">
        <v>2.74</v>
      </c>
      <c r="H66" s="14">
        <f t="shared" si="0"/>
        <v>-2.3550000000000004</v>
      </c>
      <c r="I66" s="23"/>
      <c r="J66" s="7"/>
      <c r="K66" s="7"/>
      <c r="L66" s="24"/>
      <c r="M66" s="11" t="s">
        <v>152</v>
      </c>
    </row>
    <row r="67" spans="1:13">
      <c r="A67" s="83" t="s">
        <v>153</v>
      </c>
      <c r="B67" s="130">
        <v>-4.8409922999999999</v>
      </c>
      <c r="C67" s="71"/>
      <c r="D67" s="12">
        <v>0.21092434073951916</v>
      </c>
      <c r="E67" s="10">
        <v>10</v>
      </c>
      <c r="F67" s="10">
        <v>186</v>
      </c>
      <c r="G67" s="6">
        <v>3.4</v>
      </c>
      <c r="H67" s="14">
        <f t="shared" si="0"/>
        <v>-4.51</v>
      </c>
      <c r="I67" s="23"/>
      <c r="J67" s="7"/>
      <c r="K67" s="7"/>
      <c r="L67" s="24"/>
      <c r="M67" s="11" t="s">
        <v>154</v>
      </c>
    </row>
    <row r="68" spans="1:13">
      <c r="A68" s="81" t="s">
        <v>98</v>
      </c>
      <c r="B68" s="130">
        <v>-3.8301255699999999</v>
      </c>
      <c r="C68" s="71"/>
      <c r="D68" s="12">
        <v>0.18695478693957188</v>
      </c>
      <c r="E68" s="10">
        <v>3</v>
      </c>
      <c r="F68" s="10">
        <v>252.99999999999997</v>
      </c>
      <c r="G68" s="6">
        <v>2.35</v>
      </c>
      <c r="H68" s="14">
        <f t="shared" si="0"/>
        <v>-4.13</v>
      </c>
      <c r="I68" s="23"/>
      <c r="J68" s="7"/>
      <c r="K68" s="7"/>
      <c r="L68" s="24"/>
      <c r="M68" s="11" t="s">
        <v>155</v>
      </c>
    </row>
    <row r="69" spans="1:13">
      <c r="A69" s="83" t="s">
        <v>156</v>
      </c>
      <c r="B69" s="130">
        <v>-4.5584107300000003</v>
      </c>
      <c r="C69" s="71"/>
      <c r="D69" s="12">
        <v>0.20491085989689112</v>
      </c>
      <c r="E69" s="10">
        <v>23</v>
      </c>
      <c r="F69" s="10">
        <v>111.00000000000001</v>
      </c>
      <c r="G69" s="6">
        <v>3.68</v>
      </c>
      <c r="H69" s="14">
        <f t="shared" si="0"/>
        <v>-4.04</v>
      </c>
      <c r="I69" s="23"/>
      <c r="J69" s="7"/>
      <c r="K69" s="7"/>
      <c r="L69" s="24"/>
      <c r="M69" s="11" t="s">
        <v>157</v>
      </c>
    </row>
    <row r="70" spans="1:13">
      <c r="A70" s="81" t="s">
        <v>158</v>
      </c>
      <c r="B70" s="130">
        <v>-4.2782971200000004</v>
      </c>
      <c r="C70" s="71"/>
      <c r="D70" s="12">
        <v>0.15545016183846921</v>
      </c>
      <c r="E70" s="10">
        <v>6</v>
      </c>
      <c r="F70" s="10">
        <v>250</v>
      </c>
      <c r="G70" s="6">
        <v>-0.04</v>
      </c>
      <c r="H70" s="14">
        <f t="shared" si="0"/>
        <v>-1.71</v>
      </c>
      <c r="I70" s="23"/>
      <c r="J70" s="7"/>
      <c r="K70" s="7"/>
      <c r="L70" s="24"/>
      <c r="M70" s="11" t="s">
        <v>159</v>
      </c>
    </row>
    <row r="71" spans="1:13">
      <c r="A71" s="82" t="s">
        <v>160</v>
      </c>
      <c r="B71" s="130">
        <v>-1.85918136</v>
      </c>
      <c r="C71" s="71"/>
      <c r="D71" s="12">
        <v>0.13261436390895148</v>
      </c>
      <c r="E71" s="10">
        <v>3</v>
      </c>
      <c r="F71" s="10">
        <v>250</v>
      </c>
      <c r="G71" s="6">
        <v>-1.97</v>
      </c>
      <c r="H71" s="14">
        <f t="shared" si="0"/>
        <v>0.21999999999999975</v>
      </c>
      <c r="I71" s="23"/>
      <c r="J71" s="7"/>
      <c r="K71" s="7"/>
      <c r="L71" s="24"/>
      <c r="M71" s="11" t="s">
        <v>161</v>
      </c>
    </row>
    <row r="72" spans="1:13">
      <c r="A72" s="82" t="s">
        <v>162</v>
      </c>
      <c r="B72" s="130">
        <v>-3.6451519000000001</v>
      </c>
      <c r="C72" s="71"/>
      <c r="D72" s="12">
        <v>0.21159815676624968</v>
      </c>
      <c r="E72" s="10">
        <v>9</v>
      </c>
      <c r="F72" s="10">
        <v>208.5</v>
      </c>
      <c r="G72" s="6">
        <v>2.08</v>
      </c>
      <c r="H72" s="14">
        <f t="shared" si="0"/>
        <v>-3.415</v>
      </c>
      <c r="I72" s="23"/>
      <c r="J72" s="7"/>
      <c r="K72" s="7"/>
      <c r="L72" s="24"/>
      <c r="M72" s="11" t="s">
        <v>163</v>
      </c>
    </row>
    <row r="73" spans="1:13">
      <c r="A73" s="82" t="s">
        <v>164</v>
      </c>
      <c r="B73" s="130">
        <v>-4.25482476</v>
      </c>
      <c r="C73" s="71"/>
      <c r="D73" s="12">
        <v>0.1900151243705871</v>
      </c>
      <c r="E73" s="10">
        <v>15</v>
      </c>
      <c r="F73" s="10">
        <v>220.00000000000003</v>
      </c>
      <c r="G73" s="6">
        <v>2.69</v>
      </c>
      <c r="H73" s="14">
        <f t="shared" si="0"/>
        <v>-4.1400000000000006</v>
      </c>
      <c r="I73" s="23"/>
      <c r="J73" s="7"/>
      <c r="K73" s="7"/>
      <c r="L73" s="24"/>
      <c r="M73" s="11" t="s">
        <v>165</v>
      </c>
    </row>
    <row r="74" spans="1:13">
      <c r="A74" s="82" t="s">
        <v>166</v>
      </c>
      <c r="B74" s="130">
        <v>-4.1834997600000001</v>
      </c>
      <c r="C74" s="71"/>
      <c r="D74" s="12">
        <v>0.16978183023026608</v>
      </c>
      <c r="E74" s="10">
        <v>10</v>
      </c>
      <c r="F74" s="10">
        <v>151</v>
      </c>
      <c r="G74" s="6">
        <v>4.43</v>
      </c>
      <c r="H74" s="14">
        <f t="shared" si="0"/>
        <v>-5.1899999999999995</v>
      </c>
      <c r="I74" s="23"/>
      <c r="J74" s="7"/>
      <c r="K74" s="7"/>
      <c r="L74" s="24"/>
      <c r="M74" s="11" t="s">
        <v>167</v>
      </c>
    </row>
    <row r="75" spans="1:13">
      <c r="A75" s="83" t="s">
        <v>100</v>
      </c>
      <c r="B75" s="130">
        <v>-3.2310956200000001</v>
      </c>
      <c r="C75" s="71"/>
      <c r="D75" s="12">
        <v>0.19416214604145643</v>
      </c>
      <c r="E75" s="10">
        <v>7</v>
      </c>
      <c r="F75" s="10">
        <v>154.5</v>
      </c>
      <c r="G75" s="6">
        <v>4.22</v>
      </c>
      <c r="H75" s="14">
        <f t="shared" si="0"/>
        <v>-5.0149999999999997</v>
      </c>
      <c r="I75" s="23"/>
      <c r="J75" s="7"/>
      <c r="K75" s="7"/>
      <c r="L75" s="24"/>
      <c r="M75" s="11" t="s">
        <v>168</v>
      </c>
    </row>
    <row r="76" spans="1:13">
      <c r="A76" s="82" t="s">
        <v>169</v>
      </c>
      <c r="B76" s="130">
        <v>-4.2014362800000002</v>
      </c>
      <c r="C76" s="71"/>
      <c r="D76" s="12">
        <v>0.16048013551961601</v>
      </c>
      <c r="E76" s="10">
        <v>5</v>
      </c>
      <c r="F76" s="10">
        <v>167.75</v>
      </c>
      <c r="G76" s="6">
        <v>2.87</v>
      </c>
      <c r="H76" s="14">
        <f t="shared" si="0"/>
        <v>-3.7975000000000003</v>
      </c>
      <c r="I76" s="23"/>
      <c r="J76" s="7"/>
      <c r="K76" s="7"/>
      <c r="L76" s="24"/>
      <c r="M76" s="11" t="s">
        <v>170</v>
      </c>
    </row>
    <row r="77" spans="1:13">
      <c r="A77" s="84" t="s">
        <v>171</v>
      </c>
      <c r="B77" s="130">
        <v>-5.3436998000000004</v>
      </c>
      <c r="C77" s="72"/>
      <c r="D77" s="4">
        <v>0.22239504833634874</v>
      </c>
      <c r="E77" s="2">
        <v>21</v>
      </c>
      <c r="F77" s="10">
        <v>159</v>
      </c>
      <c r="G77" s="6">
        <v>3.93</v>
      </c>
      <c r="H77" s="14">
        <f t="shared" si="0"/>
        <v>-4.7700000000000005</v>
      </c>
      <c r="I77" s="23"/>
      <c r="J77" s="7"/>
      <c r="K77" s="7"/>
      <c r="L77" s="24"/>
      <c r="M77" s="11" t="s">
        <v>172</v>
      </c>
    </row>
    <row r="78" spans="1:13">
      <c r="A78" s="82" t="s">
        <v>173</v>
      </c>
      <c r="B78" s="130">
        <v>-4.0315123799999997</v>
      </c>
      <c r="C78" s="71"/>
      <c r="D78" s="12">
        <v>0.21209434799218393</v>
      </c>
      <c r="E78" s="10">
        <v>5</v>
      </c>
      <c r="F78" s="10">
        <v>213.49999999999997</v>
      </c>
      <c r="G78" s="6">
        <v>3.04</v>
      </c>
      <c r="H78" s="14">
        <f t="shared" si="0"/>
        <v>-4.4249999999999998</v>
      </c>
      <c r="I78" s="23"/>
      <c r="J78" s="7"/>
      <c r="K78" s="7"/>
      <c r="L78" s="24"/>
      <c r="M78" s="11" t="s">
        <v>174</v>
      </c>
    </row>
    <row r="79" spans="1:13">
      <c r="A79" s="82" t="s">
        <v>175</v>
      </c>
      <c r="B79" s="130">
        <v>-3.7000671600000001</v>
      </c>
      <c r="C79" s="71"/>
      <c r="D79" s="12">
        <v>0.1407224156406931</v>
      </c>
      <c r="E79" s="10">
        <v>11</v>
      </c>
      <c r="F79" s="10">
        <v>146</v>
      </c>
      <c r="G79" s="6">
        <v>4.21</v>
      </c>
      <c r="H79" s="14">
        <f t="shared" si="0"/>
        <v>-4.92</v>
      </c>
      <c r="I79" s="23"/>
      <c r="J79" s="7"/>
      <c r="K79" s="7"/>
      <c r="L79" s="24"/>
      <c r="M79" s="11" t="s">
        <v>176</v>
      </c>
    </row>
    <row r="80" spans="1:13">
      <c r="A80" s="82" t="s">
        <v>177</v>
      </c>
      <c r="B80" s="130">
        <v>-3.9547408399999999</v>
      </c>
      <c r="C80" s="71"/>
      <c r="D80" s="12">
        <v>0.21748916450754371</v>
      </c>
      <c r="E80" s="10">
        <v>5</v>
      </c>
      <c r="F80" s="10">
        <v>92.333333333333329</v>
      </c>
      <c r="G80" s="6">
        <v>4.21</v>
      </c>
      <c r="H80" s="14">
        <f t="shared" si="0"/>
        <v>-4.3833333333333329</v>
      </c>
      <c r="I80" s="23"/>
      <c r="J80" s="7"/>
      <c r="K80" s="7"/>
      <c r="L80" s="24"/>
      <c r="M80" s="11" t="s">
        <v>178</v>
      </c>
    </row>
    <row r="81" spans="1:13">
      <c r="A81" s="81" t="s">
        <v>179</v>
      </c>
      <c r="B81" s="130">
        <v>-4.29088037</v>
      </c>
      <c r="C81" s="71"/>
      <c r="D81" s="12">
        <v>0.20531013145176411</v>
      </c>
      <c r="E81" s="10">
        <v>8</v>
      </c>
      <c r="F81" s="10">
        <v>256</v>
      </c>
      <c r="G81" s="6">
        <v>2.71</v>
      </c>
      <c r="H81" s="14">
        <f t="shared" si="0"/>
        <v>-4.5199999999999996</v>
      </c>
      <c r="I81" s="23"/>
      <c r="J81" s="7"/>
      <c r="K81" s="7"/>
      <c r="L81" s="24"/>
      <c r="M81" s="11" t="s">
        <v>180</v>
      </c>
    </row>
    <row r="82" spans="1:13">
      <c r="A82" s="81" t="s">
        <v>181</v>
      </c>
      <c r="B82" s="130">
        <v>-4.48755595</v>
      </c>
      <c r="C82" s="71"/>
      <c r="D82" s="12">
        <v>0.21176785142223761</v>
      </c>
      <c r="E82" s="10">
        <v>3</v>
      </c>
      <c r="F82" s="10">
        <v>80</v>
      </c>
      <c r="G82" s="6">
        <v>3.37</v>
      </c>
      <c r="H82" s="14">
        <f t="shared" si="0"/>
        <v>-3.42</v>
      </c>
      <c r="I82" s="23"/>
      <c r="J82" s="7"/>
      <c r="K82" s="7"/>
      <c r="L82" s="24"/>
      <c r="M82" s="11" t="s">
        <v>182</v>
      </c>
    </row>
    <row r="83" spans="1:13">
      <c r="A83" s="81" t="s">
        <v>183</v>
      </c>
      <c r="B83" s="130">
        <v>-3.7167011300000001</v>
      </c>
      <c r="C83" s="71"/>
      <c r="D83" s="12">
        <v>0.16217657762412213</v>
      </c>
      <c r="E83" s="10">
        <v>17</v>
      </c>
      <c r="F83" s="10">
        <v>153</v>
      </c>
      <c r="G83" s="6">
        <v>3.04</v>
      </c>
      <c r="H83" s="14">
        <f t="shared" si="0"/>
        <v>-3.8200000000000003</v>
      </c>
      <c r="I83" s="23"/>
      <c r="J83" s="7"/>
      <c r="K83" s="7"/>
      <c r="L83" s="24"/>
      <c r="M83" s="11" t="s">
        <v>184</v>
      </c>
    </row>
    <row r="84" spans="1:13">
      <c r="A84" s="82" t="s">
        <v>185</v>
      </c>
      <c r="B84" s="130">
        <v>-3.8867151299999998</v>
      </c>
      <c r="C84" s="71"/>
      <c r="D84" s="12">
        <v>0.20448827496623867</v>
      </c>
      <c r="E84" s="10">
        <v>3</v>
      </c>
      <c r="F84" s="10">
        <v>349.84</v>
      </c>
      <c r="G84" s="6">
        <v>4.75</v>
      </c>
      <c r="H84" s="14">
        <f t="shared" si="0"/>
        <v>-7.4984000000000002</v>
      </c>
      <c r="I84" s="23"/>
      <c r="J84" s="7"/>
      <c r="K84" s="7"/>
      <c r="L84" s="24"/>
      <c r="M84" s="11" t="s">
        <v>186</v>
      </c>
    </row>
    <row r="85" spans="1:13">
      <c r="A85" s="82" t="s">
        <v>187</v>
      </c>
      <c r="B85" s="130">
        <v>-3.3372733499999998</v>
      </c>
      <c r="C85" s="71"/>
      <c r="D85" s="12">
        <v>0.14358294446577732</v>
      </c>
      <c r="E85" s="10">
        <v>6</v>
      </c>
      <c r="F85" s="10">
        <v>248</v>
      </c>
      <c r="G85" s="6">
        <v>2.65</v>
      </c>
      <c r="H85" s="14">
        <f t="shared" si="0"/>
        <v>-4.38</v>
      </c>
      <c r="I85" s="23"/>
      <c r="J85" s="7"/>
      <c r="K85" s="7"/>
      <c r="L85" s="24"/>
      <c r="M85" s="11" t="s">
        <v>188</v>
      </c>
    </row>
    <row r="86" spans="1:13">
      <c r="A86" s="82" t="s">
        <v>189</v>
      </c>
      <c r="B86" s="130">
        <v>-3.6098204599999999</v>
      </c>
      <c r="C86" s="71"/>
      <c r="D86" s="12">
        <v>0.15384096988991314</v>
      </c>
      <c r="E86" s="10">
        <v>11</v>
      </c>
      <c r="F86" s="10">
        <v>173</v>
      </c>
      <c r="G86" s="6">
        <v>2.1800000000000002</v>
      </c>
      <c r="H86" s="14">
        <f t="shared" si="0"/>
        <v>-3.16</v>
      </c>
      <c r="I86" s="23"/>
      <c r="J86" s="7"/>
      <c r="K86" s="7"/>
      <c r="L86" s="24"/>
      <c r="M86" s="11" t="s">
        <v>190</v>
      </c>
    </row>
    <row r="87" spans="1:13">
      <c r="A87" s="82" t="s">
        <v>191</v>
      </c>
      <c r="B87" s="130">
        <v>-4.4271169800000001</v>
      </c>
      <c r="C87" s="71"/>
      <c r="D87" s="12">
        <v>0.14176528631434945</v>
      </c>
      <c r="E87" s="10">
        <v>5</v>
      </c>
      <c r="F87" s="10">
        <v>143.75</v>
      </c>
      <c r="G87" s="6">
        <v>2.76</v>
      </c>
      <c r="H87" s="14">
        <f t="shared" ref="H87:H122" si="1">0.5-G87-0.01*(F87-25)</f>
        <v>-3.4474999999999998</v>
      </c>
      <c r="I87" s="23"/>
      <c r="J87" s="7"/>
      <c r="K87" s="7"/>
      <c r="L87" s="24"/>
      <c r="M87" s="11" t="s">
        <v>192</v>
      </c>
    </row>
    <row r="88" spans="1:13">
      <c r="A88" s="82" t="s">
        <v>193</v>
      </c>
      <c r="B88" s="130">
        <v>-3.86517344</v>
      </c>
      <c r="C88" s="71"/>
      <c r="D88" s="12">
        <v>0.16213928191469343</v>
      </c>
      <c r="E88" s="10">
        <v>19</v>
      </c>
      <c r="F88" s="10">
        <v>220.5</v>
      </c>
      <c r="G88" s="6">
        <v>1.27</v>
      </c>
      <c r="H88" s="14">
        <f t="shared" si="1"/>
        <v>-2.7250000000000001</v>
      </c>
      <c r="I88" s="23"/>
      <c r="J88" s="7"/>
      <c r="K88" s="7"/>
      <c r="L88" s="24"/>
      <c r="M88" s="11" t="s">
        <v>194</v>
      </c>
    </row>
    <row r="89" spans="1:13">
      <c r="A89" s="82" t="s">
        <v>195</v>
      </c>
      <c r="B89" s="130">
        <v>-3.40987522</v>
      </c>
      <c r="C89" s="71"/>
      <c r="D89" s="12">
        <v>0.16127920198135692</v>
      </c>
      <c r="E89" s="10">
        <v>5</v>
      </c>
      <c r="F89" s="10">
        <v>214</v>
      </c>
      <c r="G89" s="6">
        <v>3.83</v>
      </c>
      <c r="H89" s="14">
        <f t="shared" si="1"/>
        <v>-5.2200000000000006</v>
      </c>
      <c r="I89" s="23"/>
      <c r="J89" s="7"/>
      <c r="K89" s="7"/>
      <c r="L89" s="24"/>
      <c r="M89" s="11" t="s">
        <v>196</v>
      </c>
    </row>
    <row r="90" spans="1:13">
      <c r="A90" s="83" t="s">
        <v>197</v>
      </c>
      <c r="B90" s="130">
        <v>-3.7094002700000002</v>
      </c>
      <c r="C90" s="71"/>
      <c r="D90" s="12">
        <v>0.13869006117838048</v>
      </c>
      <c r="E90" s="10">
        <v>3</v>
      </c>
      <c r="F90" s="10">
        <v>176</v>
      </c>
      <c r="G90" s="6">
        <v>2.88</v>
      </c>
      <c r="H90" s="14">
        <f t="shared" si="1"/>
        <v>-3.8899999999999997</v>
      </c>
      <c r="I90" s="23"/>
      <c r="J90" s="7"/>
      <c r="K90" s="7"/>
      <c r="L90" s="24"/>
      <c r="M90" s="11" t="s">
        <v>198</v>
      </c>
    </row>
    <row r="91" spans="1:13">
      <c r="A91" s="85" t="s">
        <v>199</v>
      </c>
      <c r="B91" s="130">
        <v>-3.7619014599999998</v>
      </c>
      <c r="C91" s="72"/>
      <c r="D91" s="4">
        <v>0.1259834086188602</v>
      </c>
      <c r="E91" s="2">
        <v>14</v>
      </c>
      <c r="F91" s="10">
        <v>253.5</v>
      </c>
      <c r="G91" s="6">
        <v>1.54</v>
      </c>
      <c r="H91" s="14">
        <f t="shared" si="1"/>
        <v>-3.3250000000000002</v>
      </c>
      <c r="I91" s="23"/>
      <c r="J91" s="7"/>
      <c r="K91" s="7"/>
      <c r="L91" s="24"/>
      <c r="M91" s="11" t="s">
        <v>200</v>
      </c>
    </row>
    <row r="92" spans="1:13">
      <c r="A92" s="82" t="s">
        <v>201</v>
      </c>
      <c r="B92" s="130">
        <v>-3.7722266499999999</v>
      </c>
      <c r="C92" s="71"/>
      <c r="D92" s="12">
        <v>0.16504944177542516</v>
      </c>
      <c r="E92" s="10">
        <v>5</v>
      </c>
      <c r="F92" s="10">
        <v>205.50000000000003</v>
      </c>
      <c r="G92" s="6">
        <v>2.4500000000000002</v>
      </c>
      <c r="H92" s="14">
        <f t="shared" si="1"/>
        <v>-3.7550000000000008</v>
      </c>
      <c r="I92" s="23"/>
      <c r="J92" s="7"/>
      <c r="K92" s="7"/>
      <c r="L92" s="24"/>
      <c r="M92" s="11" t="s">
        <v>202</v>
      </c>
    </row>
    <row r="93" spans="1:13">
      <c r="A93" s="83" t="s">
        <v>203</v>
      </c>
      <c r="B93" s="130">
        <v>-3.99708036</v>
      </c>
      <c r="C93" s="71"/>
      <c r="D93" s="12">
        <v>0.19426266518058349</v>
      </c>
      <c r="E93" s="10">
        <v>3</v>
      </c>
      <c r="F93" s="10">
        <v>96</v>
      </c>
      <c r="G93" s="6">
        <v>3.49</v>
      </c>
      <c r="H93" s="14">
        <f t="shared" si="1"/>
        <v>-3.7</v>
      </c>
      <c r="I93" s="23"/>
      <c r="J93" s="7"/>
      <c r="K93" s="7"/>
      <c r="L93" s="24"/>
      <c r="M93" s="11" t="s">
        <v>204</v>
      </c>
    </row>
    <row r="94" spans="1:13">
      <c r="A94" s="82" t="s">
        <v>205</v>
      </c>
      <c r="B94" s="130">
        <v>-4.6136519800000002</v>
      </c>
      <c r="C94" s="71"/>
      <c r="D94" s="12">
        <v>0.18894337149737056</v>
      </c>
      <c r="E94" s="10">
        <v>12</v>
      </c>
      <c r="F94" s="10">
        <v>147.25</v>
      </c>
      <c r="G94" s="6">
        <v>3.86</v>
      </c>
      <c r="H94" s="14">
        <f t="shared" si="1"/>
        <v>-4.5824999999999996</v>
      </c>
      <c r="I94" s="23"/>
      <c r="J94" s="7"/>
      <c r="K94" s="7"/>
      <c r="L94" s="24"/>
      <c r="M94" s="11" t="s">
        <v>206</v>
      </c>
    </row>
    <row r="95" spans="1:13">
      <c r="A95" s="82" t="s">
        <v>207</v>
      </c>
      <c r="B95" s="130">
        <v>-3.9850753000000001</v>
      </c>
      <c r="C95" s="71"/>
      <c r="D95" s="12">
        <v>0.17391407185160324</v>
      </c>
      <c r="E95" s="10">
        <v>6</v>
      </c>
      <c r="F95" s="10">
        <v>97</v>
      </c>
      <c r="G95" s="6">
        <v>3.94</v>
      </c>
      <c r="H95" s="14">
        <f t="shared" si="1"/>
        <v>-4.16</v>
      </c>
      <c r="I95" s="23"/>
      <c r="J95" s="7"/>
      <c r="K95" s="7"/>
      <c r="L95" s="24"/>
      <c r="M95" s="11" t="s">
        <v>208</v>
      </c>
    </row>
    <row r="96" spans="1:13">
      <c r="A96" s="81" t="s">
        <v>209</v>
      </c>
      <c r="B96" s="130">
        <v>-2.02615101</v>
      </c>
      <c r="C96" s="71"/>
      <c r="D96" s="12">
        <v>0.13764369691033657</v>
      </c>
      <c r="E96" s="10">
        <v>10</v>
      </c>
      <c r="F96" s="10">
        <v>134.5</v>
      </c>
      <c r="G96" s="6">
        <v>2.04</v>
      </c>
      <c r="H96" s="14">
        <f t="shared" si="1"/>
        <v>-2.6349999999999998</v>
      </c>
      <c r="I96" s="23"/>
      <c r="J96" s="7"/>
      <c r="K96" s="7"/>
      <c r="L96" s="24"/>
      <c r="M96" s="11" t="s">
        <v>210</v>
      </c>
    </row>
    <row r="97" spans="1:13">
      <c r="A97" s="82" t="s">
        <v>211</v>
      </c>
      <c r="B97" s="130">
        <v>-4.4392479199999997</v>
      </c>
      <c r="C97" s="71"/>
      <c r="D97" s="12">
        <v>0.16245746888591447</v>
      </c>
      <c r="E97" s="10">
        <v>7</v>
      </c>
      <c r="F97" s="10">
        <v>139</v>
      </c>
      <c r="G97" s="6">
        <v>2.66</v>
      </c>
      <c r="H97" s="14">
        <f t="shared" si="1"/>
        <v>-3.3000000000000003</v>
      </c>
      <c r="I97" s="23"/>
      <c r="J97" s="7"/>
      <c r="K97" s="7"/>
      <c r="L97" s="24"/>
      <c r="M97" s="11" t="s">
        <v>212</v>
      </c>
    </row>
    <row r="98" spans="1:13">
      <c r="A98" s="82" t="s">
        <v>213</v>
      </c>
      <c r="B98" s="130">
        <v>-1.83984189</v>
      </c>
      <c r="C98" s="71"/>
      <c r="D98" s="12">
        <v>0.15322122505052199</v>
      </c>
      <c r="E98" s="10">
        <v>9</v>
      </c>
      <c r="F98" s="10">
        <v>170</v>
      </c>
      <c r="G98" s="6">
        <v>1.91</v>
      </c>
      <c r="H98" s="14">
        <f t="shared" si="1"/>
        <v>-2.86</v>
      </c>
      <c r="I98" s="23"/>
      <c r="J98" s="7"/>
      <c r="K98" s="7"/>
      <c r="L98" s="24"/>
      <c r="M98" s="11" t="s">
        <v>214</v>
      </c>
    </row>
    <row r="99" spans="1:13">
      <c r="A99" s="81" t="s">
        <v>215</v>
      </c>
      <c r="B99" s="130">
        <v>-2.5258593299999998</v>
      </c>
      <c r="C99" s="71"/>
      <c r="D99" s="12">
        <v>0.15273607916541068</v>
      </c>
      <c r="E99" s="10">
        <v>10</v>
      </c>
      <c r="F99" s="10">
        <v>326</v>
      </c>
      <c r="G99" s="6">
        <v>2.44</v>
      </c>
      <c r="H99" s="14">
        <f t="shared" si="1"/>
        <v>-4.95</v>
      </c>
      <c r="I99" s="23"/>
      <c r="J99" s="7"/>
      <c r="K99" s="7"/>
      <c r="L99" s="24"/>
      <c r="M99" s="11" t="s">
        <v>216</v>
      </c>
    </row>
    <row r="100" spans="1:13">
      <c r="A100" s="82" t="s">
        <v>217</v>
      </c>
      <c r="B100" s="130">
        <v>-3.2815820699999998</v>
      </c>
      <c r="C100" s="71"/>
      <c r="D100" s="12">
        <v>0.18404701512102448</v>
      </c>
      <c r="E100" s="10">
        <v>5</v>
      </c>
      <c r="F100" s="10">
        <v>232.50000000000003</v>
      </c>
      <c r="G100" s="6">
        <v>1.8</v>
      </c>
      <c r="H100" s="14">
        <f t="shared" si="1"/>
        <v>-3.375</v>
      </c>
      <c r="I100" s="23"/>
      <c r="J100" s="7"/>
      <c r="K100" s="7"/>
      <c r="L100" s="24"/>
      <c r="M100" s="11" t="s">
        <v>218</v>
      </c>
    </row>
    <row r="101" spans="1:13">
      <c r="A101" s="82" t="s">
        <v>219</v>
      </c>
      <c r="B101" s="130">
        <v>-2.0000819600000002</v>
      </c>
      <c r="C101" s="71"/>
      <c r="D101" s="12">
        <v>0.13604063752604376</v>
      </c>
      <c r="E101" s="10">
        <v>4</v>
      </c>
      <c r="F101" s="10">
        <v>281.5</v>
      </c>
      <c r="G101" s="6">
        <v>0.54</v>
      </c>
      <c r="H101" s="14">
        <f t="shared" si="1"/>
        <v>-2.605</v>
      </c>
      <c r="I101" s="23"/>
      <c r="J101" s="7"/>
      <c r="K101" s="7"/>
      <c r="L101" s="24"/>
      <c r="M101" s="11" t="s">
        <v>220</v>
      </c>
    </row>
    <row r="102" spans="1:13">
      <c r="A102" s="82" t="s">
        <v>221</v>
      </c>
      <c r="B102" s="130">
        <v>-2.47007529</v>
      </c>
      <c r="C102" s="71"/>
      <c r="D102" s="12">
        <v>0.19798964803022484</v>
      </c>
      <c r="E102" s="10">
        <v>4</v>
      </c>
      <c r="F102" s="10">
        <v>197.1</v>
      </c>
      <c r="G102" s="6">
        <v>2.2000000000000002</v>
      </c>
      <c r="H102" s="14">
        <f t="shared" si="1"/>
        <v>-3.4210000000000003</v>
      </c>
      <c r="I102" s="23"/>
      <c r="J102" s="7"/>
      <c r="K102" s="7"/>
      <c r="L102" s="24"/>
      <c r="M102" s="11" t="s">
        <v>222</v>
      </c>
    </row>
    <row r="103" spans="1:13">
      <c r="A103" s="83" t="s">
        <v>223</v>
      </c>
      <c r="B103" s="130">
        <v>-3.7785085899999999</v>
      </c>
      <c r="C103" s="71"/>
      <c r="D103" s="12">
        <v>0.13486720020739137</v>
      </c>
      <c r="E103" s="10">
        <v>4</v>
      </c>
      <c r="F103" s="10">
        <v>33</v>
      </c>
      <c r="G103" s="6">
        <v>4.24</v>
      </c>
      <c r="H103" s="14">
        <f t="shared" si="1"/>
        <v>-3.8200000000000003</v>
      </c>
      <c r="I103" s="23"/>
      <c r="J103" s="7"/>
      <c r="K103" s="7"/>
      <c r="L103" s="24"/>
      <c r="M103" s="11" t="s">
        <v>224</v>
      </c>
    </row>
    <row r="104" spans="1:13">
      <c r="A104" s="82" t="s">
        <v>225</v>
      </c>
      <c r="B104" s="130">
        <v>-3.6477993500000001</v>
      </c>
      <c r="C104" s="71"/>
      <c r="D104" s="12">
        <v>0.18801274760604275</v>
      </c>
      <c r="E104" s="10">
        <v>11</v>
      </c>
      <c r="F104" s="10">
        <v>60</v>
      </c>
      <c r="G104" s="6">
        <v>4.24</v>
      </c>
      <c r="H104" s="14">
        <f t="shared" si="1"/>
        <v>-4.09</v>
      </c>
      <c r="I104" s="23"/>
      <c r="J104" s="7"/>
      <c r="K104" s="7"/>
      <c r="L104" s="24"/>
      <c r="M104" s="11" t="s">
        <v>226</v>
      </c>
    </row>
    <row r="105" spans="1:13">
      <c r="A105" s="82" t="s">
        <v>227</v>
      </c>
      <c r="B105" s="130">
        <v>-3.8601332199999998</v>
      </c>
      <c r="C105" s="71"/>
      <c r="D105" s="12">
        <v>0.1664014074224209</v>
      </c>
      <c r="E105" s="10">
        <v>4</v>
      </c>
      <c r="F105" s="10">
        <v>130.5</v>
      </c>
      <c r="G105" s="6">
        <v>5.22</v>
      </c>
      <c r="H105" s="14">
        <f t="shared" si="1"/>
        <v>-5.7749999999999995</v>
      </c>
      <c r="I105" s="23"/>
      <c r="J105" s="7"/>
      <c r="K105" s="7"/>
      <c r="L105" s="24"/>
      <c r="M105" s="11" t="s">
        <v>228</v>
      </c>
    </row>
    <row r="106" spans="1:13">
      <c r="A106" s="83" t="s">
        <v>103</v>
      </c>
      <c r="B106" s="130">
        <v>-3.13090606</v>
      </c>
      <c r="C106" s="71"/>
      <c r="D106" s="12">
        <v>0.17506472136100007</v>
      </c>
      <c r="E106" s="10">
        <v>7</v>
      </c>
      <c r="F106" s="10">
        <v>254</v>
      </c>
      <c r="G106" s="6">
        <v>2.97</v>
      </c>
      <c r="H106" s="14">
        <f t="shared" si="1"/>
        <v>-4.76</v>
      </c>
      <c r="I106" s="23"/>
      <c r="J106" s="7"/>
      <c r="K106" s="7"/>
      <c r="L106" s="24"/>
      <c r="M106" s="11" t="s">
        <v>229</v>
      </c>
    </row>
    <row r="107" spans="1:13">
      <c r="A107" s="83" t="s">
        <v>230</v>
      </c>
      <c r="B107" s="130">
        <v>-4.9032961000000004</v>
      </c>
      <c r="C107" s="71"/>
      <c r="D107" s="12">
        <v>0.1605416460069265</v>
      </c>
      <c r="E107" s="10">
        <v>5</v>
      </c>
      <c r="F107" s="10">
        <v>121</v>
      </c>
      <c r="G107" s="6">
        <v>5.91</v>
      </c>
      <c r="H107" s="14">
        <f t="shared" si="1"/>
        <v>-6.37</v>
      </c>
      <c r="I107" s="23"/>
      <c r="J107" s="7"/>
      <c r="K107" s="7"/>
      <c r="L107" s="24"/>
      <c r="M107" s="11" t="s">
        <v>231</v>
      </c>
    </row>
    <row r="108" spans="1:13">
      <c r="A108" s="82" t="s">
        <v>232</v>
      </c>
      <c r="B108" s="130">
        <v>-4.7222451400000001</v>
      </c>
      <c r="C108" s="71"/>
      <c r="D108" s="12">
        <v>0.15756984748208766</v>
      </c>
      <c r="E108" s="10">
        <v>5</v>
      </c>
      <c r="F108" s="10">
        <v>206.99999999999997</v>
      </c>
      <c r="G108" s="6">
        <v>2.56</v>
      </c>
      <c r="H108" s="14">
        <f t="shared" si="1"/>
        <v>-3.88</v>
      </c>
      <c r="I108" s="23"/>
      <c r="J108" s="7"/>
      <c r="K108" s="7"/>
      <c r="L108" s="24"/>
      <c r="M108" s="11" t="s">
        <v>233</v>
      </c>
    </row>
    <row r="109" spans="1:13">
      <c r="A109" s="81" t="s">
        <v>234</v>
      </c>
      <c r="B109" s="130">
        <v>-5.1956270199999999</v>
      </c>
      <c r="C109" s="71"/>
      <c r="D109" s="12">
        <v>0.16160362353179636</v>
      </c>
      <c r="E109" s="10">
        <v>6</v>
      </c>
      <c r="F109" s="10">
        <v>134.5</v>
      </c>
      <c r="G109" s="6">
        <v>4.8499999999999996</v>
      </c>
      <c r="H109" s="14">
        <f t="shared" si="1"/>
        <v>-5.4449999999999994</v>
      </c>
      <c r="I109" s="23"/>
      <c r="J109" s="7"/>
      <c r="K109" s="7"/>
      <c r="L109" s="24"/>
      <c r="M109" s="11" t="s">
        <v>235</v>
      </c>
    </row>
    <row r="110" spans="1:13">
      <c r="A110" s="81" t="s">
        <v>236</v>
      </c>
      <c r="B110" s="130">
        <v>-2.36936086</v>
      </c>
      <c r="C110" s="71"/>
      <c r="D110" s="12">
        <v>0.18685765827673947</v>
      </c>
      <c r="E110" s="10">
        <v>6</v>
      </c>
      <c r="F110" s="10">
        <v>275</v>
      </c>
      <c r="G110" s="6">
        <v>2.09</v>
      </c>
      <c r="H110" s="14">
        <f t="shared" si="1"/>
        <v>-4.09</v>
      </c>
      <c r="I110" s="23"/>
      <c r="J110" s="7"/>
      <c r="K110" s="7"/>
      <c r="L110" s="24"/>
      <c r="M110" s="11" t="s">
        <v>237</v>
      </c>
    </row>
    <row r="111" spans="1:13">
      <c r="A111" s="82" t="s">
        <v>238</v>
      </c>
      <c r="B111" s="130">
        <v>-7.2921409099999996</v>
      </c>
      <c r="C111" s="71"/>
      <c r="D111" s="12">
        <v>0.13950112944748669</v>
      </c>
      <c r="E111" s="10">
        <v>9</v>
      </c>
      <c r="F111" s="10">
        <v>220.00000000000003</v>
      </c>
      <c r="G111" s="6">
        <v>1.8</v>
      </c>
      <c r="H111" s="14">
        <f t="shared" si="1"/>
        <v>-3.2500000000000004</v>
      </c>
      <c r="I111" s="23"/>
      <c r="J111" s="7"/>
      <c r="K111" s="7"/>
      <c r="L111" s="24"/>
      <c r="M111" s="11" t="s">
        <v>239</v>
      </c>
    </row>
    <row r="112" spans="1:13">
      <c r="A112" s="85" t="s">
        <v>240</v>
      </c>
      <c r="B112" s="130">
        <v>-3.0873284700000001</v>
      </c>
      <c r="C112" s="72"/>
      <c r="D112" s="4">
        <v>0.22014005046870977</v>
      </c>
      <c r="E112" s="2">
        <v>9</v>
      </c>
      <c r="F112" s="10">
        <v>202</v>
      </c>
      <c r="G112" s="6">
        <v>1.53</v>
      </c>
      <c r="H112" s="14">
        <f t="shared" si="1"/>
        <v>-2.8</v>
      </c>
      <c r="I112" s="23"/>
      <c r="J112" s="7"/>
      <c r="K112" s="7"/>
      <c r="L112" s="24"/>
      <c r="M112" s="11" t="s">
        <v>241</v>
      </c>
    </row>
    <row r="113" spans="1:28">
      <c r="A113" s="82" t="s">
        <v>242</v>
      </c>
      <c r="B113" s="130">
        <v>-3.1289476999999999</v>
      </c>
      <c r="C113" s="71"/>
      <c r="D113" s="12">
        <v>0.14014083879485537</v>
      </c>
      <c r="E113" s="10">
        <v>3</v>
      </c>
      <c r="F113" s="10">
        <v>243.00000000000003</v>
      </c>
      <c r="G113" s="6">
        <v>1.48</v>
      </c>
      <c r="H113" s="14">
        <f t="shared" si="1"/>
        <v>-3.16</v>
      </c>
      <c r="I113" s="23"/>
      <c r="J113" s="7"/>
      <c r="K113" s="7"/>
      <c r="L113" s="24"/>
      <c r="M113" s="11" t="s">
        <v>243</v>
      </c>
    </row>
    <row r="114" spans="1:28">
      <c r="A114" s="83" t="s">
        <v>244</v>
      </c>
      <c r="B114" s="130">
        <v>-3.4803500399999998</v>
      </c>
      <c r="C114" s="71"/>
      <c r="D114" s="12">
        <v>0.13726989684757951</v>
      </c>
      <c r="E114" s="10">
        <v>3</v>
      </c>
      <c r="F114" s="10">
        <v>191</v>
      </c>
      <c r="G114" s="6">
        <v>1.67</v>
      </c>
      <c r="H114" s="14">
        <f t="shared" si="1"/>
        <v>-2.83</v>
      </c>
      <c r="I114" s="23"/>
      <c r="J114" s="7"/>
      <c r="K114" s="7"/>
      <c r="L114" s="24"/>
      <c r="M114" s="11" t="s">
        <v>245</v>
      </c>
    </row>
    <row r="115" spans="1:28">
      <c r="A115" s="82" t="s">
        <v>246</v>
      </c>
      <c r="B115" s="130">
        <v>-3.5080007200000001</v>
      </c>
      <c r="C115" s="71"/>
      <c r="D115" s="12">
        <v>0.21357402153711522</v>
      </c>
      <c r="E115" s="10">
        <v>7</v>
      </c>
      <c r="F115" s="10">
        <v>183.5</v>
      </c>
      <c r="G115" s="6">
        <v>4.37</v>
      </c>
      <c r="H115" s="14">
        <f t="shared" si="1"/>
        <v>-5.4550000000000001</v>
      </c>
      <c r="I115" s="23"/>
      <c r="J115" s="7"/>
      <c r="K115" s="7"/>
      <c r="L115" s="24"/>
      <c r="M115" s="11" t="s">
        <v>247</v>
      </c>
    </row>
    <row r="116" spans="1:28">
      <c r="A116" s="82" t="s">
        <v>248</v>
      </c>
      <c r="B116" s="130">
        <v>-2.7946203299999999</v>
      </c>
      <c r="C116" s="71"/>
      <c r="D116" s="12">
        <v>0.10564411177747912</v>
      </c>
      <c r="E116" s="10">
        <v>3</v>
      </c>
      <c r="F116" s="10">
        <v>149</v>
      </c>
      <c r="G116" s="6">
        <v>2.62</v>
      </c>
      <c r="H116" s="14">
        <f t="shared" si="1"/>
        <v>-3.3600000000000003</v>
      </c>
      <c r="I116" s="23"/>
      <c r="J116" s="7"/>
      <c r="K116" s="7"/>
      <c r="L116" s="24"/>
      <c r="M116" s="11" t="s">
        <v>249</v>
      </c>
    </row>
    <row r="117" spans="1:28">
      <c r="A117" s="81" t="s">
        <v>250</v>
      </c>
      <c r="B117" s="130">
        <v>-2.47628234</v>
      </c>
      <c r="C117" s="71"/>
      <c r="D117" s="12">
        <v>0.14623917640453388</v>
      </c>
      <c r="E117" s="10">
        <v>8</v>
      </c>
      <c r="F117" s="10">
        <v>165</v>
      </c>
      <c r="G117" s="6">
        <v>-0.37</v>
      </c>
      <c r="H117" s="14">
        <f t="shared" si="1"/>
        <v>-0.53000000000000014</v>
      </c>
      <c r="I117" s="23"/>
      <c r="J117" s="7"/>
      <c r="K117" s="7"/>
      <c r="L117" s="24"/>
      <c r="M117" s="11" t="s">
        <v>251</v>
      </c>
    </row>
    <row r="118" spans="1:28">
      <c r="A118" s="82" t="s">
        <v>252</v>
      </c>
      <c r="B118" s="130">
        <v>-3.01090196</v>
      </c>
      <c r="C118" s="71"/>
      <c r="D118" s="12">
        <v>0.16291639539032501</v>
      </c>
      <c r="E118" s="10">
        <v>10</v>
      </c>
      <c r="F118" s="10">
        <v>225</v>
      </c>
      <c r="G118" s="6">
        <v>0.81</v>
      </c>
      <c r="H118" s="14">
        <f t="shared" si="1"/>
        <v>-2.31</v>
      </c>
      <c r="I118" s="23"/>
      <c r="J118" s="7"/>
      <c r="K118" s="7"/>
      <c r="L118" s="24"/>
      <c r="M118" s="11" t="s">
        <v>253</v>
      </c>
    </row>
    <row r="119" spans="1:28">
      <c r="A119" s="82" t="s">
        <v>254</v>
      </c>
      <c r="B119" s="130">
        <v>-2.9994230800000001</v>
      </c>
      <c r="C119" s="71"/>
      <c r="D119" s="12">
        <v>0.21166647357477791</v>
      </c>
      <c r="E119" s="10">
        <v>5</v>
      </c>
      <c r="F119" s="10">
        <v>270</v>
      </c>
      <c r="G119" s="6">
        <v>0.62</v>
      </c>
      <c r="H119" s="14">
        <f t="shared" si="1"/>
        <v>-2.5700000000000003</v>
      </c>
      <c r="I119" s="23"/>
      <c r="J119" s="7"/>
      <c r="K119" s="7"/>
      <c r="L119" s="24"/>
      <c r="M119" s="11" t="s">
        <v>255</v>
      </c>
    </row>
    <row r="120" spans="1:28">
      <c r="A120" s="81" t="s">
        <v>256</v>
      </c>
      <c r="B120" s="130">
        <v>-3.7499838200000002</v>
      </c>
      <c r="C120" s="71"/>
      <c r="D120" s="12">
        <v>0.14175650298978676</v>
      </c>
      <c r="E120" s="10">
        <v>9</v>
      </c>
      <c r="F120" s="10">
        <v>312.66666666666669</v>
      </c>
      <c r="G120" s="6">
        <v>0.83</v>
      </c>
      <c r="H120" s="14">
        <f t="shared" si="1"/>
        <v>-3.206666666666667</v>
      </c>
      <c r="I120" s="23"/>
      <c r="J120" s="7"/>
      <c r="K120" s="7"/>
      <c r="L120" s="24"/>
      <c r="M120" s="11" t="s">
        <v>257</v>
      </c>
    </row>
    <row r="121" spans="1:28">
      <c r="A121" s="82" t="s">
        <v>258</v>
      </c>
      <c r="B121" s="130">
        <v>-4.4795760400000004</v>
      </c>
      <c r="C121" s="71"/>
      <c r="D121" s="12">
        <v>0.2034688635346244</v>
      </c>
      <c r="E121" s="10">
        <v>11</v>
      </c>
      <c r="F121" s="10">
        <v>161</v>
      </c>
      <c r="G121" s="6">
        <v>3.61</v>
      </c>
      <c r="H121" s="14">
        <f t="shared" si="1"/>
        <v>-4.47</v>
      </c>
      <c r="I121" s="23"/>
      <c r="J121" s="7"/>
      <c r="K121" s="7"/>
      <c r="L121" s="24"/>
      <c r="M121" s="11" t="s">
        <v>259</v>
      </c>
    </row>
    <row r="122" spans="1:28">
      <c r="A122" s="81" t="s">
        <v>109</v>
      </c>
      <c r="B122" s="130">
        <v>-3.55394896</v>
      </c>
      <c r="C122" s="71"/>
      <c r="D122" s="12">
        <v>0.20579636821699754</v>
      </c>
      <c r="E122" s="10">
        <v>3</v>
      </c>
      <c r="F122" s="10">
        <v>300</v>
      </c>
      <c r="G122" s="6">
        <v>-1.06</v>
      </c>
      <c r="H122" s="14">
        <f t="shared" si="1"/>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5"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c r="X127"/>
      <c r="Y127"/>
      <c r="Z127"/>
      <c r="AA127" s="47"/>
      <c r="AB127" s="47"/>
    </row>
    <row r="128" spans="1:28" ht="3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AA128" s="46"/>
      <c r="AB128" s="46"/>
    </row>
    <row r="129" spans="1:26">
      <c r="A129" s="82" t="s">
        <v>268</v>
      </c>
      <c r="B129" s="130">
        <v>-1.2271503699999999</v>
      </c>
      <c r="C129" s="73" t="s">
        <v>30</v>
      </c>
      <c r="D129" s="12">
        <v>0.50033555401430185</v>
      </c>
      <c r="E129" s="10">
        <v>3</v>
      </c>
      <c r="F129" s="10">
        <v>180</v>
      </c>
      <c r="G129" s="1">
        <v>1.91</v>
      </c>
      <c r="H129" s="14">
        <f t="shared" ref="H129:H160" si="2">0.5-G129-0.01*(F129-25)</f>
        <v>-2.96</v>
      </c>
      <c r="I129" s="53" t="s">
        <v>31</v>
      </c>
      <c r="J129" s="54"/>
      <c r="K129" s="14"/>
      <c r="L129" s="14"/>
      <c r="M129" s="3" t="s">
        <v>269</v>
      </c>
    </row>
    <row r="130" spans="1:26">
      <c r="A130" s="82" t="s">
        <v>270</v>
      </c>
      <c r="B130" s="130">
        <v>-4.8265792000000003</v>
      </c>
      <c r="C130" s="73" t="s">
        <v>36</v>
      </c>
      <c r="D130" s="12">
        <v>0.5</v>
      </c>
      <c r="E130" s="6">
        <v>5</v>
      </c>
      <c r="F130" s="10">
        <v>156</v>
      </c>
      <c r="G130" s="1">
        <v>6.94</v>
      </c>
      <c r="H130" s="14">
        <f t="shared" si="2"/>
        <v>-7.75</v>
      </c>
      <c r="I130" s="53" t="s">
        <v>37</v>
      </c>
      <c r="J130" s="54"/>
      <c r="K130" s="14"/>
      <c r="L130" s="14"/>
      <c r="M130" s="3" t="s">
        <v>271</v>
      </c>
    </row>
    <row r="131" spans="1:26">
      <c r="A131" s="83" t="s">
        <v>272</v>
      </c>
      <c r="B131" s="130">
        <v>-4.2372014499999997</v>
      </c>
      <c r="C131" s="73" t="s">
        <v>41</v>
      </c>
      <c r="D131" s="12">
        <v>0.6530957900260097</v>
      </c>
      <c r="E131" s="10">
        <v>3</v>
      </c>
      <c r="F131" s="10">
        <v>208</v>
      </c>
      <c r="G131" s="1">
        <v>5.18</v>
      </c>
      <c r="H131" s="14">
        <f t="shared" si="2"/>
        <v>-6.51</v>
      </c>
      <c r="I131" s="53" t="s">
        <v>42</v>
      </c>
      <c r="J131" s="54"/>
      <c r="K131" s="14"/>
      <c r="L131" s="14"/>
      <c r="M131" s="3" t="s">
        <v>273</v>
      </c>
    </row>
    <row r="132" spans="1:26">
      <c r="A132" s="82" t="s">
        <v>274</v>
      </c>
      <c r="B132" s="130">
        <v>-1.8298131500000001</v>
      </c>
      <c r="C132" s="73" t="s">
        <v>46</v>
      </c>
      <c r="D132" s="12">
        <v>0.59285217963150294</v>
      </c>
      <c r="E132" s="10">
        <v>3</v>
      </c>
      <c r="F132" s="10">
        <v>100</v>
      </c>
      <c r="G132" s="1">
        <v>2.37</v>
      </c>
      <c r="H132" s="14">
        <f t="shared" si="2"/>
        <v>-2.62</v>
      </c>
      <c r="I132" s="15" t="s">
        <v>47</v>
      </c>
      <c r="J132" s="29" t="s">
        <v>367</v>
      </c>
      <c r="K132" s="14"/>
      <c r="L132" s="14"/>
      <c r="M132" s="3" t="s">
        <v>275</v>
      </c>
    </row>
    <row r="133" spans="1:26">
      <c r="A133" s="82" t="s">
        <v>276</v>
      </c>
      <c r="B133" s="132">
        <v>-4.2200272600000002</v>
      </c>
      <c r="C133" s="73" t="s">
        <v>51</v>
      </c>
      <c r="D133" s="12">
        <v>0.51067901383936642</v>
      </c>
      <c r="E133" s="10">
        <v>5</v>
      </c>
      <c r="F133" s="10">
        <v>217</v>
      </c>
      <c r="G133" s="1">
        <v>3.19</v>
      </c>
      <c r="H133" s="14">
        <f t="shared" si="2"/>
        <v>-4.6099999999999994</v>
      </c>
      <c r="I133" s="15" t="s">
        <v>52</v>
      </c>
      <c r="J133" s="29"/>
      <c r="K133" s="14"/>
      <c r="L133" s="14"/>
      <c r="M133" s="3" t="s">
        <v>277</v>
      </c>
    </row>
    <row r="134" spans="1:26">
      <c r="A134" s="82" t="s">
        <v>278</v>
      </c>
      <c r="B134" s="133">
        <v>-4.33459824</v>
      </c>
      <c r="C134" s="71"/>
      <c r="D134" s="12">
        <v>0.83065522865171437</v>
      </c>
      <c r="E134" s="10">
        <v>3</v>
      </c>
      <c r="F134" s="10">
        <v>209.50000000000003</v>
      </c>
      <c r="G134" s="1">
        <v>4.41</v>
      </c>
      <c r="H134" s="14">
        <f t="shared" si="2"/>
        <v>-5.7550000000000008</v>
      </c>
      <c r="I134" s="15" t="s">
        <v>56</v>
      </c>
      <c r="J134" s="29"/>
      <c r="K134" s="14"/>
      <c r="L134" s="14"/>
      <c r="M134" s="3" t="s">
        <v>279</v>
      </c>
      <c r="W134" s="47"/>
      <c r="X134" s="47"/>
      <c r="Y134" s="47"/>
      <c r="Z134" s="47"/>
    </row>
    <row r="135" spans="1:26">
      <c r="A135" s="82" t="s">
        <v>280</v>
      </c>
      <c r="B135" s="130">
        <v>-4.9241780000000004</v>
      </c>
      <c r="C135" s="71"/>
      <c r="D135" s="12">
        <v>0.51097181417141646</v>
      </c>
      <c r="E135" s="10">
        <v>6</v>
      </c>
      <c r="F135" s="10">
        <v>97.5</v>
      </c>
      <c r="G135" s="1">
        <v>5.19</v>
      </c>
      <c r="H135" s="14">
        <f t="shared" si="2"/>
        <v>-5.415</v>
      </c>
      <c r="I135" s="15" t="s">
        <v>60</v>
      </c>
      <c r="J135" s="31"/>
      <c r="K135" s="14"/>
      <c r="L135" s="14"/>
      <c r="M135" s="3" t="s">
        <v>281</v>
      </c>
      <c r="W135" s="46"/>
      <c r="X135" s="46"/>
      <c r="Y135" s="46"/>
      <c r="Z135" s="46"/>
    </row>
    <row r="136" spans="1:26">
      <c r="A136" s="81" t="s">
        <v>282</v>
      </c>
      <c r="B136" s="130">
        <v>-5.3378285999999999</v>
      </c>
      <c r="C136" s="71"/>
      <c r="D136" s="12">
        <v>0.92735432696895004</v>
      </c>
      <c r="E136" s="10">
        <v>5</v>
      </c>
      <c r="F136" s="10">
        <v>211</v>
      </c>
      <c r="G136" s="1">
        <v>7.49</v>
      </c>
      <c r="H136" s="14">
        <f t="shared" si="2"/>
        <v>-8.85</v>
      </c>
      <c r="I136" s="30" t="s">
        <v>64</v>
      </c>
      <c r="J136" s="32"/>
      <c r="K136" s="33"/>
      <c r="L136" s="34"/>
      <c r="M136" s="3" t="s">
        <v>283</v>
      </c>
    </row>
    <row r="137" spans="1:26">
      <c r="A137" s="82" t="s">
        <v>112</v>
      </c>
      <c r="B137" s="130">
        <v>-3.9123232099999998</v>
      </c>
      <c r="C137" s="71"/>
      <c r="D137" s="12">
        <v>0.68239272333923895</v>
      </c>
      <c r="E137" s="10">
        <v>3</v>
      </c>
      <c r="F137" s="10">
        <v>177</v>
      </c>
      <c r="G137" s="1">
        <v>3.37</v>
      </c>
      <c r="H137" s="14">
        <f t="shared" si="2"/>
        <v>-4.3900000000000006</v>
      </c>
      <c r="J137" s="14"/>
      <c r="K137" s="14"/>
      <c r="L137" s="14"/>
      <c r="M137" s="3" t="s">
        <v>284</v>
      </c>
    </row>
    <row r="138" spans="1:26">
      <c r="A138" s="82" t="s">
        <v>285</v>
      </c>
      <c r="B138" s="130">
        <v>-5.1333368100000003</v>
      </c>
      <c r="C138" s="71"/>
      <c r="D138" s="12">
        <v>0.520951861602862</v>
      </c>
      <c r="E138" s="10">
        <v>10</v>
      </c>
      <c r="F138" s="10">
        <v>228.6</v>
      </c>
      <c r="G138" s="1">
        <v>4.22</v>
      </c>
      <c r="H138" s="14">
        <f t="shared" si="2"/>
        <v>-5.7560000000000002</v>
      </c>
      <c r="I138" s="16" t="s">
        <v>286</v>
      </c>
      <c r="J138" s="17"/>
      <c r="K138" s="17"/>
      <c r="L138" s="18"/>
      <c r="M138" s="3" t="s">
        <v>287</v>
      </c>
    </row>
    <row r="139" spans="1:26">
      <c r="A139" s="81" t="s">
        <v>288</v>
      </c>
      <c r="B139" s="130">
        <v>-1.68087813</v>
      </c>
      <c r="C139" s="71"/>
      <c r="D139" s="12">
        <v>0.53906642829149898</v>
      </c>
      <c r="E139" s="10">
        <v>3</v>
      </c>
      <c r="F139" s="10">
        <v>161.5</v>
      </c>
      <c r="G139" s="1">
        <v>-0.21</v>
      </c>
      <c r="H139" s="14">
        <f t="shared" si="2"/>
        <v>-0.65500000000000003</v>
      </c>
      <c r="I139" s="20" t="s">
        <v>390</v>
      </c>
      <c r="J139" s="21"/>
      <c r="K139" s="21"/>
      <c r="L139" s="22"/>
      <c r="M139" s="3" t="s">
        <v>289</v>
      </c>
    </row>
    <row r="140" spans="1:26">
      <c r="A140" s="81" t="s">
        <v>290</v>
      </c>
      <c r="B140" s="130">
        <v>-3.3183111900000002</v>
      </c>
      <c r="C140" s="71"/>
      <c r="D140" s="12">
        <v>0.56233984781338708</v>
      </c>
      <c r="E140" s="10">
        <v>11</v>
      </c>
      <c r="F140" s="10">
        <v>213.49999999999997</v>
      </c>
      <c r="G140" s="1">
        <v>3.04</v>
      </c>
      <c r="H140" s="14">
        <f t="shared" si="2"/>
        <v>-4.4249999999999998</v>
      </c>
      <c r="I140" s="23"/>
      <c r="J140" s="7"/>
      <c r="K140" s="7"/>
      <c r="L140" s="24"/>
      <c r="M140" s="3" t="s">
        <v>291</v>
      </c>
    </row>
    <row r="141" spans="1:26">
      <c r="A141" s="83" t="s">
        <v>292</v>
      </c>
      <c r="B141" s="130">
        <v>-2.26037248</v>
      </c>
      <c r="C141" s="71"/>
      <c r="D141" s="12">
        <v>0.54710381306524825</v>
      </c>
      <c r="E141" s="10">
        <v>4</v>
      </c>
      <c r="F141" s="10">
        <v>168.5</v>
      </c>
      <c r="G141" s="1">
        <v>3.35</v>
      </c>
      <c r="H141" s="14">
        <f t="shared" si="2"/>
        <v>-4.2850000000000001</v>
      </c>
      <c r="I141" s="23"/>
      <c r="J141" s="7"/>
      <c r="K141" s="7"/>
      <c r="L141" s="24"/>
      <c r="M141" s="3" t="s">
        <v>293</v>
      </c>
    </row>
    <row r="142" spans="1:26">
      <c r="A142" s="81" t="s">
        <v>114</v>
      </c>
      <c r="B142" s="130">
        <v>-1.86202917</v>
      </c>
      <c r="C142" s="71"/>
      <c r="D142" s="12">
        <v>0.54612637818466869</v>
      </c>
      <c r="E142" s="10">
        <v>3</v>
      </c>
      <c r="F142" s="13">
        <v>124.1</v>
      </c>
      <c r="G142" s="1">
        <v>2.81</v>
      </c>
      <c r="H142" s="14">
        <f t="shared" si="2"/>
        <v>-3.3010000000000002</v>
      </c>
      <c r="I142" s="25"/>
      <c r="J142" s="7"/>
      <c r="K142" s="7"/>
      <c r="L142" s="24"/>
      <c r="M142" s="3" t="s">
        <v>294</v>
      </c>
    </row>
    <row r="143" spans="1:26">
      <c r="A143" s="81" t="s">
        <v>295</v>
      </c>
      <c r="B143" s="130">
        <v>-3.5503047799999998</v>
      </c>
      <c r="C143" s="71"/>
      <c r="D143" s="12">
        <v>0.51160213896594608</v>
      </c>
      <c r="E143" s="10">
        <v>4</v>
      </c>
      <c r="F143" s="10">
        <v>165</v>
      </c>
      <c r="G143" s="1">
        <v>4.8899999999999997</v>
      </c>
      <c r="H143" s="14">
        <f t="shared" si="2"/>
        <v>-5.79</v>
      </c>
      <c r="I143" s="25"/>
      <c r="J143" s="7"/>
      <c r="K143" s="7"/>
      <c r="L143" s="24"/>
      <c r="M143" s="3" t="s">
        <v>296</v>
      </c>
    </row>
    <row r="144" spans="1:26">
      <c r="A144" s="81" t="s">
        <v>117</v>
      </c>
      <c r="B144" s="130">
        <v>-5.2452411699999999</v>
      </c>
      <c r="C144" s="71"/>
      <c r="D144" s="12">
        <v>0.65141515533308314</v>
      </c>
      <c r="E144" s="10">
        <v>4</v>
      </c>
      <c r="F144" s="10">
        <v>161.1</v>
      </c>
      <c r="G144" s="1">
        <v>4.76</v>
      </c>
      <c r="H144" s="14">
        <f t="shared" si="2"/>
        <v>-5.6209999999999996</v>
      </c>
      <c r="I144" s="25"/>
      <c r="J144" s="7"/>
      <c r="K144" s="7"/>
      <c r="L144" s="24"/>
      <c r="M144" s="3" t="s">
        <v>297</v>
      </c>
    </row>
    <row r="145" spans="1:28">
      <c r="A145" s="83" t="s">
        <v>298</v>
      </c>
      <c r="B145" s="130">
        <v>-3.8508865499999998</v>
      </c>
      <c r="C145" s="71"/>
      <c r="D145" s="12">
        <v>0.65883215509381909</v>
      </c>
      <c r="E145" s="10">
        <v>3</v>
      </c>
      <c r="F145" s="10">
        <v>155</v>
      </c>
      <c r="G145" s="1">
        <v>3.74</v>
      </c>
      <c r="H145" s="14">
        <f t="shared" si="2"/>
        <v>-4.54</v>
      </c>
      <c r="I145" s="25"/>
      <c r="J145" s="7"/>
      <c r="K145" s="7"/>
      <c r="L145" s="24"/>
      <c r="M145" s="3" t="s">
        <v>299</v>
      </c>
    </row>
    <row r="146" spans="1:28">
      <c r="A146" s="82" t="s">
        <v>300</v>
      </c>
      <c r="B146" s="130">
        <v>-4.98494686</v>
      </c>
      <c r="C146" s="71"/>
      <c r="D146" s="12">
        <v>0.61400477095750339</v>
      </c>
      <c r="E146" s="10">
        <v>3</v>
      </c>
      <c r="F146" s="10">
        <v>165.4</v>
      </c>
      <c r="G146" s="1">
        <v>5.58</v>
      </c>
      <c r="H146" s="14">
        <f t="shared" si="2"/>
        <v>-6.484</v>
      </c>
      <c r="I146" s="25"/>
      <c r="J146" s="7"/>
      <c r="K146" s="7"/>
      <c r="L146" s="24"/>
      <c r="M146" s="3" t="s">
        <v>301</v>
      </c>
    </row>
    <row r="147" spans="1:28">
      <c r="A147" s="82" t="s">
        <v>302</v>
      </c>
      <c r="B147" s="130">
        <v>-4.6815193600000002</v>
      </c>
      <c r="C147" s="71"/>
      <c r="D147" s="12">
        <v>0.50406532001413251</v>
      </c>
      <c r="E147" s="10">
        <v>6</v>
      </c>
      <c r="F147" s="10">
        <v>161</v>
      </c>
      <c r="G147" s="1">
        <v>6.45</v>
      </c>
      <c r="H147" s="14">
        <f t="shared" si="2"/>
        <v>-7.3100000000000005</v>
      </c>
      <c r="I147" s="26"/>
      <c r="J147" s="27"/>
      <c r="K147" s="27"/>
      <c r="L147" s="28"/>
      <c r="M147" s="3" t="s">
        <v>303</v>
      </c>
    </row>
    <row r="148" spans="1:28">
      <c r="A148" s="82" t="s">
        <v>304</v>
      </c>
      <c r="B148" s="130">
        <v>-5.5099842299999997</v>
      </c>
      <c r="C148" s="71"/>
      <c r="D148" s="12">
        <v>0.75493366325441691</v>
      </c>
      <c r="E148" s="10">
        <v>4</v>
      </c>
      <c r="F148" s="10">
        <v>193.5</v>
      </c>
      <c r="G148" s="1">
        <v>5.41</v>
      </c>
      <c r="H148" s="14">
        <f t="shared" si="2"/>
        <v>-6.5950000000000006</v>
      </c>
      <c r="J148" s="14"/>
      <c r="K148" s="14"/>
      <c r="L148" s="14"/>
      <c r="M148" s="3" t="s">
        <v>305</v>
      </c>
    </row>
    <row r="149" spans="1:28">
      <c r="A149" s="82" t="s">
        <v>306</v>
      </c>
      <c r="B149" s="130">
        <v>-2.97510948</v>
      </c>
      <c r="C149" s="71"/>
      <c r="D149" s="12">
        <v>0.50089358058597189</v>
      </c>
      <c r="E149" s="10">
        <v>3</v>
      </c>
      <c r="F149" s="10">
        <v>156</v>
      </c>
      <c r="G149" s="1">
        <v>2.9</v>
      </c>
      <c r="H149" s="14">
        <f t="shared" si="2"/>
        <v>-3.71</v>
      </c>
      <c r="I149" s="70" t="s">
        <v>133</v>
      </c>
      <c r="J149" s="131">
        <v>2641</v>
      </c>
      <c r="K149" s="34"/>
      <c r="L149" s="14"/>
      <c r="M149" s="3" t="s">
        <v>307</v>
      </c>
    </row>
    <row r="150" spans="1:28">
      <c r="A150" s="83" t="s">
        <v>308</v>
      </c>
      <c r="B150" s="130">
        <v>-4.4258538700000001</v>
      </c>
      <c r="C150" s="71"/>
      <c r="D150" s="12">
        <v>0.6587984329866341</v>
      </c>
      <c r="E150" s="10">
        <v>4</v>
      </c>
      <c r="F150" s="10">
        <v>183.5</v>
      </c>
      <c r="G150" s="1">
        <v>3.16</v>
      </c>
      <c r="H150" s="14">
        <f t="shared" si="2"/>
        <v>-4.2450000000000001</v>
      </c>
      <c r="I150" s="70" t="s">
        <v>136</v>
      </c>
      <c r="J150" s="131">
        <v>955</v>
      </c>
      <c r="K150" s="34"/>
      <c r="L150" s="14"/>
      <c r="M150" s="3" t="s">
        <v>309</v>
      </c>
    </row>
    <row r="151" spans="1:28">
      <c r="A151" s="83" t="s">
        <v>310</v>
      </c>
      <c r="B151" s="130">
        <v>-1.94347414</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s="130">
        <v>-2.8314489200000001</v>
      </c>
      <c r="C152" s="71"/>
      <c r="D152" s="12">
        <v>0.57115657899345518</v>
      </c>
      <c r="E152" s="10">
        <v>7</v>
      </c>
      <c r="F152" s="10">
        <v>177</v>
      </c>
      <c r="G152" s="1">
        <v>3.17</v>
      </c>
      <c r="H152" s="14">
        <f t="shared" si="2"/>
        <v>-4.1899999999999995</v>
      </c>
      <c r="I152" s="14"/>
      <c r="J152" s="14"/>
      <c r="K152" s="14"/>
      <c r="L152" s="14"/>
      <c r="M152" s="3" t="s">
        <v>313</v>
      </c>
    </row>
    <row r="153" spans="1:28">
      <c r="A153" s="81" t="s">
        <v>314</v>
      </c>
      <c r="B153" s="130">
        <v>-4.1917812100000003</v>
      </c>
      <c r="C153" s="71"/>
      <c r="D153" s="12">
        <v>0.55807775121880254</v>
      </c>
      <c r="E153" s="10">
        <v>6</v>
      </c>
      <c r="F153" s="10">
        <v>145</v>
      </c>
      <c r="G153" s="1">
        <v>6.08</v>
      </c>
      <c r="H153" s="14">
        <f t="shared" si="2"/>
        <v>-6.78</v>
      </c>
      <c r="I153" s="19" t="s">
        <v>144</v>
      </c>
      <c r="J153" s="17"/>
      <c r="K153" s="17"/>
      <c r="L153" s="18"/>
      <c r="M153" s="3" t="s">
        <v>315</v>
      </c>
    </row>
    <row r="154" spans="1:28">
      <c r="A154" s="81" t="s">
        <v>316</v>
      </c>
      <c r="B154" s="130">
        <v>-4.1792243899999999</v>
      </c>
      <c r="C154" s="71"/>
      <c r="D154" s="12">
        <v>0.66417698790166113</v>
      </c>
      <c r="E154" s="10">
        <v>3</v>
      </c>
      <c r="F154" s="13">
        <v>175.8</v>
      </c>
      <c r="G154" s="1">
        <v>4.62</v>
      </c>
      <c r="H154" s="14">
        <f t="shared" si="2"/>
        <v>-5.6280000000000001</v>
      </c>
      <c r="I154" s="20"/>
      <c r="J154" s="21"/>
      <c r="K154" s="21"/>
      <c r="L154" s="22"/>
      <c r="M154" s="3" t="s">
        <v>317</v>
      </c>
    </row>
    <row r="155" spans="1:28">
      <c r="A155" s="82" t="s">
        <v>318</v>
      </c>
      <c r="B155" s="130">
        <v>-4.0013369699999997</v>
      </c>
      <c r="C155" s="71"/>
      <c r="D155" s="12">
        <v>0.57716593661781801</v>
      </c>
      <c r="E155" s="10">
        <v>3</v>
      </c>
      <c r="F155" s="10">
        <v>349.84</v>
      </c>
      <c r="G155" s="1">
        <v>3.09</v>
      </c>
      <c r="H155" s="14">
        <f t="shared" si="2"/>
        <v>-5.8384</v>
      </c>
      <c r="I155" s="23"/>
      <c r="J155" s="7"/>
      <c r="K155" s="7"/>
      <c r="L155" s="24"/>
      <c r="M155" s="3" t="s">
        <v>319</v>
      </c>
    </row>
    <row r="156" spans="1:28">
      <c r="A156" s="83" t="s">
        <v>320</v>
      </c>
      <c r="B156" s="130">
        <v>-3.2202409400000001</v>
      </c>
      <c r="C156" s="71"/>
      <c r="D156" s="12">
        <v>0.70324590282883903</v>
      </c>
      <c r="E156" s="10">
        <v>3</v>
      </c>
      <c r="F156" s="10">
        <v>204</v>
      </c>
      <c r="G156" s="1">
        <v>0.88</v>
      </c>
      <c r="H156" s="14">
        <f t="shared" si="2"/>
        <v>-2.17</v>
      </c>
      <c r="I156" s="23"/>
      <c r="J156" s="7"/>
      <c r="K156" s="7"/>
      <c r="L156" s="24"/>
      <c r="M156" s="3" t="s">
        <v>321</v>
      </c>
    </row>
    <row r="157" spans="1:28">
      <c r="A157" s="82" t="s">
        <v>322</v>
      </c>
      <c r="B157" s="130">
        <v>-5.3798261399999996</v>
      </c>
      <c r="C157" s="71"/>
      <c r="D157" s="12">
        <v>0.7237903588794764</v>
      </c>
      <c r="E157" s="10">
        <v>7</v>
      </c>
      <c r="F157" s="10">
        <v>97.8</v>
      </c>
      <c r="G157" s="1">
        <v>6</v>
      </c>
      <c r="H157" s="14">
        <f t="shared" si="2"/>
        <v>-6.2279999999999998</v>
      </c>
      <c r="I157" s="23"/>
      <c r="J157" s="7"/>
      <c r="K157" s="7"/>
      <c r="L157" s="24"/>
      <c r="M157" s="3" t="s">
        <v>323</v>
      </c>
    </row>
    <row r="158" spans="1:28">
      <c r="A158" s="82" t="s">
        <v>324</v>
      </c>
      <c r="B158" s="130">
        <v>-3.9430460300000001</v>
      </c>
      <c r="C158" s="71"/>
      <c r="D158" s="12">
        <v>0.84033450922624497</v>
      </c>
      <c r="E158" s="10">
        <v>5</v>
      </c>
      <c r="F158" s="10">
        <v>262</v>
      </c>
      <c r="G158" s="1">
        <v>7.26</v>
      </c>
      <c r="H158" s="14">
        <f t="shared" si="2"/>
        <v>-9.129999999999999</v>
      </c>
      <c r="I158" s="23"/>
      <c r="J158" s="7"/>
      <c r="K158" s="7"/>
      <c r="L158" s="24"/>
      <c r="M158" s="3" t="s">
        <v>325</v>
      </c>
    </row>
    <row r="159" spans="1:28">
      <c r="A159" s="82" t="s">
        <v>326</v>
      </c>
      <c r="B159" s="130">
        <v>-5.1893738100000002</v>
      </c>
      <c r="C159" s="71"/>
      <c r="D159" s="12">
        <v>0.70969645885144073</v>
      </c>
      <c r="E159" s="10">
        <v>11</v>
      </c>
      <c r="F159" s="10">
        <v>149.6</v>
      </c>
      <c r="G159" s="1">
        <v>6.45</v>
      </c>
      <c r="H159" s="14">
        <f t="shared" si="2"/>
        <v>-7.1959999999999997</v>
      </c>
      <c r="I159" s="23"/>
      <c r="J159" s="7"/>
      <c r="K159" s="7"/>
      <c r="L159" s="24"/>
      <c r="M159" s="3" t="s">
        <v>327</v>
      </c>
    </row>
    <row r="160" spans="1:28" s="62" customFormat="1">
      <c r="A160" s="81" t="s">
        <v>328</v>
      </c>
      <c r="B160" s="130">
        <v>-3.6116861999999998</v>
      </c>
      <c r="C160" s="71"/>
      <c r="D160" s="12">
        <v>0.49644864464459931</v>
      </c>
      <c r="E160" s="10">
        <v>4</v>
      </c>
      <c r="F160" s="10">
        <v>304.5</v>
      </c>
      <c r="G160" s="1">
        <v>2.69</v>
      </c>
      <c r="H160" s="14">
        <f t="shared" si="2"/>
        <v>-4.9849999999999994</v>
      </c>
      <c r="I160" s="35"/>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c r="W168" s="62"/>
      <c r="X168" s="62"/>
      <c r="Y168" s="62"/>
      <c r="Z168" s="62"/>
    </row>
    <row r="169" spans="1:28">
      <c r="A169" t="s">
        <v>334</v>
      </c>
    </row>
    <row r="170" spans="1:28" ht="15.75" customHeight="1"/>
    <row r="171" spans="1:28" s="47" customFormat="1" ht="19">
      <c r="A171" s="101" t="s">
        <v>335</v>
      </c>
      <c r="W171"/>
      <c r="X171"/>
      <c r="Y171"/>
      <c r="Z171"/>
    </row>
    <row r="172" spans="1:28" s="47" customFormat="1" ht="18">
      <c r="A172" s="95" t="s">
        <v>336</v>
      </c>
      <c r="W172"/>
      <c r="X172"/>
      <c r="Y172"/>
      <c r="Z172"/>
    </row>
    <row r="173" spans="1:28" s="47" customFormat="1" ht="16">
      <c r="A173" s="95" t="s">
        <v>337</v>
      </c>
      <c r="W173"/>
      <c r="X173"/>
      <c r="Y173"/>
      <c r="Z173"/>
    </row>
    <row r="174" spans="1:28" s="47" customFormat="1">
      <c r="A174" s="96" t="s">
        <v>338</v>
      </c>
      <c r="W174"/>
      <c r="X174"/>
      <c r="Y174"/>
      <c r="Z174"/>
    </row>
    <row r="175" spans="1:28" s="47" customFormat="1">
      <c r="A175" s="97" t="s">
        <v>339</v>
      </c>
      <c r="W175"/>
      <c r="X175"/>
      <c r="Y175"/>
      <c r="Z175"/>
    </row>
    <row r="176" spans="1:28" s="47" customFormat="1">
      <c r="A176" s="98" t="s">
        <v>340</v>
      </c>
      <c r="W176"/>
      <c r="X176"/>
      <c r="Y176"/>
      <c r="Z176"/>
    </row>
    <row r="177" spans="1:26" s="47" customFormat="1">
      <c r="A177" s="47" t="s">
        <v>341</v>
      </c>
      <c r="W177"/>
      <c r="X177"/>
      <c r="Y177"/>
      <c r="Z177"/>
    </row>
    <row r="178" spans="1:26" s="47" customFormat="1">
      <c r="A178" s="99" t="s">
        <v>342</v>
      </c>
    </row>
    <row r="179" spans="1:26" s="47" customFormat="1">
      <c r="A179" s="47" t="s">
        <v>343</v>
      </c>
    </row>
    <row r="180" spans="1:26" s="47" customFormat="1">
      <c r="A180" s="98" t="s">
        <v>344</v>
      </c>
    </row>
    <row r="181" spans="1:26" s="47" customFormat="1">
      <c r="A181" s="47" t="s">
        <v>345</v>
      </c>
    </row>
    <row r="182" spans="1:26" s="47" customFormat="1">
      <c r="A182" s="47" t="s">
        <v>346</v>
      </c>
    </row>
    <row r="183" spans="1:26" s="47" customFormat="1">
      <c r="A183" s="96" t="s">
        <v>347</v>
      </c>
    </row>
    <row r="184" spans="1:26" s="47" customFormat="1">
      <c r="A184" s="96" t="s">
        <v>348</v>
      </c>
    </row>
    <row r="185" spans="1:26" s="47" customFormat="1">
      <c r="A185" s="47" t="s">
        <v>349</v>
      </c>
    </row>
    <row r="186" spans="1:26" s="47" customFormat="1">
      <c r="A186" s="47" t="s">
        <v>350</v>
      </c>
    </row>
    <row r="187" spans="1:26" s="47" customFormat="1">
      <c r="A187" s="99" t="s">
        <v>351</v>
      </c>
    </row>
    <row r="188" spans="1:26" s="47" customFormat="1">
      <c r="A188" s="99" t="s">
        <v>352</v>
      </c>
    </row>
    <row r="189" spans="1:26" s="47" customFormat="1">
      <c r="A189" s="98" t="s">
        <v>353</v>
      </c>
    </row>
    <row r="190" spans="1:26" s="47" customFormat="1">
      <c r="A190" s="99" t="s">
        <v>354</v>
      </c>
    </row>
    <row r="191" spans="1:26" s="47" customFormat="1">
      <c r="A191" s="47" t="s">
        <v>355</v>
      </c>
    </row>
    <row r="192" spans="1:26" s="47" customFormat="1"/>
    <row r="193" spans="1:26">
      <c r="A193" s="74" t="s">
        <v>356</v>
      </c>
      <c r="W193" s="47"/>
      <c r="X193" s="47"/>
      <c r="Y193" s="47"/>
      <c r="Z193" s="47"/>
    </row>
    <row r="194" spans="1:26">
      <c r="A194" s="43"/>
      <c r="B194" s="44"/>
      <c r="C194" s="44"/>
      <c r="D194" s="44"/>
      <c r="E194" s="44"/>
      <c r="F194" s="44"/>
      <c r="G194" s="44"/>
      <c r="H194" s="44"/>
      <c r="I194" s="44"/>
      <c r="J194" s="44"/>
      <c r="K194" s="44"/>
      <c r="L194" s="44"/>
      <c r="M194" s="48"/>
      <c r="N194" s="44"/>
      <c r="O194" s="44"/>
      <c r="P194" s="44"/>
      <c r="Q194" s="45"/>
      <c r="W194" s="47"/>
      <c r="X194" s="47"/>
      <c r="Y194" s="47"/>
      <c r="Z194" s="47"/>
    </row>
    <row r="195" spans="1:26">
      <c r="W195" s="47"/>
      <c r="X195" s="47"/>
      <c r="Y195" s="47"/>
      <c r="Z195" s="47"/>
    </row>
    <row r="196" spans="1:26">
      <c r="W196" s="47"/>
      <c r="X196" s="47"/>
      <c r="Y196" s="47"/>
      <c r="Z196" s="47"/>
    </row>
    <row r="197" spans="1:26">
      <c r="W197" s="47"/>
      <c r="X197" s="47"/>
      <c r="Y197" s="47"/>
      <c r="Z197" s="47"/>
    </row>
    <row r="198" spans="1:26">
      <c r="W198" s="47"/>
      <c r="X198" s="47"/>
      <c r="Y198" s="47"/>
      <c r="Z198" s="47"/>
    </row>
    <row r="199" spans="1:26">
      <c r="W199" s="47"/>
      <c r="X199" s="47"/>
      <c r="Y199" s="47"/>
      <c r="Z199" s="47"/>
    </row>
  </sheetData>
  <pageMargins left="0" right="0" top="0" bottom="0" header="0.3" footer="0.3"/>
  <pageSetup scale="54"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50309-E99C-4ACD-9668-A92F10AB8902}">
  <dimension ref="A1:AB205"/>
  <sheetViews>
    <sheetView zoomScale="80" zoomScaleNormal="80" workbookViewId="0">
      <selection activeCell="B4" sqref="B4:B9"/>
    </sheetView>
  </sheetViews>
  <sheetFormatPr baseColWidth="10" defaultColWidth="9.1640625" defaultRowHeight="15"/>
  <cols>
    <col min="1" max="1" width="18.83203125" customWidth="1"/>
    <col min="2" max="3" width="11.33203125" customWidth="1"/>
    <col min="4" max="4" width="7.6640625" customWidth="1"/>
    <col min="5" max="5" width="7.83203125" customWidth="1"/>
    <col min="6" max="6" width="10.1640625" customWidth="1"/>
    <col min="7" max="7" width="11.5" customWidth="1"/>
    <col min="9" max="9" width="13.1640625" customWidth="1"/>
    <col min="10" max="10" width="4.5" customWidth="1"/>
    <col min="13" max="13" width="9" style="47" customWidth="1"/>
    <col min="22" max="22" width="21" bestFit="1" customWidth="1"/>
    <col min="23" max="23" width="15.33203125" bestFit="1" customWidth="1"/>
    <col min="24" max="24" width="11.6640625" bestFit="1" customWidth="1"/>
    <col min="25" max="26" width="3.5" bestFit="1"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118"/>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c r="C14" t="s">
        <v>11</v>
      </c>
    </row>
    <row r="15" spans="1:25" s="90" customFormat="1">
      <c r="A15" s="89" t="s">
        <v>12</v>
      </c>
    </row>
    <row r="16" spans="1:25">
      <c r="B16" s="129" t="s">
        <v>367</v>
      </c>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3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134"/>
      <c r="W22" s="46"/>
      <c r="X22" s="46"/>
      <c r="Y22" s="46"/>
      <c r="Z22" s="46"/>
      <c r="AA22" s="46"/>
      <c r="AB22" s="46"/>
    </row>
    <row r="23" spans="1:28">
      <c r="A23" s="81" t="s">
        <v>29</v>
      </c>
      <c r="B23" s="130">
        <v>-1.74949474</v>
      </c>
      <c r="C23" s="73" t="s">
        <v>30</v>
      </c>
      <c r="D23" s="12">
        <v>0.17592262140645501</v>
      </c>
      <c r="E23" s="10">
        <v>11</v>
      </c>
      <c r="F23" s="10">
        <v>258.5</v>
      </c>
      <c r="G23" s="6">
        <v>-0.86</v>
      </c>
      <c r="H23" s="14">
        <f t="shared" ref="H23:H86" si="0">0.5-G23-0.01*(F23-25)</f>
        <v>-0.97500000000000009</v>
      </c>
      <c r="I23" s="53" t="s">
        <v>31</v>
      </c>
      <c r="J23" s="54"/>
      <c r="K23" s="14"/>
      <c r="L23" s="14"/>
      <c r="M23" s="11" t="s">
        <v>33</v>
      </c>
      <c r="V23" s="135"/>
    </row>
    <row r="24" spans="1:28">
      <c r="A24" s="82" t="s">
        <v>35</v>
      </c>
      <c r="B24" s="130">
        <v>-1.9838754000000001</v>
      </c>
      <c r="C24" s="73" t="s">
        <v>36</v>
      </c>
      <c r="D24" s="12">
        <v>0.14701293131372209</v>
      </c>
      <c r="E24" s="10">
        <v>16</v>
      </c>
      <c r="F24" s="10">
        <v>142.4</v>
      </c>
      <c r="G24" s="6">
        <v>1.31</v>
      </c>
      <c r="H24" s="14">
        <f t="shared" si="0"/>
        <v>-1.9840000000000002</v>
      </c>
      <c r="I24" s="53" t="s">
        <v>37</v>
      </c>
      <c r="J24" s="54"/>
      <c r="K24" s="14"/>
      <c r="L24" s="14"/>
      <c r="M24" s="11" t="s">
        <v>38</v>
      </c>
      <c r="V24" s="135"/>
    </row>
    <row r="25" spans="1:28">
      <c r="A25" s="81" t="s">
        <v>40</v>
      </c>
      <c r="B25" s="130">
        <v>-3.0208816199999999</v>
      </c>
      <c r="C25" s="73" t="s">
        <v>41</v>
      </c>
      <c r="D25" s="12">
        <v>0.15746026945991629</v>
      </c>
      <c r="E25" s="10">
        <v>4</v>
      </c>
      <c r="F25" s="10">
        <v>92</v>
      </c>
      <c r="G25" s="6">
        <v>2.5299999999999998</v>
      </c>
      <c r="H25" s="14">
        <f t="shared" si="0"/>
        <v>-2.6999999999999997</v>
      </c>
      <c r="I25" s="53" t="s">
        <v>42</v>
      </c>
      <c r="J25" s="54"/>
      <c r="K25" s="14"/>
      <c r="L25" s="14"/>
      <c r="M25" s="11" t="s">
        <v>43</v>
      </c>
      <c r="V25" s="135"/>
    </row>
    <row r="26" spans="1:28">
      <c r="A26" s="82" t="s">
        <v>45</v>
      </c>
      <c r="B26" s="130">
        <v>-2.6358673499999998</v>
      </c>
      <c r="C26" s="73" t="s">
        <v>46</v>
      </c>
      <c r="D26" s="12">
        <v>0.16999222507469616</v>
      </c>
      <c r="E26" s="10">
        <v>3</v>
      </c>
      <c r="F26" s="10">
        <v>234</v>
      </c>
      <c r="G26" s="6">
        <v>3.19</v>
      </c>
      <c r="H26" s="14">
        <f t="shared" si="0"/>
        <v>-4.7799999999999994</v>
      </c>
      <c r="I26" s="15" t="s">
        <v>47</v>
      </c>
      <c r="J26" s="29" t="s">
        <v>367</v>
      </c>
      <c r="K26" s="14"/>
      <c r="L26" s="14"/>
      <c r="M26" s="11" t="s">
        <v>48</v>
      </c>
      <c r="V26" s="135"/>
    </row>
    <row r="27" spans="1:28">
      <c r="A27" s="82" t="s">
        <v>50</v>
      </c>
      <c r="B27" s="130">
        <v>-4.1785217799999996</v>
      </c>
      <c r="C27" s="73" t="s">
        <v>51</v>
      </c>
      <c r="D27" s="12">
        <v>0.21168830858587184</v>
      </c>
      <c r="E27" s="10">
        <v>3</v>
      </c>
      <c r="F27" s="10">
        <v>139.25</v>
      </c>
      <c r="G27" s="6">
        <v>4.8600000000000003</v>
      </c>
      <c r="H27" s="14">
        <f t="shared" si="0"/>
        <v>-5.5025000000000004</v>
      </c>
      <c r="I27" s="15" t="s">
        <v>52</v>
      </c>
      <c r="J27" s="29"/>
      <c r="K27" s="14"/>
      <c r="L27" s="14"/>
      <c r="M27" s="11" t="s">
        <v>53</v>
      </c>
      <c r="V27" s="135"/>
    </row>
    <row r="28" spans="1:28">
      <c r="A28" s="81" t="s">
        <v>55</v>
      </c>
      <c r="B28" s="130">
        <v>-6.1785409700000002</v>
      </c>
      <c r="C28" s="71"/>
      <c r="D28" s="12">
        <v>0.18412396392404196</v>
      </c>
      <c r="E28" s="10">
        <v>3</v>
      </c>
      <c r="F28" s="10">
        <v>224.00000000000003</v>
      </c>
      <c r="G28" s="6">
        <v>5.51</v>
      </c>
      <c r="H28" s="14">
        <f t="shared" si="0"/>
        <v>-7</v>
      </c>
      <c r="I28" s="15" t="s">
        <v>56</v>
      </c>
      <c r="J28" s="29"/>
      <c r="K28" s="14"/>
      <c r="L28" s="14"/>
      <c r="M28" s="11" t="s">
        <v>57</v>
      </c>
      <c r="V28" s="135"/>
    </row>
    <row r="29" spans="1:28">
      <c r="A29" s="81" t="s">
        <v>59</v>
      </c>
      <c r="B29" s="130">
        <v>-3.39898129</v>
      </c>
      <c r="C29" s="71"/>
      <c r="D29" s="12">
        <v>0.14933733874523175</v>
      </c>
      <c r="E29" s="10">
        <v>6</v>
      </c>
      <c r="F29" s="10">
        <v>172.5</v>
      </c>
      <c r="G29" s="6">
        <v>1.78</v>
      </c>
      <c r="H29" s="14">
        <f t="shared" si="0"/>
        <v>-2.7549999999999999</v>
      </c>
      <c r="I29" s="15" t="s">
        <v>60</v>
      </c>
      <c r="J29" s="31"/>
      <c r="K29" s="14"/>
      <c r="L29" s="14"/>
      <c r="M29" s="11" t="s">
        <v>61</v>
      </c>
      <c r="V29" s="135"/>
    </row>
    <row r="30" spans="1:28">
      <c r="A30" s="81" t="s">
        <v>63</v>
      </c>
      <c r="B30" s="130">
        <v>-1.7507459700000001</v>
      </c>
      <c r="C30" s="71"/>
      <c r="D30" s="12">
        <v>0.14842266063120066</v>
      </c>
      <c r="E30" s="10">
        <v>4</v>
      </c>
      <c r="F30" s="10">
        <v>207.50000000000003</v>
      </c>
      <c r="G30" s="6">
        <v>1.86</v>
      </c>
      <c r="H30" s="14">
        <f t="shared" si="0"/>
        <v>-3.1850000000000005</v>
      </c>
      <c r="I30" s="30" t="s">
        <v>64</v>
      </c>
      <c r="J30" s="32"/>
      <c r="K30" s="33"/>
      <c r="L30" s="34"/>
      <c r="M30" s="11" t="s">
        <v>65</v>
      </c>
      <c r="V30" s="135"/>
    </row>
    <row r="31" spans="1:28">
      <c r="A31" s="83" t="s">
        <v>66</v>
      </c>
      <c r="B31" s="130">
        <v>-2.3973538400000001</v>
      </c>
      <c r="C31" s="71"/>
      <c r="D31" s="12">
        <v>0.1617973106900604</v>
      </c>
      <c r="E31" s="10">
        <v>10</v>
      </c>
      <c r="F31" s="10">
        <v>166.5</v>
      </c>
      <c r="G31" s="6">
        <v>0.79</v>
      </c>
      <c r="H31" s="14">
        <f t="shared" si="0"/>
        <v>-1.7050000000000001</v>
      </c>
      <c r="J31" s="14"/>
      <c r="K31" s="14"/>
      <c r="L31" s="14"/>
      <c r="M31" s="11" t="s">
        <v>67</v>
      </c>
      <c r="V31" s="135"/>
    </row>
    <row r="32" spans="1:28">
      <c r="A32" s="82" t="s">
        <v>68</v>
      </c>
      <c r="B32" s="130">
        <v>-4.5287432799999996</v>
      </c>
      <c r="C32" s="71"/>
      <c r="D32" s="12">
        <v>0.21543706061278237</v>
      </c>
      <c r="E32" s="10">
        <v>6</v>
      </c>
      <c r="F32" s="10">
        <v>231.5</v>
      </c>
      <c r="G32" s="6">
        <v>2.4300000000000002</v>
      </c>
      <c r="H32" s="14">
        <f t="shared" si="0"/>
        <v>-3.9950000000000001</v>
      </c>
      <c r="I32" s="16" t="s">
        <v>69</v>
      </c>
      <c r="J32" s="17"/>
      <c r="K32" s="17"/>
      <c r="L32" s="18"/>
      <c r="M32" s="11" t="s">
        <v>70</v>
      </c>
      <c r="V32" s="135"/>
    </row>
    <row r="33" spans="1:22">
      <c r="A33" s="84" t="s">
        <v>71</v>
      </c>
      <c r="B33" s="130">
        <v>-3.8309370500000002</v>
      </c>
      <c r="C33" s="72"/>
      <c r="D33" s="4">
        <v>0.12912520605069597</v>
      </c>
      <c r="E33" s="2">
        <v>3</v>
      </c>
      <c r="F33" s="13">
        <v>192.7</v>
      </c>
      <c r="G33" s="6">
        <v>2.63</v>
      </c>
      <c r="H33" s="14">
        <f t="shared" si="0"/>
        <v>-3.8069999999999995</v>
      </c>
      <c r="I33" s="20" t="s">
        <v>390</v>
      </c>
      <c r="J33" s="21"/>
      <c r="K33" s="21"/>
      <c r="L33" s="22"/>
      <c r="M33" s="11" t="s">
        <v>72</v>
      </c>
      <c r="V33" s="135"/>
    </row>
    <row r="34" spans="1:22">
      <c r="A34" s="81" t="s">
        <v>74</v>
      </c>
      <c r="B34" s="130">
        <v>-4.8381541099999996</v>
      </c>
      <c r="C34" s="71"/>
      <c r="D34" s="12">
        <v>0.14911462098310888</v>
      </c>
      <c r="E34" s="10">
        <v>6</v>
      </c>
      <c r="F34" s="10">
        <v>167</v>
      </c>
      <c r="G34" s="6">
        <v>6.32</v>
      </c>
      <c r="H34" s="14">
        <f t="shared" si="0"/>
        <v>-7.24</v>
      </c>
      <c r="I34" s="23"/>
      <c r="J34" s="7"/>
      <c r="K34" s="7"/>
      <c r="L34" s="24"/>
      <c r="M34" s="11" t="s">
        <v>75</v>
      </c>
      <c r="V34" s="135"/>
    </row>
    <row r="35" spans="1:22">
      <c r="A35" s="82" t="s">
        <v>77</v>
      </c>
      <c r="B35" s="130">
        <v>-4.3395519</v>
      </c>
      <c r="C35" s="71"/>
      <c r="D35" s="12">
        <v>0.15809078703524676</v>
      </c>
      <c r="E35" s="10">
        <v>15</v>
      </c>
      <c r="F35" s="10">
        <v>191.5</v>
      </c>
      <c r="G35" s="6">
        <v>3.39</v>
      </c>
      <c r="H35" s="14">
        <f t="shared" si="0"/>
        <v>-4.5549999999999997</v>
      </c>
      <c r="I35" s="23"/>
      <c r="J35" s="7"/>
      <c r="K35" s="7"/>
      <c r="L35" s="24"/>
      <c r="M35" s="11" t="s">
        <v>78</v>
      </c>
      <c r="V35" s="135"/>
    </row>
    <row r="36" spans="1:22">
      <c r="A36" s="83" t="s">
        <v>80</v>
      </c>
      <c r="B36" s="130">
        <v>-3.7134835900000001</v>
      </c>
      <c r="C36" s="71"/>
      <c r="D36" s="12">
        <v>0.1911503089068218</v>
      </c>
      <c r="E36" s="10">
        <v>3</v>
      </c>
      <c r="F36" s="10">
        <v>246.2</v>
      </c>
      <c r="G36" s="6">
        <v>3.32</v>
      </c>
      <c r="H36" s="14">
        <f t="shared" si="0"/>
        <v>-5.032</v>
      </c>
      <c r="I36" s="25"/>
      <c r="J36" s="7"/>
      <c r="K36" s="7"/>
      <c r="L36" s="24"/>
      <c r="M36" s="11" t="s">
        <v>81</v>
      </c>
      <c r="V36" s="135"/>
    </row>
    <row r="37" spans="1:22">
      <c r="A37" s="83" t="s">
        <v>73</v>
      </c>
      <c r="B37" s="130">
        <v>-3.4892806300000001</v>
      </c>
      <c r="C37" s="71"/>
      <c r="D37" s="12">
        <v>0.19050575600734274</v>
      </c>
      <c r="E37" s="10">
        <v>4</v>
      </c>
      <c r="F37" s="10">
        <v>304</v>
      </c>
      <c r="G37" s="6">
        <v>1.74</v>
      </c>
      <c r="H37" s="14">
        <f t="shared" si="0"/>
        <v>-4.03</v>
      </c>
      <c r="I37" s="25"/>
      <c r="J37" s="7"/>
      <c r="K37" s="7"/>
      <c r="L37" s="24"/>
      <c r="M37" s="11" t="s">
        <v>83</v>
      </c>
      <c r="V37" s="135"/>
    </row>
    <row r="38" spans="1:22">
      <c r="A38" s="81" t="s">
        <v>76</v>
      </c>
      <c r="B38" s="130">
        <v>-3.2434194199999999</v>
      </c>
      <c r="C38" s="71"/>
      <c r="D38" s="12">
        <v>0.13682393527498057</v>
      </c>
      <c r="E38" s="10">
        <v>7</v>
      </c>
      <c r="F38" s="10">
        <v>187</v>
      </c>
      <c r="G38" s="6">
        <v>-0.87</v>
      </c>
      <c r="H38" s="14">
        <f t="shared" si="0"/>
        <v>-0.25</v>
      </c>
      <c r="I38" s="25"/>
      <c r="J38" s="7"/>
      <c r="K38" s="7"/>
      <c r="L38" s="24"/>
      <c r="M38" s="66" t="s">
        <v>85</v>
      </c>
      <c r="V38" s="135"/>
    </row>
    <row r="39" spans="1:22">
      <c r="A39" s="81" t="s">
        <v>87</v>
      </c>
      <c r="B39" s="130">
        <v>-2.37989885</v>
      </c>
      <c r="C39" s="71"/>
      <c r="D39" s="12">
        <v>0.20462356367492032</v>
      </c>
      <c r="E39" s="10">
        <v>4</v>
      </c>
      <c r="F39" s="10">
        <v>221.5</v>
      </c>
      <c r="G39" s="6">
        <v>0.71</v>
      </c>
      <c r="H39" s="14">
        <f t="shared" si="0"/>
        <v>-2.1749999999999998</v>
      </c>
      <c r="I39" s="25"/>
      <c r="J39" s="7"/>
      <c r="K39" s="7"/>
      <c r="L39" s="24"/>
      <c r="M39" s="11" t="s">
        <v>88</v>
      </c>
      <c r="V39" s="135"/>
    </row>
    <row r="40" spans="1:22">
      <c r="A40" s="81" t="s">
        <v>90</v>
      </c>
      <c r="B40" s="130">
        <v>-4.8158205000000001</v>
      </c>
      <c r="C40" s="71"/>
      <c r="D40" s="12">
        <v>0.18274602564465547</v>
      </c>
      <c r="E40" s="10">
        <v>6</v>
      </c>
      <c r="F40" s="10">
        <v>157.83333333333334</v>
      </c>
      <c r="G40" s="6">
        <v>3.51</v>
      </c>
      <c r="H40" s="14">
        <f t="shared" si="0"/>
        <v>-4.3383333333333329</v>
      </c>
      <c r="I40" s="25"/>
      <c r="J40" s="39"/>
      <c r="K40" s="39"/>
      <c r="L40" s="40"/>
      <c r="M40" s="11" t="s">
        <v>91</v>
      </c>
      <c r="V40" s="135"/>
    </row>
    <row r="41" spans="1:22">
      <c r="A41" s="84" t="s">
        <v>93</v>
      </c>
      <c r="B41" s="130">
        <v>-1.39077406</v>
      </c>
      <c r="C41" s="72"/>
      <c r="D41" s="4">
        <v>0.12610247911779729</v>
      </c>
      <c r="E41" s="2">
        <v>8</v>
      </c>
      <c r="F41" s="10">
        <v>140</v>
      </c>
      <c r="G41" s="6">
        <v>0.35</v>
      </c>
      <c r="H41" s="14">
        <f t="shared" si="0"/>
        <v>-1</v>
      </c>
      <c r="I41" s="25"/>
      <c r="J41" s="39"/>
      <c r="K41" s="39"/>
      <c r="L41" s="40"/>
      <c r="M41" s="11" t="s">
        <v>94</v>
      </c>
      <c r="V41" s="135"/>
    </row>
    <row r="42" spans="1:22">
      <c r="A42" s="82" t="s">
        <v>96</v>
      </c>
      <c r="B42" s="130">
        <v>-2.7955523499999999</v>
      </c>
      <c r="C42" s="71"/>
      <c r="D42" s="12">
        <v>0.14493441954543959</v>
      </c>
      <c r="E42" s="10">
        <v>7</v>
      </c>
      <c r="F42" s="10">
        <v>127.93333333333334</v>
      </c>
      <c r="G42" s="6">
        <v>1.74</v>
      </c>
      <c r="H42" s="14">
        <f t="shared" si="0"/>
        <v>-2.2693333333333334</v>
      </c>
      <c r="I42" s="25"/>
      <c r="J42" s="39"/>
      <c r="K42" s="39"/>
      <c r="L42" s="40"/>
      <c r="M42" s="11" t="s">
        <v>97</v>
      </c>
      <c r="V42" s="135"/>
    </row>
    <row r="43" spans="1:22">
      <c r="A43" s="82" t="s">
        <v>79</v>
      </c>
      <c r="B43" s="130">
        <v>-3.9385920300000001</v>
      </c>
      <c r="C43" s="71"/>
      <c r="D43" s="12">
        <v>0.14861388626870758</v>
      </c>
      <c r="E43" s="10">
        <v>7</v>
      </c>
      <c r="F43" s="10">
        <v>176</v>
      </c>
      <c r="G43" s="6">
        <v>4.4800000000000004</v>
      </c>
      <c r="H43" s="14">
        <f t="shared" si="0"/>
        <v>-5.49</v>
      </c>
      <c r="I43" s="25"/>
      <c r="J43" s="39"/>
      <c r="K43" s="39"/>
      <c r="L43" s="40"/>
      <c r="M43" s="11" t="s">
        <v>99</v>
      </c>
      <c r="V43" s="135"/>
    </row>
    <row r="44" spans="1:22">
      <c r="A44" s="85" t="s">
        <v>101</v>
      </c>
      <c r="B44" s="130">
        <v>-3.3156708199999998</v>
      </c>
      <c r="C44" s="72"/>
      <c r="D44" s="4">
        <v>0.1280711495400205</v>
      </c>
      <c r="E44" s="2">
        <v>3</v>
      </c>
      <c r="F44" s="10">
        <v>159.69999999999999</v>
      </c>
      <c r="G44" s="6">
        <v>3.46</v>
      </c>
      <c r="H44" s="14">
        <f t="shared" si="0"/>
        <v>-4.3070000000000004</v>
      </c>
      <c r="I44" s="25"/>
      <c r="J44" s="39"/>
      <c r="K44" s="39"/>
      <c r="L44" s="40"/>
      <c r="M44" s="11" t="s">
        <v>102</v>
      </c>
      <c r="V44" s="135"/>
    </row>
    <row r="45" spans="1:22">
      <c r="A45" s="84" t="s">
        <v>104</v>
      </c>
      <c r="B45" s="130">
        <v>-3.0687797099999998</v>
      </c>
      <c r="C45" s="72"/>
      <c r="D45" s="4">
        <v>0.21683500301481054</v>
      </c>
      <c r="E45" s="2">
        <v>8</v>
      </c>
      <c r="F45" s="10">
        <v>142</v>
      </c>
      <c r="G45" s="6">
        <v>0.6</v>
      </c>
      <c r="H45" s="14">
        <f t="shared" si="0"/>
        <v>-1.27</v>
      </c>
      <c r="I45" s="25"/>
      <c r="J45" s="39"/>
      <c r="K45" s="39"/>
      <c r="L45" s="40"/>
      <c r="M45" s="11" t="s">
        <v>105</v>
      </c>
      <c r="V45" s="135"/>
    </row>
    <row r="46" spans="1:22">
      <c r="A46" s="82" t="s">
        <v>107</v>
      </c>
      <c r="B46" s="130">
        <v>-4.0960081500000003</v>
      </c>
      <c r="C46" s="71"/>
      <c r="D46" s="12">
        <v>0.18255878892749886</v>
      </c>
      <c r="E46" s="10">
        <v>20</v>
      </c>
      <c r="F46" s="10">
        <v>267</v>
      </c>
      <c r="G46" s="6">
        <v>1.58</v>
      </c>
      <c r="H46" s="14">
        <f t="shared" si="0"/>
        <v>-3.5</v>
      </c>
      <c r="I46" s="25"/>
      <c r="J46" s="39"/>
      <c r="K46" s="39"/>
      <c r="L46" s="40"/>
      <c r="M46" s="11" t="s">
        <v>108</v>
      </c>
      <c r="V46" s="135"/>
    </row>
    <row r="47" spans="1:22">
      <c r="A47" s="81" t="s">
        <v>110</v>
      </c>
      <c r="B47" s="130">
        <v>-3.5470401200000001</v>
      </c>
      <c r="C47" s="71"/>
      <c r="D47" s="12">
        <v>0.16704647063532602</v>
      </c>
      <c r="E47" s="10">
        <v>6</v>
      </c>
      <c r="F47" s="10">
        <v>110.00000000000001</v>
      </c>
      <c r="G47" s="6">
        <v>3.36</v>
      </c>
      <c r="H47" s="14">
        <f t="shared" si="0"/>
        <v>-3.71</v>
      </c>
      <c r="I47" s="25"/>
      <c r="J47" s="39"/>
      <c r="K47" s="39"/>
      <c r="L47" s="40"/>
      <c r="M47" s="11" t="s">
        <v>111</v>
      </c>
      <c r="V47" s="135"/>
    </row>
    <row r="48" spans="1:22">
      <c r="A48" s="82" t="s">
        <v>82</v>
      </c>
      <c r="B48" s="130">
        <v>-3.42331926</v>
      </c>
      <c r="C48" s="71"/>
      <c r="D48" s="12">
        <v>0.17164501312359953</v>
      </c>
      <c r="E48" s="10">
        <v>7</v>
      </c>
      <c r="F48" s="10">
        <v>182</v>
      </c>
      <c r="G48" s="6">
        <v>2.67</v>
      </c>
      <c r="H48" s="14">
        <f t="shared" si="0"/>
        <v>-3.74</v>
      </c>
      <c r="I48" s="25"/>
      <c r="J48" s="39"/>
      <c r="K48" s="39"/>
      <c r="L48" s="40"/>
      <c r="M48" s="11" t="s">
        <v>113</v>
      </c>
      <c r="V48" s="135"/>
    </row>
    <row r="49" spans="1:22">
      <c r="A49" s="84" t="s">
        <v>115</v>
      </c>
      <c r="B49" s="130">
        <v>-4.2015154499999996</v>
      </c>
      <c r="C49" s="72"/>
      <c r="D49" s="4">
        <v>0.12558353028546052</v>
      </c>
      <c r="E49" s="2">
        <v>4</v>
      </c>
      <c r="F49" s="10">
        <v>222.00000000000003</v>
      </c>
      <c r="G49" s="6">
        <v>2.56</v>
      </c>
      <c r="H49" s="14">
        <f t="shared" si="0"/>
        <v>-4.03</v>
      </c>
      <c r="I49" s="25"/>
      <c r="J49" s="39"/>
      <c r="K49" s="39"/>
      <c r="L49" s="40"/>
      <c r="M49" s="11" t="s">
        <v>116</v>
      </c>
      <c r="V49" s="135"/>
    </row>
    <row r="50" spans="1:22">
      <c r="A50" s="82" t="s">
        <v>118</v>
      </c>
      <c r="B50" s="130">
        <v>-3.9746657299999999</v>
      </c>
      <c r="C50" s="71"/>
      <c r="D50" s="12">
        <v>0.1568133990664792</v>
      </c>
      <c r="E50" s="10">
        <v>6</v>
      </c>
      <c r="F50" s="10">
        <v>151</v>
      </c>
      <c r="G50" s="6">
        <v>3.27</v>
      </c>
      <c r="H50" s="14">
        <f t="shared" si="0"/>
        <v>-4.03</v>
      </c>
      <c r="I50" s="25"/>
      <c r="J50" s="39"/>
      <c r="K50" s="39"/>
      <c r="L50" s="40"/>
      <c r="M50" s="11" t="s">
        <v>119</v>
      </c>
      <c r="V50" s="135"/>
    </row>
    <row r="51" spans="1:22">
      <c r="A51" s="85" t="s">
        <v>84</v>
      </c>
      <c r="B51" s="130">
        <v>-3.6839376100000001</v>
      </c>
      <c r="C51" s="72"/>
      <c r="D51" s="4">
        <v>0.12789394574374285</v>
      </c>
      <c r="E51" s="2">
        <v>5</v>
      </c>
      <c r="F51" s="10">
        <v>330</v>
      </c>
      <c r="G51" s="6">
        <v>2.87</v>
      </c>
      <c r="H51" s="14">
        <f t="shared" si="0"/>
        <v>-5.42</v>
      </c>
      <c r="I51" s="25"/>
      <c r="J51" s="39"/>
      <c r="K51" s="39"/>
      <c r="L51" s="40"/>
      <c r="M51" s="11" t="s">
        <v>120</v>
      </c>
      <c r="V51" s="135"/>
    </row>
    <row r="52" spans="1:22">
      <c r="A52" s="82" t="s">
        <v>121</v>
      </c>
      <c r="B52" s="130">
        <v>-3.1094978100000001</v>
      </c>
      <c r="C52" s="71"/>
      <c r="D52" s="12">
        <v>0.18012800124370357</v>
      </c>
      <c r="E52" s="10">
        <v>3</v>
      </c>
      <c r="F52" s="10">
        <v>100</v>
      </c>
      <c r="G52" s="6">
        <v>3.53</v>
      </c>
      <c r="H52" s="14">
        <f t="shared" si="0"/>
        <v>-3.78</v>
      </c>
      <c r="I52" s="23"/>
      <c r="J52" s="7"/>
      <c r="K52" s="7"/>
      <c r="L52" s="24"/>
      <c r="M52" s="11" t="s">
        <v>122</v>
      </c>
      <c r="V52" s="135"/>
    </row>
    <row r="53" spans="1:22">
      <c r="A53" s="81" t="s">
        <v>123</v>
      </c>
      <c r="B53" s="130">
        <v>-3.6296854000000001</v>
      </c>
      <c r="C53" s="71"/>
      <c r="D53" s="12">
        <v>0.18062104750721683</v>
      </c>
      <c r="E53" s="10">
        <v>16</v>
      </c>
      <c r="F53" s="10">
        <v>262.5</v>
      </c>
      <c r="G53" s="6">
        <v>1.9</v>
      </c>
      <c r="H53" s="14">
        <f t="shared" si="0"/>
        <v>-3.7749999999999999</v>
      </c>
      <c r="I53" s="23"/>
      <c r="J53" s="7"/>
      <c r="K53" s="7"/>
      <c r="L53" s="24"/>
      <c r="M53" s="11" t="s">
        <v>124</v>
      </c>
      <c r="V53" s="135"/>
    </row>
    <row r="54" spans="1:22">
      <c r="A54" s="84" t="s">
        <v>125</v>
      </c>
      <c r="B54" s="130">
        <v>-3.0547706300000002</v>
      </c>
      <c r="C54" s="72"/>
      <c r="D54" s="4">
        <v>0.22156244268660033</v>
      </c>
      <c r="E54" s="2">
        <v>4</v>
      </c>
      <c r="F54" s="10">
        <v>328.85</v>
      </c>
      <c r="G54" s="6">
        <v>1.87</v>
      </c>
      <c r="H54" s="14">
        <f t="shared" si="0"/>
        <v>-4.4085000000000001</v>
      </c>
      <c r="I54" s="23"/>
      <c r="J54" s="7"/>
      <c r="K54" s="7"/>
      <c r="L54" s="24"/>
      <c r="M54" s="11" t="s">
        <v>126</v>
      </c>
      <c r="V54" s="135"/>
    </row>
    <row r="55" spans="1:22">
      <c r="A55" s="82" t="s">
        <v>127</v>
      </c>
      <c r="B55" s="130">
        <v>-3.8053309199999998</v>
      </c>
      <c r="C55" s="71"/>
      <c r="D55" s="12">
        <v>0.18450811780713378</v>
      </c>
      <c r="E55" s="10">
        <v>33</v>
      </c>
      <c r="F55" s="10">
        <v>167.5</v>
      </c>
      <c r="G55" s="6">
        <v>4.3600000000000003</v>
      </c>
      <c r="H55" s="14">
        <f t="shared" si="0"/>
        <v>-5.2850000000000001</v>
      </c>
      <c r="I55" s="23"/>
      <c r="J55" s="7"/>
      <c r="K55" s="7"/>
      <c r="L55" s="24"/>
      <c r="M55" s="11" t="s">
        <v>128</v>
      </c>
      <c r="V55" s="135"/>
    </row>
    <row r="56" spans="1:22">
      <c r="A56" s="82" t="s">
        <v>86</v>
      </c>
      <c r="B56" s="130">
        <v>-4.6545294100000003</v>
      </c>
      <c r="C56" s="71"/>
      <c r="D56" s="12">
        <v>0.15609203233531485</v>
      </c>
      <c r="E56" s="10">
        <v>3</v>
      </c>
      <c r="F56" s="10">
        <v>223</v>
      </c>
      <c r="G56" s="6">
        <v>2.99</v>
      </c>
      <c r="H56" s="14">
        <f t="shared" si="0"/>
        <v>-4.4700000000000006</v>
      </c>
      <c r="I56" s="23"/>
      <c r="J56" s="7"/>
      <c r="K56" s="7"/>
      <c r="L56" s="24"/>
      <c r="M56" s="11" t="s">
        <v>129</v>
      </c>
      <c r="V56" s="135"/>
    </row>
    <row r="57" spans="1:22">
      <c r="A57" s="82" t="s">
        <v>89</v>
      </c>
      <c r="B57" s="130">
        <v>-3.9549536199999999</v>
      </c>
      <c r="C57" s="71"/>
      <c r="D57" s="12">
        <v>0.20872343532408041</v>
      </c>
      <c r="E57" s="10">
        <v>3</v>
      </c>
      <c r="F57" s="10">
        <v>210.5</v>
      </c>
      <c r="G57" s="6">
        <v>2.72</v>
      </c>
      <c r="H57" s="14">
        <f t="shared" si="0"/>
        <v>-4.0750000000000002</v>
      </c>
      <c r="I57" s="26"/>
      <c r="J57" s="27"/>
      <c r="K57" s="27"/>
      <c r="L57" s="28"/>
      <c r="M57" s="11" t="s">
        <v>130</v>
      </c>
      <c r="V57" s="135"/>
    </row>
    <row r="58" spans="1:22">
      <c r="A58" s="84" t="s">
        <v>131</v>
      </c>
      <c r="B58" s="130">
        <v>-2.6362523200000001</v>
      </c>
      <c r="C58" s="72"/>
      <c r="D58" s="4">
        <v>0.1297319013416561</v>
      </c>
      <c r="E58" s="2">
        <v>3</v>
      </c>
      <c r="F58" s="10">
        <v>209.75</v>
      </c>
      <c r="G58" s="6">
        <v>3.37</v>
      </c>
      <c r="H58" s="14">
        <f t="shared" si="0"/>
        <v>-4.7175000000000002</v>
      </c>
      <c r="J58" s="14"/>
      <c r="K58" s="14"/>
      <c r="L58" s="14"/>
      <c r="M58" s="11" t="s">
        <v>132</v>
      </c>
      <c r="V58" s="135"/>
    </row>
    <row r="59" spans="1:22">
      <c r="A59" s="81" t="s">
        <v>92</v>
      </c>
      <c r="B59" s="130">
        <v>-2.9493352800000001</v>
      </c>
      <c r="C59" s="71"/>
      <c r="D59" s="12">
        <v>0.14124198841117766</v>
      </c>
      <c r="E59" s="10">
        <v>3</v>
      </c>
      <c r="F59" s="10">
        <v>53.5</v>
      </c>
      <c r="G59" s="6">
        <v>3.43</v>
      </c>
      <c r="H59" s="14">
        <f t="shared" si="0"/>
        <v>-3.2150000000000003</v>
      </c>
      <c r="I59" s="70" t="s">
        <v>133</v>
      </c>
      <c r="J59" s="131">
        <v>2641</v>
      </c>
      <c r="K59" s="34"/>
      <c r="L59" s="14"/>
      <c r="M59" s="11" t="s">
        <v>134</v>
      </c>
      <c r="V59" s="135"/>
    </row>
    <row r="60" spans="1:22">
      <c r="A60" s="81" t="s">
        <v>135</v>
      </c>
      <c r="B60" s="130">
        <v>-1.4679861999999999</v>
      </c>
      <c r="C60" s="71"/>
      <c r="D60" s="12">
        <v>0.17069281866408892</v>
      </c>
      <c r="E60" s="10">
        <v>6</v>
      </c>
      <c r="F60" s="10">
        <v>270</v>
      </c>
      <c r="G60" s="6">
        <v>0.05</v>
      </c>
      <c r="H60" s="14">
        <f t="shared" si="0"/>
        <v>-2</v>
      </c>
      <c r="I60" s="70" t="s">
        <v>136</v>
      </c>
      <c r="J60" s="131">
        <v>955</v>
      </c>
      <c r="K60" s="34"/>
      <c r="L60" s="14"/>
      <c r="M60" s="11" t="s">
        <v>137</v>
      </c>
      <c r="V60" s="135"/>
    </row>
    <row r="61" spans="1:22">
      <c r="A61" s="82" t="s">
        <v>138</v>
      </c>
      <c r="B61" s="130">
        <v>-2.0858937800000001</v>
      </c>
      <c r="C61" s="71"/>
      <c r="D61" s="12">
        <v>0.2061475968316322</v>
      </c>
      <c r="E61" s="10">
        <v>3</v>
      </c>
      <c r="F61" s="10">
        <v>143.75</v>
      </c>
      <c r="G61" s="6">
        <v>1.6</v>
      </c>
      <c r="H61" s="14">
        <f t="shared" si="0"/>
        <v>-2.2875000000000001</v>
      </c>
      <c r="I61" s="70" t="s">
        <v>139</v>
      </c>
      <c r="J61" s="75">
        <f>COUNTA(A23:A122)</f>
        <v>100</v>
      </c>
      <c r="K61" s="34"/>
      <c r="L61" s="14"/>
      <c r="M61" s="11" t="s">
        <v>140</v>
      </c>
      <c r="V61" s="135"/>
    </row>
    <row r="62" spans="1:22">
      <c r="A62" s="81" t="s">
        <v>141</v>
      </c>
      <c r="B62" s="130">
        <v>-4.4823216600000002</v>
      </c>
      <c r="C62" s="71"/>
      <c r="D62" s="12">
        <v>0.18021422622763517</v>
      </c>
      <c r="E62" s="10">
        <v>5</v>
      </c>
      <c r="F62" s="10">
        <v>214.5</v>
      </c>
      <c r="G62" s="6">
        <v>3.61</v>
      </c>
      <c r="H62" s="14">
        <f t="shared" si="0"/>
        <v>-5.0049999999999999</v>
      </c>
      <c r="I62" s="14"/>
      <c r="J62" s="14"/>
      <c r="K62" s="14"/>
      <c r="L62" s="14"/>
      <c r="M62" s="11" t="s">
        <v>142</v>
      </c>
      <c r="V62" s="135"/>
    </row>
    <row r="63" spans="1:22">
      <c r="A63" s="82" t="s">
        <v>143</v>
      </c>
      <c r="B63" s="130">
        <v>-4.3830070299999999</v>
      </c>
      <c r="C63" s="71"/>
      <c r="D63" s="12">
        <v>0.19225415374507382</v>
      </c>
      <c r="E63" s="10">
        <v>8</v>
      </c>
      <c r="F63" s="10">
        <v>255.29999999999998</v>
      </c>
      <c r="G63" s="6">
        <v>3.82</v>
      </c>
      <c r="H63" s="14">
        <f t="shared" si="0"/>
        <v>-5.6229999999999993</v>
      </c>
      <c r="I63" s="19" t="s">
        <v>144</v>
      </c>
      <c r="J63" s="17"/>
      <c r="K63" s="17"/>
      <c r="L63" s="18"/>
      <c r="M63" s="11" t="s">
        <v>145</v>
      </c>
      <c r="V63" s="135"/>
    </row>
    <row r="64" spans="1:22">
      <c r="A64" s="82" t="s">
        <v>146</v>
      </c>
      <c r="B64" s="130">
        <v>-3.3151861199999999</v>
      </c>
      <c r="C64" s="71"/>
      <c r="D64" s="12">
        <v>0.17</v>
      </c>
      <c r="E64" s="10">
        <v>3</v>
      </c>
      <c r="F64" s="10">
        <v>189</v>
      </c>
      <c r="G64" s="6">
        <v>1.34</v>
      </c>
      <c r="H64" s="14">
        <f t="shared" si="0"/>
        <v>-2.4800000000000004</v>
      </c>
      <c r="I64" s="20"/>
      <c r="J64" s="21"/>
      <c r="K64" s="21"/>
      <c r="L64" s="22"/>
      <c r="M64" s="11" t="s">
        <v>148</v>
      </c>
      <c r="V64" s="135"/>
    </row>
    <row r="65" spans="1:22">
      <c r="A65" s="82" t="s">
        <v>149</v>
      </c>
      <c r="B65" s="130">
        <v>-3.1123788299999999</v>
      </c>
      <c r="C65" s="71"/>
      <c r="D65" s="12">
        <v>0.19794493160510693</v>
      </c>
      <c r="E65" s="10">
        <v>4</v>
      </c>
      <c r="F65" s="10">
        <v>243.5</v>
      </c>
      <c r="G65" s="6">
        <v>1.34</v>
      </c>
      <c r="H65" s="14">
        <f t="shared" si="0"/>
        <v>-3.0250000000000004</v>
      </c>
      <c r="I65" s="23"/>
      <c r="J65" s="7"/>
      <c r="K65" s="7"/>
      <c r="L65" s="24"/>
      <c r="M65" s="11" t="s">
        <v>151</v>
      </c>
      <c r="V65" s="135"/>
    </row>
    <row r="66" spans="1:22">
      <c r="A66" s="81" t="s">
        <v>95</v>
      </c>
      <c r="B66" s="130">
        <v>-2.6030351199999999</v>
      </c>
      <c r="C66" s="71"/>
      <c r="D66" s="12">
        <v>0.21056099074293383</v>
      </c>
      <c r="E66" s="10">
        <v>3</v>
      </c>
      <c r="F66" s="10">
        <v>36.5</v>
      </c>
      <c r="G66" s="6">
        <v>2.74</v>
      </c>
      <c r="H66" s="14">
        <f t="shared" si="0"/>
        <v>-2.3550000000000004</v>
      </c>
      <c r="I66" s="23"/>
      <c r="J66" s="7"/>
      <c r="K66" s="7"/>
      <c r="L66" s="24"/>
      <c r="M66" s="11" t="s">
        <v>152</v>
      </c>
      <c r="V66" s="135"/>
    </row>
    <row r="67" spans="1:22">
      <c r="A67" s="83" t="s">
        <v>153</v>
      </c>
      <c r="B67" s="130">
        <v>-4.5152165699999998</v>
      </c>
      <c r="C67" s="71"/>
      <c r="D67" s="12">
        <v>0.21092434073951916</v>
      </c>
      <c r="E67" s="10">
        <v>10</v>
      </c>
      <c r="F67" s="10">
        <v>186</v>
      </c>
      <c r="G67" s="6">
        <v>3.4</v>
      </c>
      <c r="H67" s="14">
        <f t="shared" si="0"/>
        <v>-4.51</v>
      </c>
      <c r="I67" s="23"/>
      <c r="J67" s="7"/>
      <c r="K67" s="7"/>
      <c r="L67" s="24"/>
      <c r="M67" s="11" t="s">
        <v>154</v>
      </c>
      <c r="V67" s="135"/>
    </row>
    <row r="68" spans="1:22">
      <c r="A68" s="81" t="s">
        <v>98</v>
      </c>
      <c r="B68" s="130">
        <v>-3.7442398300000002</v>
      </c>
      <c r="C68" s="71"/>
      <c r="D68" s="12">
        <v>0.18695478693957188</v>
      </c>
      <c r="E68" s="10">
        <v>3</v>
      </c>
      <c r="F68" s="10">
        <v>252.99999999999997</v>
      </c>
      <c r="G68" s="6">
        <v>2.35</v>
      </c>
      <c r="H68" s="14">
        <f t="shared" si="0"/>
        <v>-4.13</v>
      </c>
      <c r="I68" s="23"/>
      <c r="J68" s="7"/>
      <c r="K68" s="7"/>
      <c r="L68" s="24"/>
      <c r="M68" s="11" t="s">
        <v>155</v>
      </c>
      <c r="V68" s="135"/>
    </row>
    <row r="69" spans="1:22">
      <c r="A69" s="83" t="s">
        <v>156</v>
      </c>
      <c r="B69" s="130">
        <v>-4.2081368000000001</v>
      </c>
      <c r="C69" s="71"/>
      <c r="D69" s="12">
        <v>0.20491085989689112</v>
      </c>
      <c r="E69" s="10">
        <v>23</v>
      </c>
      <c r="F69" s="10">
        <v>111.00000000000001</v>
      </c>
      <c r="G69" s="6">
        <v>3.68</v>
      </c>
      <c r="H69" s="14">
        <f t="shared" si="0"/>
        <v>-4.04</v>
      </c>
      <c r="I69" s="23"/>
      <c r="J69" s="7"/>
      <c r="K69" s="7"/>
      <c r="L69" s="24"/>
      <c r="M69" s="11" t="s">
        <v>157</v>
      </c>
      <c r="V69" s="135"/>
    </row>
    <row r="70" spans="1:22">
      <c r="A70" s="81" t="s">
        <v>158</v>
      </c>
      <c r="B70" s="130">
        <v>-3.7410814499999998</v>
      </c>
      <c r="C70" s="71"/>
      <c r="D70" s="12">
        <v>0.15545016183846921</v>
      </c>
      <c r="E70" s="10">
        <v>6</v>
      </c>
      <c r="F70" s="10">
        <v>250</v>
      </c>
      <c r="G70" s="6">
        <v>-0.04</v>
      </c>
      <c r="H70" s="14">
        <f t="shared" si="0"/>
        <v>-1.71</v>
      </c>
      <c r="I70" s="23"/>
      <c r="J70" s="7"/>
      <c r="K70" s="7"/>
      <c r="L70" s="24"/>
      <c r="M70" s="11" t="s">
        <v>159</v>
      </c>
      <c r="V70" s="135"/>
    </row>
    <row r="71" spans="1:22">
      <c r="A71" s="82" t="s">
        <v>160</v>
      </c>
      <c r="B71" s="130">
        <v>-1.8589830899999999</v>
      </c>
      <c r="C71" s="71"/>
      <c r="D71" s="12">
        <v>0.13261436390895148</v>
      </c>
      <c r="E71" s="10">
        <v>3</v>
      </c>
      <c r="F71" s="10">
        <v>250</v>
      </c>
      <c r="G71" s="6">
        <v>-1.97</v>
      </c>
      <c r="H71" s="14">
        <f t="shared" si="0"/>
        <v>0.21999999999999975</v>
      </c>
      <c r="I71" s="23"/>
      <c r="J71" s="7"/>
      <c r="K71" s="7"/>
      <c r="L71" s="24"/>
      <c r="M71" s="11" t="s">
        <v>161</v>
      </c>
      <c r="V71" s="135"/>
    </row>
    <row r="72" spans="1:22">
      <c r="A72" s="82" t="s">
        <v>162</v>
      </c>
      <c r="B72" s="130">
        <v>-3.6136606699999998</v>
      </c>
      <c r="C72" s="71"/>
      <c r="D72" s="12">
        <v>0.21159815676624968</v>
      </c>
      <c r="E72" s="10">
        <v>9</v>
      </c>
      <c r="F72" s="10">
        <v>208.5</v>
      </c>
      <c r="G72" s="6">
        <v>2.08</v>
      </c>
      <c r="H72" s="14">
        <f t="shared" si="0"/>
        <v>-3.415</v>
      </c>
      <c r="I72" s="23"/>
      <c r="J72" s="7"/>
      <c r="K72" s="7"/>
      <c r="L72" s="24"/>
      <c r="M72" s="11" t="s">
        <v>163</v>
      </c>
      <c r="V72" s="135"/>
    </row>
    <row r="73" spans="1:22">
      <c r="A73" s="82" t="s">
        <v>164</v>
      </c>
      <c r="B73" s="130">
        <v>-4.25482476</v>
      </c>
      <c r="C73" s="71"/>
      <c r="D73" s="12">
        <v>0.1900151243705871</v>
      </c>
      <c r="E73" s="10">
        <v>15</v>
      </c>
      <c r="F73" s="10">
        <v>220.00000000000003</v>
      </c>
      <c r="G73" s="6">
        <v>2.69</v>
      </c>
      <c r="H73" s="14">
        <f t="shared" si="0"/>
        <v>-4.1400000000000006</v>
      </c>
      <c r="I73" s="23"/>
      <c r="J73" s="7"/>
      <c r="K73" s="7"/>
      <c r="L73" s="24"/>
      <c r="M73" s="11" t="s">
        <v>165</v>
      </c>
      <c r="V73" s="135"/>
    </row>
    <row r="74" spans="1:22">
      <c r="A74" s="82" t="s">
        <v>166</v>
      </c>
      <c r="B74" s="130">
        <v>-4.1168805199999996</v>
      </c>
      <c r="C74" s="71"/>
      <c r="D74" s="12">
        <v>0.16978183023026608</v>
      </c>
      <c r="E74" s="10">
        <v>10</v>
      </c>
      <c r="F74" s="10">
        <v>151</v>
      </c>
      <c r="G74" s="6">
        <v>4.43</v>
      </c>
      <c r="H74" s="14">
        <f t="shared" si="0"/>
        <v>-5.1899999999999995</v>
      </c>
      <c r="I74" s="23"/>
      <c r="J74" s="7"/>
      <c r="K74" s="7"/>
      <c r="L74" s="24"/>
      <c r="M74" s="11" t="s">
        <v>167</v>
      </c>
      <c r="V74" s="135"/>
    </row>
    <row r="75" spans="1:22">
      <c r="A75" s="83" t="s">
        <v>100</v>
      </c>
      <c r="B75" s="130">
        <v>-3.2309783900000002</v>
      </c>
      <c r="C75" s="71"/>
      <c r="D75" s="12">
        <v>0.19416214604145643</v>
      </c>
      <c r="E75" s="10">
        <v>7</v>
      </c>
      <c r="F75" s="10">
        <v>154.5</v>
      </c>
      <c r="G75" s="6">
        <v>4.22</v>
      </c>
      <c r="H75" s="14">
        <f t="shared" si="0"/>
        <v>-5.0149999999999997</v>
      </c>
      <c r="I75" s="23"/>
      <c r="J75" s="7"/>
      <c r="K75" s="7"/>
      <c r="L75" s="24"/>
      <c r="M75" s="11" t="s">
        <v>168</v>
      </c>
      <c r="V75" s="135"/>
    </row>
    <row r="76" spans="1:22">
      <c r="A76" s="82" t="s">
        <v>169</v>
      </c>
      <c r="B76" s="130">
        <v>-4.1898309300000003</v>
      </c>
      <c r="C76" s="71"/>
      <c r="D76" s="12">
        <v>0.16048013551961601</v>
      </c>
      <c r="E76" s="10">
        <v>5</v>
      </c>
      <c r="F76" s="10">
        <v>167.75</v>
      </c>
      <c r="G76" s="6">
        <v>2.87</v>
      </c>
      <c r="H76" s="14">
        <f t="shared" si="0"/>
        <v>-3.7975000000000003</v>
      </c>
      <c r="I76" s="23"/>
      <c r="J76" s="7"/>
      <c r="K76" s="7"/>
      <c r="L76" s="24"/>
      <c r="M76" s="11" t="s">
        <v>170</v>
      </c>
      <c r="V76" s="135"/>
    </row>
    <row r="77" spans="1:22">
      <c r="A77" s="84" t="s">
        <v>171</v>
      </c>
      <c r="B77" s="130">
        <v>-4.5248033699999999</v>
      </c>
      <c r="C77" s="72"/>
      <c r="D77" s="4">
        <v>0.22239504833634874</v>
      </c>
      <c r="E77" s="2">
        <v>21</v>
      </c>
      <c r="F77" s="10">
        <v>159</v>
      </c>
      <c r="G77" s="6">
        <v>3.93</v>
      </c>
      <c r="H77" s="14">
        <f t="shared" si="0"/>
        <v>-4.7700000000000005</v>
      </c>
      <c r="I77" s="23"/>
      <c r="J77" s="7"/>
      <c r="K77" s="7"/>
      <c r="L77" s="24"/>
      <c r="M77" s="11" t="s">
        <v>172</v>
      </c>
      <c r="V77" s="135"/>
    </row>
    <row r="78" spans="1:22">
      <c r="A78" s="82" t="s">
        <v>173</v>
      </c>
      <c r="B78" s="130">
        <v>-3.7314913000000001</v>
      </c>
      <c r="C78" s="71"/>
      <c r="D78" s="12">
        <v>0.21209434799218393</v>
      </c>
      <c r="E78" s="10">
        <v>5</v>
      </c>
      <c r="F78" s="10">
        <v>213.49999999999997</v>
      </c>
      <c r="G78" s="6">
        <v>3.04</v>
      </c>
      <c r="H78" s="14">
        <f t="shared" si="0"/>
        <v>-4.4249999999999998</v>
      </c>
      <c r="I78" s="23"/>
      <c r="J78" s="7"/>
      <c r="K78" s="7"/>
      <c r="L78" s="24"/>
      <c r="M78" s="11" t="s">
        <v>174</v>
      </c>
      <c r="V78" s="135"/>
    </row>
    <row r="79" spans="1:22">
      <c r="A79" s="82" t="s">
        <v>175</v>
      </c>
      <c r="B79" s="130">
        <v>-3.6964342399999999</v>
      </c>
      <c r="C79" s="71"/>
      <c r="D79" s="12">
        <v>0.1407224156406931</v>
      </c>
      <c r="E79" s="10">
        <v>11</v>
      </c>
      <c r="F79" s="10">
        <v>146</v>
      </c>
      <c r="G79" s="6">
        <v>4.21</v>
      </c>
      <c r="H79" s="14">
        <f t="shared" si="0"/>
        <v>-4.92</v>
      </c>
      <c r="I79" s="23"/>
      <c r="J79" s="7"/>
      <c r="K79" s="7"/>
      <c r="L79" s="24"/>
      <c r="M79" s="11" t="s">
        <v>176</v>
      </c>
      <c r="V79" s="135"/>
    </row>
    <row r="80" spans="1:22">
      <c r="A80" s="82" t="s">
        <v>177</v>
      </c>
      <c r="B80" s="130">
        <v>-3.6493446600000001</v>
      </c>
      <c r="C80" s="71"/>
      <c r="D80" s="12">
        <v>0.21748916450754371</v>
      </c>
      <c r="E80" s="10">
        <v>5</v>
      </c>
      <c r="F80" s="10">
        <v>92.333333333333329</v>
      </c>
      <c r="G80" s="6">
        <v>4.21</v>
      </c>
      <c r="H80" s="14">
        <f t="shared" si="0"/>
        <v>-4.3833333333333329</v>
      </c>
      <c r="I80" s="23"/>
      <c r="J80" s="7"/>
      <c r="K80" s="7"/>
      <c r="L80" s="24"/>
      <c r="M80" s="11" t="s">
        <v>178</v>
      </c>
      <c r="V80" s="135"/>
    </row>
    <row r="81" spans="1:22">
      <c r="A81" s="81" t="s">
        <v>179</v>
      </c>
      <c r="B81" s="130">
        <v>-4.29045554</v>
      </c>
      <c r="C81" s="71"/>
      <c r="D81" s="12">
        <v>0.20531013145176411</v>
      </c>
      <c r="E81" s="10">
        <v>8</v>
      </c>
      <c r="F81" s="10">
        <v>256</v>
      </c>
      <c r="G81" s="6">
        <v>2.71</v>
      </c>
      <c r="H81" s="14">
        <f t="shared" si="0"/>
        <v>-4.5199999999999996</v>
      </c>
      <c r="I81" s="23"/>
      <c r="J81" s="7"/>
      <c r="K81" s="7"/>
      <c r="L81" s="24"/>
      <c r="M81" s="11" t="s">
        <v>180</v>
      </c>
      <c r="V81" s="135"/>
    </row>
    <row r="82" spans="1:22">
      <c r="A82" s="81" t="s">
        <v>181</v>
      </c>
      <c r="B82" s="130">
        <v>-4.48755595</v>
      </c>
      <c r="C82" s="71"/>
      <c r="D82" s="12">
        <v>0.21176785142223761</v>
      </c>
      <c r="E82" s="10">
        <v>3</v>
      </c>
      <c r="F82" s="10">
        <v>80</v>
      </c>
      <c r="G82" s="6">
        <v>3.37</v>
      </c>
      <c r="H82" s="14">
        <f t="shared" si="0"/>
        <v>-3.42</v>
      </c>
      <c r="I82" s="23"/>
      <c r="J82" s="7"/>
      <c r="K82" s="7"/>
      <c r="L82" s="24"/>
      <c r="M82" s="11" t="s">
        <v>182</v>
      </c>
      <c r="V82" s="135"/>
    </row>
    <row r="83" spans="1:22">
      <c r="A83" s="81" t="s">
        <v>183</v>
      </c>
      <c r="B83" s="130">
        <v>-3.5498251399999998</v>
      </c>
      <c r="C83" s="71"/>
      <c r="D83" s="12">
        <v>0.16217657762412213</v>
      </c>
      <c r="E83" s="10">
        <v>17</v>
      </c>
      <c r="F83" s="10">
        <v>153</v>
      </c>
      <c r="G83" s="6">
        <v>3.04</v>
      </c>
      <c r="H83" s="14">
        <f t="shared" si="0"/>
        <v>-3.8200000000000003</v>
      </c>
      <c r="I83" s="23"/>
      <c r="J83" s="7"/>
      <c r="K83" s="7"/>
      <c r="L83" s="24"/>
      <c r="M83" s="11" t="s">
        <v>184</v>
      </c>
      <c r="V83" s="135"/>
    </row>
    <row r="84" spans="1:22">
      <c r="A84" s="82" t="s">
        <v>185</v>
      </c>
      <c r="B84" s="130">
        <v>-3.8770821</v>
      </c>
      <c r="C84" s="71"/>
      <c r="D84" s="12">
        <v>0.20448827496623867</v>
      </c>
      <c r="E84" s="10">
        <v>3</v>
      </c>
      <c r="F84" s="10">
        <v>349.84</v>
      </c>
      <c r="G84" s="6">
        <v>4.75</v>
      </c>
      <c r="H84" s="14">
        <f t="shared" si="0"/>
        <v>-7.4984000000000002</v>
      </c>
      <c r="I84" s="23"/>
      <c r="J84" s="7"/>
      <c r="K84" s="7"/>
      <c r="L84" s="24"/>
      <c r="M84" s="11" t="s">
        <v>186</v>
      </c>
      <c r="V84" s="135"/>
    </row>
    <row r="85" spans="1:22">
      <c r="A85" s="82" t="s">
        <v>187</v>
      </c>
      <c r="B85" s="130">
        <v>-3.3370793999999999</v>
      </c>
      <c r="C85" s="71"/>
      <c r="D85" s="12">
        <v>0.14358294446577732</v>
      </c>
      <c r="E85" s="10">
        <v>6</v>
      </c>
      <c r="F85" s="10">
        <v>248</v>
      </c>
      <c r="G85" s="6">
        <v>2.65</v>
      </c>
      <c r="H85" s="14">
        <f t="shared" si="0"/>
        <v>-4.38</v>
      </c>
      <c r="I85" s="23"/>
      <c r="J85" s="7"/>
      <c r="K85" s="7"/>
      <c r="L85" s="24"/>
      <c r="M85" s="11" t="s">
        <v>188</v>
      </c>
      <c r="V85" s="135"/>
    </row>
    <row r="86" spans="1:22">
      <c r="A86" s="82" t="s">
        <v>189</v>
      </c>
      <c r="B86" s="130">
        <v>-3.60978537</v>
      </c>
      <c r="C86" s="71"/>
      <c r="D86" s="12">
        <v>0.15384096988991314</v>
      </c>
      <c r="E86" s="10">
        <v>11</v>
      </c>
      <c r="F86" s="10">
        <v>173</v>
      </c>
      <c r="G86" s="6">
        <v>2.1800000000000002</v>
      </c>
      <c r="H86" s="14">
        <f t="shared" si="0"/>
        <v>-3.16</v>
      </c>
      <c r="I86" s="23"/>
      <c r="J86" s="7"/>
      <c r="K86" s="7"/>
      <c r="L86" s="24"/>
      <c r="M86" s="11" t="s">
        <v>190</v>
      </c>
      <c r="V86" s="135"/>
    </row>
    <row r="87" spans="1:22">
      <c r="A87" s="82" t="s">
        <v>191</v>
      </c>
      <c r="B87" s="130">
        <v>-4.3904978999999997</v>
      </c>
      <c r="C87" s="71"/>
      <c r="D87" s="12">
        <v>0.14176528631434945</v>
      </c>
      <c r="E87" s="10">
        <v>5</v>
      </c>
      <c r="F87" s="10">
        <v>143.75</v>
      </c>
      <c r="G87" s="6">
        <v>2.76</v>
      </c>
      <c r="H87" s="14">
        <f t="shared" ref="H87:H122" si="1">0.5-G87-0.01*(F87-25)</f>
        <v>-3.4474999999999998</v>
      </c>
      <c r="I87" s="23"/>
      <c r="J87" s="7"/>
      <c r="K87" s="7"/>
      <c r="L87" s="24"/>
      <c r="M87" s="11" t="s">
        <v>192</v>
      </c>
      <c r="V87" s="135"/>
    </row>
    <row r="88" spans="1:22">
      <c r="A88" s="82" t="s">
        <v>193</v>
      </c>
      <c r="B88" s="130">
        <v>-3.8409372899999998</v>
      </c>
      <c r="C88" s="71"/>
      <c r="D88" s="12">
        <v>0.16213928191469343</v>
      </c>
      <c r="E88" s="10">
        <v>19</v>
      </c>
      <c r="F88" s="10">
        <v>220.5</v>
      </c>
      <c r="G88" s="6">
        <v>1.27</v>
      </c>
      <c r="H88" s="14">
        <f t="shared" si="1"/>
        <v>-2.7250000000000001</v>
      </c>
      <c r="I88" s="23"/>
      <c r="J88" s="7"/>
      <c r="K88" s="7"/>
      <c r="L88" s="24"/>
      <c r="M88" s="11" t="s">
        <v>194</v>
      </c>
      <c r="V88" s="135"/>
    </row>
    <row r="89" spans="1:22">
      <c r="A89" s="82" t="s">
        <v>195</v>
      </c>
      <c r="B89" s="130">
        <v>-3.2830139300000001</v>
      </c>
      <c r="C89" s="71"/>
      <c r="D89" s="12">
        <v>0.16127920198135692</v>
      </c>
      <c r="E89" s="10">
        <v>5</v>
      </c>
      <c r="F89" s="10">
        <v>214</v>
      </c>
      <c r="G89" s="6">
        <v>3.83</v>
      </c>
      <c r="H89" s="14">
        <f t="shared" si="1"/>
        <v>-5.2200000000000006</v>
      </c>
      <c r="I89" s="23"/>
      <c r="J89" s="7"/>
      <c r="K89" s="7"/>
      <c r="L89" s="24"/>
      <c r="M89" s="11" t="s">
        <v>196</v>
      </c>
      <c r="V89" s="135"/>
    </row>
    <row r="90" spans="1:22">
      <c r="A90" s="83" t="s">
        <v>197</v>
      </c>
      <c r="B90" s="130">
        <v>-3.706556</v>
      </c>
      <c r="C90" s="71"/>
      <c r="D90" s="12">
        <v>0.13869006117838048</v>
      </c>
      <c r="E90" s="10">
        <v>3</v>
      </c>
      <c r="F90" s="10">
        <v>176</v>
      </c>
      <c r="G90" s="6">
        <v>2.88</v>
      </c>
      <c r="H90" s="14">
        <f t="shared" si="1"/>
        <v>-3.8899999999999997</v>
      </c>
      <c r="I90" s="23"/>
      <c r="J90" s="7"/>
      <c r="K90" s="7"/>
      <c r="L90" s="24"/>
      <c r="M90" s="11" t="s">
        <v>198</v>
      </c>
      <c r="V90" s="135"/>
    </row>
    <row r="91" spans="1:22">
      <c r="A91" s="85" t="s">
        <v>199</v>
      </c>
      <c r="B91" s="130">
        <v>-3.7081599000000001</v>
      </c>
      <c r="C91" s="72"/>
      <c r="D91" s="4">
        <v>0.1259834086188602</v>
      </c>
      <c r="E91" s="2">
        <v>14</v>
      </c>
      <c r="F91" s="10">
        <v>253.5</v>
      </c>
      <c r="G91" s="6">
        <v>1.54</v>
      </c>
      <c r="H91" s="14">
        <f t="shared" si="1"/>
        <v>-3.3250000000000002</v>
      </c>
      <c r="I91" s="23"/>
      <c r="J91" s="7"/>
      <c r="K91" s="7"/>
      <c r="L91" s="24"/>
      <c r="M91" s="11" t="s">
        <v>200</v>
      </c>
      <c r="V91" s="135"/>
    </row>
    <row r="92" spans="1:22">
      <c r="A92" s="82" t="s">
        <v>201</v>
      </c>
      <c r="B92" s="130">
        <v>-3.7721893799999999</v>
      </c>
      <c r="C92" s="71"/>
      <c r="D92" s="12">
        <v>0.16504944177542516</v>
      </c>
      <c r="E92" s="10">
        <v>5</v>
      </c>
      <c r="F92" s="10">
        <v>205.50000000000003</v>
      </c>
      <c r="G92" s="6">
        <v>2.4500000000000002</v>
      </c>
      <c r="H92" s="14">
        <f t="shared" si="1"/>
        <v>-3.7550000000000008</v>
      </c>
      <c r="I92" s="23"/>
      <c r="J92" s="7"/>
      <c r="K92" s="7"/>
      <c r="L92" s="24"/>
      <c r="M92" s="11" t="s">
        <v>202</v>
      </c>
      <c r="V92" s="135"/>
    </row>
    <row r="93" spans="1:22">
      <c r="A93" s="83" t="s">
        <v>203</v>
      </c>
      <c r="B93" s="130">
        <v>-3.8230350400000002</v>
      </c>
      <c r="C93" s="71"/>
      <c r="D93" s="12">
        <v>0.19426266518058349</v>
      </c>
      <c r="E93" s="10">
        <v>3</v>
      </c>
      <c r="F93" s="10">
        <v>96</v>
      </c>
      <c r="G93" s="6">
        <v>3.49</v>
      </c>
      <c r="H93" s="14">
        <f t="shared" si="1"/>
        <v>-3.7</v>
      </c>
      <c r="I93" s="23"/>
      <c r="J93" s="7"/>
      <c r="K93" s="7"/>
      <c r="L93" s="24"/>
      <c r="M93" s="11" t="s">
        <v>204</v>
      </c>
      <c r="V93" s="135"/>
    </row>
    <row r="94" spans="1:22">
      <c r="A94" s="82" t="s">
        <v>205</v>
      </c>
      <c r="B94" s="130">
        <v>-4.6065536500000004</v>
      </c>
      <c r="C94" s="71"/>
      <c r="D94" s="12">
        <v>0.18894337149737056</v>
      </c>
      <c r="E94" s="10">
        <v>12</v>
      </c>
      <c r="F94" s="10">
        <v>147.25</v>
      </c>
      <c r="G94" s="6">
        <v>3.86</v>
      </c>
      <c r="H94" s="14">
        <f t="shared" si="1"/>
        <v>-4.5824999999999996</v>
      </c>
      <c r="I94" s="23"/>
      <c r="J94" s="7"/>
      <c r="K94" s="7"/>
      <c r="L94" s="24"/>
      <c r="M94" s="11" t="s">
        <v>206</v>
      </c>
      <c r="V94" s="135"/>
    </row>
    <row r="95" spans="1:22">
      <c r="A95" s="82" t="s">
        <v>207</v>
      </c>
      <c r="B95" s="130">
        <v>-3.9423844099999998</v>
      </c>
      <c r="C95" s="71"/>
      <c r="D95" s="12">
        <v>0.17391407185160324</v>
      </c>
      <c r="E95" s="10">
        <v>6</v>
      </c>
      <c r="F95" s="10">
        <v>97</v>
      </c>
      <c r="G95" s="6">
        <v>3.94</v>
      </c>
      <c r="H95" s="14">
        <f t="shared" si="1"/>
        <v>-4.16</v>
      </c>
      <c r="I95" s="23"/>
      <c r="J95" s="7"/>
      <c r="K95" s="7"/>
      <c r="L95" s="24"/>
      <c r="M95" s="11" t="s">
        <v>208</v>
      </c>
      <c r="V95" s="135"/>
    </row>
    <row r="96" spans="1:22">
      <c r="A96" s="81" t="s">
        <v>209</v>
      </c>
      <c r="B96" s="130">
        <v>-2.0261451400000001</v>
      </c>
      <c r="C96" s="71"/>
      <c r="D96" s="12">
        <v>0.13764369691033657</v>
      </c>
      <c r="E96" s="10">
        <v>10</v>
      </c>
      <c r="F96" s="10">
        <v>134.5</v>
      </c>
      <c r="G96" s="6">
        <v>2.04</v>
      </c>
      <c r="H96" s="14">
        <f t="shared" si="1"/>
        <v>-2.6349999999999998</v>
      </c>
      <c r="I96" s="23"/>
      <c r="J96" s="7"/>
      <c r="K96" s="7"/>
      <c r="L96" s="24"/>
      <c r="M96" s="11" t="s">
        <v>210</v>
      </c>
      <c r="V96" s="135"/>
    </row>
    <row r="97" spans="1:22">
      <c r="A97" s="82" t="s">
        <v>211</v>
      </c>
      <c r="B97" s="130">
        <v>-4.4380172</v>
      </c>
      <c r="C97" s="71"/>
      <c r="D97" s="12">
        <v>0.16245746888591447</v>
      </c>
      <c r="E97" s="10">
        <v>7</v>
      </c>
      <c r="F97" s="10">
        <v>139</v>
      </c>
      <c r="G97" s="6">
        <v>2.66</v>
      </c>
      <c r="H97" s="14">
        <f t="shared" si="1"/>
        <v>-3.3000000000000003</v>
      </c>
      <c r="I97" s="23"/>
      <c r="J97" s="7"/>
      <c r="K97" s="7"/>
      <c r="L97" s="24"/>
      <c r="M97" s="11" t="s">
        <v>212</v>
      </c>
      <c r="V97" s="135"/>
    </row>
    <row r="98" spans="1:22">
      <c r="A98" s="82" t="s">
        <v>213</v>
      </c>
      <c r="B98" s="130">
        <v>-1.8212060000000001</v>
      </c>
      <c r="C98" s="71"/>
      <c r="D98" s="12">
        <v>0.15322122505052199</v>
      </c>
      <c r="E98" s="10">
        <v>9</v>
      </c>
      <c r="F98" s="10">
        <v>170</v>
      </c>
      <c r="G98" s="6">
        <v>1.91</v>
      </c>
      <c r="H98" s="14">
        <f t="shared" si="1"/>
        <v>-2.86</v>
      </c>
      <c r="I98" s="23"/>
      <c r="J98" s="7"/>
      <c r="K98" s="7"/>
      <c r="L98" s="24"/>
      <c r="M98" s="11" t="s">
        <v>214</v>
      </c>
      <c r="V98" s="135"/>
    </row>
    <row r="99" spans="1:22">
      <c r="A99" s="81" t="s">
        <v>215</v>
      </c>
      <c r="B99" s="130">
        <v>-2.4989974799999999</v>
      </c>
      <c r="C99" s="71"/>
      <c r="D99" s="12">
        <v>0.15273607916541068</v>
      </c>
      <c r="E99" s="10">
        <v>10</v>
      </c>
      <c r="F99" s="10">
        <v>326</v>
      </c>
      <c r="G99" s="6">
        <v>2.44</v>
      </c>
      <c r="H99" s="14">
        <f t="shared" si="1"/>
        <v>-4.95</v>
      </c>
      <c r="I99" s="23"/>
      <c r="J99" s="7"/>
      <c r="K99" s="7"/>
      <c r="L99" s="24"/>
      <c r="M99" s="11" t="s">
        <v>216</v>
      </c>
      <c r="V99" s="135"/>
    </row>
    <row r="100" spans="1:22">
      <c r="A100" s="82" t="s">
        <v>217</v>
      </c>
      <c r="B100" s="130">
        <v>-3.2815820699999998</v>
      </c>
      <c r="C100" s="71"/>
      <c r="D100" s="12">
        <v>0.18404701512102448</v>
      </c>
      <c r="E100" s="10">
        <v>5</v>
      </c>
      <c r="F100" s="10">
        <v>232.50000000000003</v>
      </c>
      <c r="G100" s="6">
        <v>1.8</v>
      </c>
      <c r="H100" s="14">
        <f t="shared" si="1"/>
        <v>-3.375</v>
      </c>
      <c r="I100" s="23"/>
      <c r="J100" s="7"/>
      <c r="K100" s="7"/>
      <c r="L100" s="24"/>
      <c r="M100" s="11" t="s">
        <v>218</v>
      </c>
      <c r="V100" s="135"/>
    </row>
    <row r="101" spans="1:22">
      <c r="A101" s="82" t="s">
        <v>219</v>
      </c>
      <c r="B101" s="130">
        <v>-2.0000819600000002</v>
      </c>
      <c r="C101" s="71"/>
      <c r="D101" s="12">
        <v>0.13604063752604376</v>
      </c>
      <c r="E101" s="10">
        <v>4</v>
      </c>
      <c r="F101" s="10">
        <v>281.5</v>
      </c>
      <c r="G101" s="6">
        <v>0.54</v>
      </c>
      <c r="H101" s="14">
        <f t="shared" si="1"/>
        <v>-2.605</v>
      </c>
      <c r="I101" s="23"/>
      <c r="J101" s="7"/>
      <c r="K101" s="7"/>
      <c r="L101" s="24"/>
      <c r="M101" s="11" t="s">
        <v>220</v>
      </c>
      <c r="V101" s="135"/>
    </row>
    <row r="102" spans="1:22">
      <c r="A102" s="82" t="s">
        <v>221</v>
      </c>
      <c r="B102" s="130">
        <v>-2.3771461</v>
      </c>
      <c r="C102" s="71"/>
      <c r="D102" s="12">
        <v>0.19798964803022484</v>
      </c>
      <c r="E102" s="10">
        <v>4</v>
      </c>
      <c r="F102" s="10">
        <v>197.1</v>
      </c>
      <c r="G102" s="6">
        <v>2.2000000000000002</v>
      </c>
      <c r="H102" s="14">
        <f t="shared" si="1"/>
        <v>-3.4210000000000003</v>
      </c>
      <c r="I102" s="23"/>
      <c r="J102" s="7"/>
      <c r="K102" s="7"/>
      <c r="L102" s="24"/>
      <c r="M102" s="11" t="s">
        <v>222</v>
      </c>
      <c r="V102" s="135"/>
    </row>
    <row r="103" spans="1:22">
      <c r="A103" s="83" t="s">
        <v>223</v>
      </c>
      <c r="B103" s="130">
        <v>-3.6871184499999998</v>
      </c>
      <c r="C103" s="71"/>
      <c r="D103" s="12">
        <v>0.13486720020739137</v>
      </c>
      <c r="E103" s="10">
        <v>4</v>
      </c>
      <c r="F103" s="10">
        <v>33</v>
      </c>
      <c r="G103" s="6">
        <v>4.24</v>
      </c>
      <c r="H103" s="14">
        <f t="shared" si="1"/>
        <v>-3.8200000000000003</v>
      </c>
      <c r="I103" s="23"/>
      <c r="J103" s="7"/>
      <c r="K103" s="7"/>
      <c r="L103" s="24"/>
      <c r="M103" s="11" t="s">
        <v>224</v>
      </c>
      <c r="V103" s="135"/>
    </row>
    <row r="104" spans="1:22">
      <c r="A104" s="82" t="s">
        <v>225</v>
      </c>
      <c r="B104" s="130">
        <v>-3.5886761699999998</v>
      </c>
      <c r="C104" s="71"/>
      <c r="D104" s="12">
        <v>0.18801274760604275</v>
      </c>
      <c r="E104" s="10">
        <v>11</v>
      </c>
      <c r="F104" s="10">
        <v>60</v>
      </c>
      <c r="G104" s="6">
        <v>4.24</v>
      </c>
      <c r="H104" s="14">
        <f t="shared" si="1"/>
        <v>-4.09</v>
      </c>
      <c r="I104" s="23"/>
      <c r="J104" s="7"/>
      <c r="K104" s="7"/>
      <c r="L104" s="24"/>
      <c r="M104" s="11" t="s">
        <v>226</v>
      </c>
      <c r="V104" s="135"/>
    </row>
    <row r="105" spans="1:22">
      <c r="A105" s="82" t="s">
        <v>227</v>
      </c>
      <c r="B105" s="130">
        <v>-3.6576151499999998</v>
      </c>
      <c r="C105" s="71"/>
      <c r="D105" s="12">
        <v>0.1664014074224209</v>
      </c>
      <c r="E105" s="10">
        <v>4</v>
      </c>
      <c r="F105" s="10">
        <v>130.5</v>
      </c>
      <c r="G105" s="6">
        <v>5.22</v>
      </c>
      <c r="H105" s="14">
        <f t="shared" si="1"/>
        <v>-5.7749999999999995</v>
      </c>
      <c r="I105" s="23"/>
      <c r="J105" s="7"/>
      <c r="K105" s="7"/>
      <c r="L105" s="24"/>
      <c r="M105" s="11" t="s">
        <v>228</v>
      </c>
      <c r="V105" s="135"/>
    </row>
    <row r="106" spans="1:22">
      <c r="A106" s="83" t="s">
        <v>103</v>
      </c>
      <c r="B106" s="130">
        <v>-3.13035234</v>
      </c>
      <c r="C106" s="71"/>
      <c r="D106" s="12">
        <v>0.17506472136100007</v>
      </c>
      <c r="E106" s="10">
        <v>7</v>
      </c>
      <c r="F106" s="10">
        <v>254</v>
      </c>
      <c r="G106" s="6">
        <v>2.97</v>
      </c>
      <c r="H106" s="14">
        <f t="shared" si="1"/>
        <v>-4.76</v>
      </c>
      <c r="I106" s="23"/>
      <c r="J106" s="7"/>
      <c r="K106" s="7"/>
      <c r="L106" s="24"/>
      <c r="M106" s="11" t="s">
        <v>229</v>
      </c>
      <c r="V106" s="135"/>
    </row>
    <row r="107" spans="1:22">
      <c r="A107" s="83" t="s">
        <v>230</v>
      </c>
      <c r="B107" s="130">
        <v>-4.9021921700000002</v>
      </c>
      <c r="C107" s="71"/>
      <c r="D107" s="12">
        <v>0.1605416460069265</v>
      </c>
      <c r="E107" s="10">
        <v>5</v>
      </c>
      <c r="F107" s="10">
        <v>121</v>
      </c>
      <c r="G107" s="6">
        <v>5.91</v>
      </c>
      <c r="H107" s="14">
        <f t="shared" si="1"/>
        <v>-6.37</v>
      </c>
      <c r="I107" s="23"/>
      <c r="J107" s="7"/>
      <c r="K107" s="7"/>
      <c r="L107" s="24"/>
      <c r="M107" s="11" t="s">
        <v>231</v>
      </c>
      <c r="V107" s="135"/>
    </row>
    <row r="108" spans="1:22">
      <c r="A108" s="82" t="s">
        <v>232</v>
      </c>
      <c r="B108" s="130">
        <v>-4.7222451400000001</v>
      </c>
      <c r="C108" s="71"/>
      <c r="D108" s="12">
        <v>0.15756984748208766</v>
      </c>
      <c r="E108" s="10">
        <v>5</v>
      </c>
      <c r="F108" s="10">
        <v>206.99999999999997</v>
      </c>
      <c r="G108" s="6">
        <v>2.56</v>
      </c>
      <c r="H108" s="14">
        <f t="shared" si="1"/>
        <v>-3.88</v>
      </c>
      <c r="I108" s="23"/>
      <c r="J108" s="7"/>
      <c r="K108" s="7"/>
      <c r="L108" s="24"/>
      <c r="M108" s="11" t="s">
        <v>233</v>
      </c>
      <c r="V108" s="135"/>
    </row>
    <row r="109" spans="1:22">
      <c r="A109" s="81" t="s">
        <v>234</v>
      </c>
      <c r="B109" s="130">
        <v>-5.1956270199999999</v>
      </c>
      <c r="C109" s="71"/>
      <c r="D109" s="12">
        <v>0.16160362353179636</v>
      </c>
      <c r="E109" s="10">
        <v>6</v>
      </c>
      <c r="F109" s="10">
        <v>134.5</v>
      </c>
      <c r="G109" s="6">
        <v>4.8499999999999996</v>
      </c>
      <c r="H109" s="14">
        <f t="shared" si="1"/>
        <v>-5.4449999999999994</v>
      </c>
      <c r="I109" s="23"/>
      <c r="J109" s="7"/>
      <c r="K109" s="7"/>
      <c r="L109" s="24"/>
      <c r="M109" s="11" t="s">
        <v>235</v>
      </c>
      <c r="V109" s="135"/>
    </row>
    <row r="110" spans="1:22">
      <c r="A110" s="81" t="s">
        <v>236</v>
      </c>
      <c r="B110" s="130">
        <v>-2.3648522299999999</v>
      </c>
      <c r="C110" s="71"/>
      <c r="D110" s="12">
        <v>0.18685765827673947</v>
      </c>
      <c r="E110" s="10">
        <v>6</v>
      </c>
      <c r="F110" s="10">
        <v>275</v>
      </c>
      <c r="G110" s="6">
        <v>2.09</v>
      </c>
      <c r="H110" s="14">
        <f t="shared" si="1"/>
        <v>-4.09</v>
      </c>
      <c r="I110" s="23"/>
      <c r="J110" s="7"/>
      <c r="K110" s="7"/>
      <c r="L110" s="24"/>
      <c r="M110" s="11" t="s">
        <v>237</v>
      </c>
      <c r="V110" s="135"/>
    </row>
    <row r="111" spans="1:22">
      <c r="A111" s="82" t="s">
        <v>238</v>
      </c>
      <c r="B111" s="130">
        <v>-5.2902218000000003</v>
      </c>
      <c r="C111" s="71"/>
      <c r="D111" s="12">
        <v>0.13950112944748669</v>
      </c>
      <c r="E111" s="10">
        <v>9</v>
      </c>
      <c r="F111" s="10">
        <v>220.00000000000003</v>
      </c>
      <c r="G111" s="6">
        <v>1.8</v>
      </c>
      <c r="H111" s="14">
        <f t="shared" si="1"/>
        <v>-3.2500000000000004</v>
      </c>
      <c r="I111" s="23"/>
      <c r="J111" s="7"/>
      <c r="K111" s="7"/>
      <c r="L111" s="24"/>
      <c r="M111" s="11" t="s">
        <v>239</v>
      </c>
      <c r="V111" s="135"/>
    </row>
    <row r="112" spans="1:22">
      <c r="A112" s="85" t="s">
        <v>240</v>
      </c>
      <c r="B112" s="130">
        <v>-3.0844205699999998</v>
      </c>
      <c r="C112" s="72"/>
      <c r="D112" s="4">
        <v>0.22014005046870977</v>
      </c>
      <c r="E112" s="2">
        <v>9</v>
      </c>
      <c r="F112" s="10">
        <v>202</v>
      </c>
      <c r="G112" s="6">
        <v>1.53</v>
      </c>
      <c r="H112" s="14">
        <f t="shared" si="1"/>
        <v>-2.8</v>
      </c>
      <c r="I112" s="23"/>
      <c r="J112" s="7"/>
      <c r="K112" s="7"/>
      <c r="L112" s="24"/>
      <c r="M112" s="11" t="s">
        <v>241</v>
      </c>
      <c r="V112" s="135"/>
    </row>
    <row r="113" spans="1:28">
      <c r="A113" s="82" t="s">
        <v>242</v>
      </c>
      <c r="B113" s="130">
        <v>-3.1062129199999999</v>
      </c>
      <c r="C113" s="71"/>
      <c r="D113" s="12">
        <v>0.14014083879485537</v>
      </c>
      <c r="E113" s="10">
        <v>3</v>
      </c>
      <c r="F113" s="10">
        <v>243.00000000000003</v>
      </c>
      <c r="G113" s="6">
        <v>1.48</v>
      </c>
      <c r="H113" s="14">
        <f t="shared" si="1"/>
        <v>-3.16</v>
      </c>
      <c r="I113" s="23"/>
      <c r="J113" s="7"/>
      <c r="K113" s="7"/>
      <c r="L113" s="24"/>
      <c r="M113" s="11" t="s">
        <v>243</v>
      </c>
      <c r="V113" s="135"/>
    </row>
    <row r="114" spans="1:28">
      <c r="A114" s="83" t="s">
        <v>244</v>
      </c>
      <c r="B114" s="130">
        <v>-3.4208098499999999</v>
      </c>
      <c r="C114" s="71"/>
      <c r="D114" s="12">
        <v>0.13726989684757951</v>
      </c>
      <c r="E114" s="10">
        <v>3</v>
      </c>
      <c r="F114" s="10">
        <v>191</v>
      </c>
      <c r="G114" s="6">
        <v>1.67</v>
      </c>
      <c r="H114" s="14">
        <f t="shared" si="1"/>
        <v>-2.83</v>
      </c>
      <c r="I114" s="23"/>
      <c r="J114" s="7"/>
      <c r="K114" s="7"/>
      <c r="L114" s="24"/>
      <c r="M114" s="11" t="s">
        <v>245</v>
      </c>
      <c r="V114" s="135"/>
    </row>
    <row r="115" spans="1:28">
      <c r="A115" s="82" t="s">
        <v>246</v>
      </c>
      <c r="B115" s="130">
        <v>-3.3376382000000002</v>
      </c>
      <c r="C115" s="71"/>
      <c r="D115" s="12">
        <v>0.21357402153711522</v>
      </c>
      <c r="E115" s="10">
        <v>7</v>
      </c>
      <c r="F115" s="10">
        <v>183.5</v>
      </c>
      <c r="G115" s="6">
        <v>4.37</v>
      </c>
      <c r="H115" s="14">
        <f t="shared" si="1"/>
        <v>-5.4550000000000001</v>
      </c>
      <c r="I115" s="23"/>
      <c r="J115" s="7"/>
      <c r="K115" s="7"/>
      <c r="L115" s="24"/>
      <c r="M115" s="11" t="s">
        <v>247</v>
      </c>
      <c r="V115" s="135"/>
    </row>
    <row r="116" spans="1:28">
      <c r="A116" s="82" t="s">
        <v>248</v>
      </c>
      <c r="B116" s="130">
        <v>-2.7771579399999999</v>
      </c>
      <c r="C116" s="71"/>
      <c r="D116" s="12">
        <v>0.10564411177747912</v>
      </c>
      <c r="E116" s="10">
        <v>3</v>
      </c>
      <c r="F116" s="10">
        <v>149</v>
      </c>
      <c r="G116" s="6">
        <v>2.62</v>
      </c>
      <c r="H116" s="14">
        <f t="shared" si="1"/>
        <v>-3.3600000000000003</v>
      </c>
      <c r="I116" s="23"/>
      <c r="J116" s="7"/>
      <c r="K116" s="7"/>
      <c r="L116" s="24"/>
      <c r="M116" s="11" t="s">
        <v>249</v>
      </c>
      <c r="V116" s="135"/>
    </row>
    <row r="117" spans="1:28">
      <c r="A117" s="81" t="s">
        <v>250</v>
      </c>
      <c r="B117" s="130">
        <v>-2.4377321099999998</v>
      </c>
      <c r="C117" s="71"/>
      <c r="D117" s="12">
        <v>0.14623917640453388</v>
      </c>
      <c r="E117" s="10">
        <v>8</v>
      </c>
      <c r="F117" s="10">
        <v>165</v>
      </c>
      <c r="G117" s="6">
        <v>-0.37</v>
      </c>
      <c r="H117" s="14">
        <f t="shared" si="1"/>
        <v>-0.53000000000000014</v>
      </c>
      <c r="I117" s="23"/>
      <c r="J117" s="7"/>
      <c r="K117" s="7"/>
      <c r="L117" s="24"/>
      <c r="M117" s="11" t="s">
        <v>251</v>
      </c>
      <c r="V117" s="135"/>
    </row>
    <row r="118" spans="1:28">
      <c r="A118" s="82" t="s">
        <v>252</v>
      </c>
      <c r="B118" s="130">
        <v>-3.0108537399999999</v>
      </c>
      <c r="C118" s="71"/>
      <c r="D118" s="12">
        <v>0.16291639539032501</v>
      </c>
      <c r="E118" s="10">
        <v>10</v>
      </c>
      <c r="F118" s="10">
        <v>225</v>
      </c>
      <c r="G118" s="6">
        <v>0.81</v>
      </c>
      <c r="H118" s="14">
        <f t="shared" si="1"/>
        <v>-2.31</v>
      </c>
      <c r="I118" s="23"/>
      <c r="J118" s="7"/>
      <c r="K118" s="7"/>
      <c r="L118" s="24"/>
      <c r="M118" s="11" t="s">
        <v>253</v>
      </c>
      <c r="V118" s="135"/>
    </row>
    <row r="119" spans="1:28">
      <c r="A119" s="82" t="s">
        <v>254</v>
      </c>
      <c r="B119" s="130">
        <v>-2.9994230800000001</v>
      </c>
      <c r="C119" s="71"/>
      <c r="D119" s="12">
        <v>0.21166647357477791</v>
      </c>
      <c r="E119" s="10">
        <v>5</v>
      </c>
      <c r="F119" s="10">
        <v>270</v>
      </c>
      <c r="G119" s="6">
        <v>0.62</v>
      </c>
      <c r="H119" s="14">
        <f t="shared" si="1"/>
        <v>-2.5700000000000003</v>
      </c>
      <c r="I119" s="23"/>
      <c r="J119" s="7"/>
      <c r="K119" s="7"/>
      <c r="L119" s="24"/>
      <c r="M119" s="11" t="s">
        <v>255</v>
      </c>
      <c r="V119" s="135"/>
    </row>
    <row r="120" spans="1:28">
      <c r="A120" s="81" t="s">
        <v>256</v>
      </c>
      <c r="B120" s="130">
        <v>-3.7466811099999999</v>
      </c>
      <c r="C120" s="71"/>
      <c r="D120" s="12">
        <v>0.14175650298978676</v>
      </c>
      <c r="E120" s="10">
        <v>9</v>
      </c>
      <c r="F120" s="10">
        <v>312.66666666666669</v>
      </c>
      <c r="G120" s="6">
        <v>0.83</v>
      </c>
      <c r="H120" s="14">
        <f t="shared" si="1"/>
        <v>-3.206666666666667</v>
      </c>
      <c r="I120" s="23"/>
      <c r="J120" s="7"/>
      <c r="K120" s="7"/>
      <c r="L120" s="24"/>
      <c r="M120" s="11" t="s">
        <v>257</v>
      </c>
      <c r="V120" s="135"/>
    </row>
    <row r="121" spans="1:28">
      <c r="A121" s="82" t="s">
        <v>258</v>
      </c>
      <c r="B121" s="130">
        <v>-4.2992190299999997</v>
      </c>
      <c r="C121" s="71"/>
      <c r="D121" s="12">
        <v>0.2034688635346244</v>
      </c>
      <c r="E121" s="10">
        <v>11</v>
      </c>
      <c r="F121" s="10">
        <v>161</v>
      </c>
      <c r="G121" s="6">
        <v>3.61</v>
      </c>
      <c r="H121" s="14">
        <f t="shared" si="1"/>
        <v>-4.47</v>
      </c>
      <c r="I121" s="23"/>
      <c r="J121" s="7"/>
      <c r="K121" s="7"/>
      <c r="L121" s="24"/>
      <c r="M121" s="11" t="s">
        <v>259</v>
      </c>
      <c r="V121" s="135"/>
    </row>
    <row r="122" spans="1:28">
      <c r="A122" s="81" t="s">
        <v>109</v>
      </c>
      <c r="B122" s="130">
        <v>-3.5480364500000001</v>
      </c>
      <c r="C122" s="71"/>
      <c r="D122" s="12">
        <v>0.20579636821699754</v>
      </c>
      <c r="E122" s="10">
        <v>3</v>
      </c>
      <c r="F122" s="10">
        <v>300</v>
      </c>
      <c r="G122" s="6">
        <v>-1.06</v>
      </c>
      <c r="H122" s="14">
        <f t="shared" si="1"/>
        <v>-1.19</v>
      </c>
      <c r="I122" s="35"/>
      <c r="J122" s="27"/>
      <c r="K122" s="27"/>
      <c r="L122" s="28"/>
      <c r="M122" s="11" t="s">
        <v>260</v>
      </c>
      <c r="V122" s="135"/>
    </row>
    <row r="123" spans="1:28">
      <c r="A123" s="11"/>
      <c r="C123" s="65" t="s">
        <v>261</v>
      </c>
      <c r="D123" s="80">
        <f>AVERAGE(D23:D122)</f>
        <v>0.17115851538193166</v>
      </c>
      <c r="E123" s="67"/>
      <c r="F123" s="68"/>
      <c r="G123" s="68"/>
      <c r="H123" s="69" t="s">
        <v>262</v>
      </c>
      <c r="I123" s="68"/>
      <c r="J123" s="6"/>
      <c r="K123" s="6"/>
      <c r="L123" s="6"/>
      <c r="M123" s="11"/>
      <c r="V123" s="135"/>
    </row>
    <row r="124" spans="1:28">
      <c r="A124" s="11"/>
      <c r="C124" s="65" t="s">
        <v>263</v>
      </c>
      <c r="D124" s="80">
        <f>MIN(D23:D122)</f>
        <v>0.10564411177747912</v>
      </c>
      <c r="E124" s="67"/>
      <c r="F124" s="68"/>
      <c r="G124" s="68"/>
      <c r="H124" s="69" t="s">
        <v>264</v>
      </c>
      <c r="I124" s="68"/>
      <c r="J124" s="6"/>
      <c r="K124" s="6"/>
      <c r="L124" s="6"/>
      <c r="M124" s="11"/>
      <c r="V124" s="135"/>
    </row>
    <row r="125" spans="1:28">
      <c r="A125" s="11"/>
      <c r="C125" s="65" t="s">
        <v>265</v>
      </c>
      <c r="D125" s="80">
        <f>MAX(D23:D122)</f>
        <v>0.22239504833634874</v>
      </c>
      <c r="E125" s="67"/>
      <c r="F125" s="68"/>
      <c r="G125" s="68"/>
      <c r="H125" s="69"/>
      <c r="I125" s="68"/>
      <c r="J125" s="6"/>
      <c r="K125" s="6"/>
      <c r="L125" s="6"/>
      <c r="M125" s="11"/>
      <c r="V125" s="135"/>
    </row>
    <row r="126" spans="1:28" s="47" customFormat="1">
      <c r="A126" s="8"/>
      <c r="B126" s="6"/>
      <c r="C126" s="6"/>
      <c r="D126" s="9"/>
      <c r="E126" s="6"/>
      <c r="F126" s="6"/>
      <c r="G126" s="6"/>
      <c r="H126" s="6"/>
      <c r="I126" s="6"/>
      <c r="J126" s="6"/>
      <c r="K126" s="6"/>
      <c r="L126" s="6"/>
      <c r="M126" s="11"/>
      <c r="N126"/>
      <c r="O126"/>
      <c r="P126"/>
      <c r="Q126"/>
      <c r="R126"/>
      <c r="S126"/>
      <c r="T126"/>
      <c r="U126"/>
      <c r="V126" s="135"/>
      <c r="W126"/>
      <c r="X126"/>
      <c r="Y126"/>
      <c r="Z126"/>
      <c r="AA126"/>
      <c r="AB126"/>
    </row>
    <row r="127" spans="1:28" s="46" customFormat="1" ht="35" thickBot="1">
      <c r="A127" s="52" t="s">
        <v>266</v>
      </c>
      <c r="B127" s="9"/>
      <c r="C127" s="9"/>
      <c r="D127" s="9"/>
      <c r="E127" s="9"/>
      <c r="F127" s="9"/>
      <c r="G127" s="9"/>
      <c r="H127" s="9"/>
      <c r="I127" s="9"/>
      <c r="J127" s="9"/>
      <c r="K127" s="9"/>
      <c r="L127" s="9"/>
      <c r="M127" s="11"/>
      <c r="N127" s="47"/>
      <c r="O127" s="47"/>
      <c r="P127" s="47"/>
      <c r="Q127" s="47"/>
      <c r="R127" s="47"/>
      <c r="S127" s="47"/>
      <c r="T127" s="47"/>
      <c r="U127" s="47"/>
      <c r="V127" s="135"/>
      <c r="W127"/>
      <c r="X127"/>
      <c r="Y127"/>
      <c r="Z127"/>
      <c r="AA127"/>
      <c r="AB127" s="47"/>
    </row>
    <row r="128" spans="1:28" ht="3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135"/>
      <c r="AB128" s="46"/>
    </row>
    <row r="129" spans="1:26">
      <c r="A129" s="82" t="s">
        <v>268</v>
      </c>
      <c r="B129" s="130">
        <v>-1.2034021800000001</v>
      </c>
      <c r="C129" s="73" t="s">
        <v>30</v>
      </c>
      <c r="D129" s="12">
        <v>0.50033555401430185</v>
      </c>
      <c r="E129" s="10">
        <v>3</v>
      </c>
      <c r="F129" s="10">
        <v>180</v>
      </c>
      <c r="G129" s="1">
        <v>1.91</v>
      </c>
      <c r="H129" s="14">
        <f t="shared" ref="H129:H160" si="2">0.5-G129-0.01*(F129-25)</f>
        <v>-2.96</v>
      </c>
      <c r="I129" s="53" t="s">
        <v>31</v>
      </c>
      <c r="J129" s="54"/>
      <c r="K129" s="14"/>
      <c r="L129" s="14"/>
      <c r="M129" s="3" t="s">
        <v>269</v>
      </c>
      <c r="V129" s="135"/>
    </row>
    <row r="130" spans="1:26">
      <c r="A130" s="82" t="s">
        <v>270</v>
      </c>
      <c r="B130" s="130">
        <v>-4.5747732399999999</v>
      </c>
      <c r="C130" s="73" t="s">
        <v>36</v>
      </c>
      <c r="D130" s="12">
        <v>0.5</v>
      </c>
      <c r="E130" s="6">
        <v>5</v>
      </c>
      <c r="F130" s="10">
        <v>156</v>
      </c>
      <c r="G130" s="1">
        <v>6.94</v>
      </c>
      <c r="H130" s="14">
        <f t="shared" si="2"/>
        <v>-7.75</v>
      </c>
      <c r="I130" s="53" t="s">
        <v>37</v>
      </c>
      <c r="J130" s="54"/>
      <c r="K130" s="14"/>
      <c r="L130" s="14"/>
      <c r="M130" s="3" t="s">
        <v>271</v>
      </c>
      <c r="V130" s="135"/>
    </row>
    <row r="131" spans="1:26">
      <c r="A131" s="83" t="s">
        <v>272</v>
      </c>
      <c r="B131" s="130">
        <v>-4.1674139600000002</v>
      </c>
      <c r="C131" s="73" t="s">
        <v>41</v>
      </c>
      <c r="D131" s="12">
        <v>0.6530957900260097</v>
      </c>
      <c r="E131" s="10">
        <v>3</v>
      </c>
      <c r="F131" s="10">
        <v>208</v>
      </c>
      <c r="G131" s="1">
        <v>5.18</v>
      </c>
      <c r="H131" s="14">
        <f t="shared" si="2"/>
        <v>-6.51</v>
      </c>
      <c r="I131" s="53" t="s">
        <v>42</v>
      </c>
      <c r="J131" s="54"/>
      <c r="K131" s="14"/>
      <c r="L131" s="14"/>
      <c r="M131" s="3" t="s">
        <v>273</v>
      </c>
      <c r="V131" s="135"/>
    </row>
    <row r="132" spans="1:26">
      <c r="A132" s="82" t="s">
        <v>274</v>
      </c>
      <c r="B132" s="130">
        <v>-1.8034732</v>
      </c>
      <c r="C132" s="73" t="s">
        <v>46</v>
      </c>
      <c r="D132" s="12">
        <v>0.59285217963150294</v>
      </c>
      <c r="E132" s="10">
        <v>3</v>
      </c>
      <c r="F132" s="10">
        <v>100</v>
      </c>
      <c r="G132" s="1">
        <v>2.37</v>
      </c>
      <c r="H132" s="14">
        <f t="shared" si="2"/>
        <v>-2.62</v>
      </c>
      <c r="I132" s="15" t="s">
        <v>47</v>
      </c>
      <c r="J132" s="29" t="s">
        <v>367</v>
      </c>
      <c r="K132" s="14"/>
      <c r="L132" s="14"/>
      <c r="M132" s="3" t="s">
        <v>275</v>
      </c>
      <c r="V132" s="135"/>
    </row>
    <row r="133" spans="1:26" ht="16" thickBot="1">
      <c r="A133" s="82" t="s">
        <v>276</v>
      </c>
      <c r="B133" s="130">
        <v>-4.2104281700000001</v>
      </c>
      <c r="C133" s="73" t="s">
        <v>51</v>
      </c>
      <c r="D133" s="12">
        <v>0.51067901383936642</v>
      </c>
      <c r="E133" s="10">
        <v>5</v>
      </c>
      <c r="F133" s="10">
        <v>217</v>
      </c>
      <c r="G133" s="1">
        <v>3.19</v>
      </c>
      <c r="H133" s="14">
        <f t="shared" si="2"/>
        <v>-4.6099999999999994</v>
      </c>
      <c r="I133" s="15" t="s">
        <v>52</v>
      </c>
      <c r="J133" s="29"/>
      <c r="K133" s="14"/>
      <c r="L133" s="14"/>
      <c r="M133" s="3" t="s">
        <v>277</v>
      </c>
      <c r="V133" s="136"/>
    </row>
    <row r="134" spans="1:26" ht="16" thickBot="1">
      <c r="A134" s="82" t="s">
        <v>278</v>
      </c>
      <c r="B134" s="130">
        <v>-4.2332581899999999</v>
      </c>
      <c r="C134" s="71"/>
      <c r="D134" s="12">
        <v>0.83065522865171437</v>
      </c>
      <c r="E134" s="10">
        <v>3</v>
      </c>
      <c r="F134" s="10">
        <v>209.50000000000003</v>
      </c>
      <c r="G134" s="1">
        <v>4.41</v>
      </c>
      <c r="H134" s="14">
        <f t="shared" si="2"/>
        <v>-5.7550000000000008</v>
      </c>
      <c r="I134" s="15" t="s">
        <v>56</v>
      </c>
      <c r="J134" s="29"/>
      <c r="K134" s="14"/>
      <c r="L134" s="14"/>
      <c r="M134" s="3" t="s">
        <v>279</v>
      </c>
      <c r="V134" s="137"/>
      <c r="Z134" s="47"/>
    </row>
    <row r="135" spans="1:26">
      <c r="A135" s="82" t="s">
        <v>280</v>
      </c>
      <c r="B135" s="130">
        <v>-4.6684040800000002</v>
      </c>
      <c r="C135" s="71"/>
      <c r="D135" s="12">
        <v>0.51097181417141646</v>
      </c>
      <c r="E135" s="10">
        <v>6</v>
      </c>
      <c r="F135" s="10">
        <v>97.5</v>
      </c>
      <c r="G135" s="1">
        <v>5.19</v>
      </c>
      <c r="H135" s="14">
        <f t="shared" si="2"/>
        <v>-5.415</v>
      </c>
      <c r="I135" s="15" t="s">
        <v>60</v>
      </c>
      <c r="J135" s="31"/>
      <c r="K135" s="14"/>
      <c r="L135" s="14"/>
      <c r="M135" s="3" t="s">
        <v>281</v>
      </c>
      <c r="V135" s="135"/>
      <c r="Z135" s="46"/>
    </row>
    <row r="136" spans="1:26">
      <c r="A136" s="81" t="s">
        <v>282</v>
      </c>
      <c r="B136" s="130">
        <v>-4.9238848700000002</v>
      </c>
      <c r="C136" s="71"/>
      <c r="D136" s="12">
        <v>0.92735432696895004</v>
      </c>
      <c r="E136" s="10">
        <v>5</v>
      </c>
      <c r="F136" s="10">
        <v>211</v>
      </c>
      <c r="G136" s="1">
        <v>7.49</v>
      </c>
      <c r="H136" s="14">
        <f t="shared" si="2"/>
        <v>-8.85</v>
      </c>
      <c r="I136" s="30" t="s">
        <v>64</v>
      </c>
      <c r="J136" s="32"/>
      <c r="K136" s="33"/>
      <c r="L136" s="34"/>
      <c r="M136" s="3" t="s">
        <v>283</v>
      </c>
      <c r="V136" s="135"/>
    </row>
    <row r="137" spans="1:26">
      <c r="A137" s="82" t="s">
        <v>112</v>
      </c>
      <c r="B137" s="130">
        <v>-3.9096328699999998</v>
      </c>
      <c r="C137" s="71"/>
      <c r="D137" s="12">
        <v>0.68239272333923895</v>
      </c>
      <c r="E137" s="10">
        <v>3</v>
      </c>
      <c r="F137" s="10">
        <v>177</v>
      </c>
      <c r="G137" s="1">
        <v>3.37</v>
      </c>
      <c r="H137" s="14">
        <f t="shared" si="2"/>
        <v>-4.3900000000000006</v>
      </c>
      <c r="J137" s="14"/>
      <c r="K137" s="14"/>
      <c r="L137" s="14"/>
      <c r="M137" s="3" t="s">
        <v>284</v>
      </c>
      <c r="V137" s="135"/>
    </row>
    <row r="138" spans="1:26">
      <c r="A138" s="82" t="s">
        <v>285</v>
      </c>
      <c r="B138" s="130">
        <v>-5.1333368100000003</v>
      </c>
      <c r="C138" s="71"/>
      <c r="D138" s="12">
        <v>0.520951861602862</v>
      </c>
      <c r="E138" s="10">
        <v>10</v>
      </c>
      <c r="F138" s="10">
        <v>228.6</v>
      </c>
      <c r="G138" s="1">
        <v>4.22</v>
      </c>
      <c r="H138" s="14">
        <f t="shared" si="2"/>
        <v>-5.7560000000000002</v>
      </c>
      <c r="I138" s="16" t="s">
        <v>286</v>
      </c>
      <c r="J138" s="17"/>
      <c r="K138" s="17"/>
      <c r="L138" s="18"/>
      <c r="M138" s="3" t="s">
        <v>287</v>
      </c>
      <c r="V138" s="135"/>
    </row>
    <row r="139" spans="1:26">
      <c r="A139" s="81" t="s">
        <v>288</v>
      </c>
      <c r="B139" s="130">
        <v>-1.6807756</v>
      </c>
      <c r="C139" s="71"/>
      <c r="D139" s="12">
        <v>0.53906642829149898</v>
      </c>
      <c r="E139" s="10">
        <v>3</v>
      </c>
      <c r="F139" s="10">
        <v>161.5</v>
      </c>
      <c r="G139" s="1">
        <v>-0.21</v>
      </c>
      <c r="H139" s="14">
        <f t="shared" si="2"/>
        <v>-0.65500000000000003</v>
      </c>
      <c r="I139" s="20" t="s">
        <v>390</v>
      </c>
      <c r="J139" s="21"/>
      <c r="K139" s="21"/>
      <c r="L139" s="22"/>
      <c r="M139" s="3" t="s">
        <v>289</v>
      </c>
      <c r="V139" s="135"/>
    </row>
    <row r="140" spans="1:26">
      <c r="A140" s="81" t="s">
        <v>290</v>
      </c>
      <c r="B140" s="132">
        <v>-2.9534803599999999</v>
      </c>
      <c r="C140" s="71"/>
      <c r="D140" s="12">
        <v>0.56233984781338708</v>
      </c>
      <c r="E140" s="10">
        <v>11</v>
      </c>
      <c r="F140" s="10">
        <v>213.49999999999997</v>
      </c>
      <c r="G140" s="1">
        <v>3.04</v>
      </c>
      <c r="H140" s="14">
        <f t="shared" si="2"/>
        <v>-4.4249999999999998</v>
      </c>
      <c r="I140" s="23"/>
      <c r="J140" s="7"/>
      <c r="K140" s="7"/>
      <c r="L140" s="24"/>
      <c r="M140" s="3" t="s">
        <v>291</v>
      </c>
      <c r="V140" s="135"/>
      <c r="W140" s="47"/>
      <c r="X140" s="47"/>
      <c r="Y140" s="47"/>
    </row>
    <row r="141" spans="1:26">
      <c r="A141" s="83" t="s">
        <v>292</v>
      </c>
      <c r="B141" s="133">
        <v>-2.2480399200000001</v>
      </c>
      <c r="C141" s="71"/>
      <c r="D141" s="12">
        <v>0.54710381306524825</v>
      </c>
      <c r="E141" s="10">
        <v>4</v>
      </c>
      <c r="F141" s="10">
        <v>168.5</v>
      </c>
      <c r="G141" s="1">
        <v>3.35</v>
      </c>
      <c r="H141" s="14">
        <f t="shared" si="2"/>
        <v>-4.2850000000000001</v>
      </c>
      <c r="I141" s="23"/>
      <c r="J141" s="7"/>
      <c r="K141" s="7"/>
      <c r="L141" s="24"/>
      <c r="M141" s="3" t="s">
        <v>293</v>
      </c>
      <c r="V141" s="135"/>
      <c r="W141" s="46"/>
      <c r="X141" s="46"/>
      <c r="Y141" s="46"/>
    </row>
    <row r="142" spans="1:26">
      <c r="A142" s="81" t="s">
        <v>114</v>
      </c>
      <c r="B142" s="130">
        <v>-1.8504044100000001</v>
      </c>
      <c r="C142" s="71"/>
      <c r="D142" s="12">
        <v>0.54612637818466869</v>
      </c>
      <c r="E142" s="10">
        <v>3</v>
      </c>
      <c r="F142" s="13">
        <v>124.1</v>
      </c>
      <c r="G142" s="1">
        <v>2.81</v>
      </c>
      <c r="H142" s="14">
        <f t="shared" si="2"/>
        <v>-3.3010000000000002</v>
      </c>
      <c r="I142" s="25"/>
      <c r="J142" s="7"/>
      <c r="K142" s="7"/>
      <c r="L142" s="24"/>
      <c r="M142" s="3" t="s">
        <v>294</v>
      </c>
      <c r="V142" s="135"/>
    </row>
    <row r="143" spans="1:26">
      <c r="A143" s="81" t="s">
        <v>295</v>
      </c>
      <c r="B143" s="130">
        <v>-3.55002613</v>
      </c>
      <c r="C143" s="71"/>
      <c r="D143" s="12">
        <v>0.51160213896594608</v>
      </c>
      <c r="E143" s="10">
        <v>4</v>
      </c>
      <c r="F143" s="10">
        <v>165</v>
      </c>
      <c r="G143" s="1">
        <v>4.8899999999999997</v>
      </c>
      <c r="H143" s="14">
        <f t="shared" si="2"/>
        <v>-5.79</v>
      </c>
      <c r="I143" s="25"/>
      <c r="J143" s="7"/>
      <c r="K143" s="7"/>
      <c r="L143" s="24"/>
      <c r="M143" s="3" t="s">
        <v>296</v>
      </c>
      <c r="V143" s="135"/>
    </row>
    <row r="144" spans="1:26">
      <c r="A144" s="81" t="s">
        <v>117</v>
      </c>
      <c r="B144" s="130">
        <v>-4.4295009800000003</v>
      </c>
      <c r="C144" s="71"/>
      <c r="D144" s="12">
        <v>0.65141515533308314</v>
      </c>
      <c r="E144" s="10">
        <v>4</v>
      </c>
      <c r="F144" s="10">
        <v>161.1</v>
      </c>
      <c r="G144" s="1">
        <v>4.76</v>
      </c>
      <c r="H144" s="14">
        <f t="shared" si="2"/>
        <v>-5.6209999999999996</v>
      </c>
      <c r="I144" s="25"/>
      <c r="J144" s="7"/>
      <c r="K144" s="7"/>
      <c r="L144" s="24"/>
      <c r="M144" s="3" t="s">
        <v>297</v>
      </c>
      <c r="V144" s="135"/>
    </row>
    <row r="145" spans="1:28">
      <c r="A145" s="83" t="s">
        <v>298</v>
      </c>
      <c r="B145" s="130">
        <v>-3.7062372300000002</v>
      </c>
      <c r="C145" s="71"/>
      <c r="D145" s="12">
        <v>0.65883215509381909</v>
      </c>
      <c r="E145" s="10">
        <v>3</v>
      </c>
      <c r="F145" s="10">
        <v>155</v>
      </c>
      <c r="G145" s="1">
        <v>3.74</v>
      </c>
      <c r="H145" s="14">
        <f t="shared" si="2"/>
        <v>-4.54</v>
      </c>
      <c r="I145" s="25"/>
      <c r="J145" s="7"/>
      <c r="K145" s="7"/>
      <c r="L145" s="24"/>
      <c r="M145" s="3" t="s">
        <v>299</v>
      </c>
      <c r="V145" s="135"/>
    </row>
    <row r="146" spans="1:28">
      <c r="A146" s="82" t="s">
        <v>300</v>
      </c>
      <c r="B146" s="130">
        <v>-4.9835812400000004</v>
      </c>
      <c r="C146" s="71"/>
      <c r="D146" s="12">
        <v>0.61400477095750339</v>
      </c>
      <c r="E146" s="10">
        <v>3</v>
      </c>
      <c r="F146" s="10">
        <v>165.4</v>
      </c>
      <c r="G146" s="1">
        <v>5.58</v>
      </c>
      <c r="H146" s="14">
        <f t="shared" si="2"/>
        <v>-6.484</v>
      </c>
      <c r="I146" s="25"/>
      <c r="J146" s="7"/>
      <c r="K146" s="7"/>
      <c r="L146" s="24"/>
      <c r="M146" s="3" t="s">
        <v>301</v>
      </c>
      <c r="V146" s="135"/>
    </row>
    <row r="147" spans="1:28">
      <c r="A147" s="82" t="s">
        <v>302</v>
      </c>
      <c r="B147" s="130">
        <v>-4.6686858000000004</v>
      </c>
      <c r="C147" s="71"/>
      <c r="D147" s="12">
        <v>0.50406532001413251</v>
      </c>
      <c r="E147" s="10">
        <v>6</v>
      </c>
      <c r="F147" s="10">
        <v>161</v>
      </c>
      <c r="G147" s="1">
        <v>6.45</v>
      </c>
      <c r="H147" s="14">
        <f t="shared" si="2"/>
        <v>-7.3100000000000005</v>
      </c>
      <c r="I147" s="26"/>
      <c r="J147" s="27"/>
      <c r="K147" s="27"/>
      <c r="L147" s="28"/>
      <c r="M147" s="3" t="s">
        <v>303</v>
      </c>
      <c r="V147" s="135"/>
    </row>
    <row r="148" spans="1:28">
      <c r="A148" s="82" t="s">
        <v>304</v>
      </c>
      <c r="B148" s="130">
        <v>-5.5008824699999996</v>
      </c>
      <c r="C148" s="71"/>
      <c r="D148" s="12">
        <v>0.75493366325441691</v>
      </c>
      <c r="E148" s="10">
        <v>4</v>
      </c>
      <c r="F148" s="10">
        <v>193.5</v>
      </c>
      <c r="G148" s="1">
        <v>5.41</v>
      </c>
      <c r="H148" s="14">
        <f t="shared" si="2"/>
        <v>-6.5950000000000006</v>
      </c>
      <c r="J148" s="14"/>
      <c r="K148" s="14"/>
      <c r="L148" s="14"/>
      <c r="M148" s="3" t="s">
        <v>305</v>
      </c>
      <c r="V148" s="135"/>
    </row>
    <row r="149" spans="1:28">
      <c r="A149" s="82" t="s">
        <v>306</v>
      </c>
      <c r="B149" s="130">
        <v>-2.97463071</v>
      </c>
      <c r="C149" s="71"/>
      <c r="D149" s="12">
        <v>0.50089358058597189</v>
      </c>
      <c r="E149" s="10">
        <v>3</v>
      </c>
      <c r="F149" s="10">
        <v>156</v>
      </c>
      <c r="G149" s="1">
        <v>2.9</v>
      </c>
      <c r="H149" s="14">
        <f t="shared" si="2"/>
        <v>-3.71</v>
      </c>
      <c r="I149" s="70" t="s">
        <v>133</v>
      </c>
      <c r="J149" s="131">
        <v>2641</v>
      </c>
      <c r="K149" s="34"/>
      <c r="L149" s="14"/>
      <c r="M149" s="3" t="s">
        <v>307</v>
      </c>
      <c r="V149" s="135"/>
    </row>
    <row r="150" spans="1:28">
      <c r="A150" s="83" t="s">
        <v>308</v>
      </c>
      <c r="B150" s="130">
        <v>-4.38097621</v>
      </c>
      <c r="C150" s="71"/>
      <c r="D150" s="12">
        <v>0.6587984329866341</v>
      </c>
      <c r="E150" s="10">
        <v>4</v>
      </c>
      <c r="F150" s="10">
        <v>183.5</v>
      </c>
      <c r="G150" s="1">
        <v>3.16</v>
      </c>
      <c r="H150" s="14">
        <f t="shared" si="2"/>
        <v>-4.2450000000000001</v>
      </c>
      <c r="I150" s="70" t="s">
        <v>136</v>
      </c>
      <c r="J150" s="131">
        <v>955</v>
      </c>
      <c r="K150" s="34"/>
      <c r="L150" s="14"/>
      <c r="M150" s="3" t="s">
        <v>309</v>
      </c>
      <c r="V150" s="135"/>
    </row>
    <row r="151" spans="1:28">
      <c r="A151" s="83" t="s">
        <v>310</v>
      </c>
      <c r="B151" s="130">
        <v>-1.9327696000000001</v>
      </c>
      <c r="C151" s="71"/>
      <c r="D151" s="12">
        <v>0.59871706042825668</v>
      </c>
      <c r="E151" s="10">
        <v>3</v>
      </c>
      <c r="F151" s="10">
        <v>61</v>
      </c>
      <c r="G151" s="1">
        <v>1.77</v>
      </c>
      <c r="H151" s="14">
        <f t="shared" si="2"/>
        <v>-1.63</v>
      </c>
      <c r="I151" s="70" t="s">
        <v>139</v>
      </c>
      <c r="J151" s="75">
        <f>COUNTA(A129:A160)</f>
        <v>32</v>
      </c>
      <c r="K151" s="34"/>
      <c r="L151" s="14"/>
      <c r="M151" s="3" t="s">
        <v>311</v>
      </c>
      <c r="V151" s="135"/>
    </row>
    <row r="152" spans="1:28">
      <c r="A152" s="82" t="s">
        <v>312</v>
      </c>
      <c r="B152" s="130">
        <v>-2.8208422</v>
      </c>
      <c r="C152" s="71"/>
      <c r="D152" s="12">
        <v>0.57115657899345518</v>
      </c>
      <c r="E152" s="10">
        <v>7</v>
      </c>
      <c r="F152" s="10">
        <v>177</v>
      </c>
      <c r="G152" s="1">
        <v>3.17</v>
      </c>
      <c r="H152" s="14">
        <f t="shared" si="2"/>
        <v>-4.1899999999999995</v>
      </c>
      <c r="I152" s="14"/>
      <c r="J152" s="14"/>
      <c r="K152" s="14"/>
      <c r="L152" s="14"/>
      <c r="M152" s="3" t="s">
        <v>313</v>
      </c>
      <c r="V152" s="135"/>
    </row>
    <row r="153" spans="1:28">
      <c r="A153" s="81" t="s">
        <v>314</v>
      </c>
      <c r="B153" s="130">
        <v>-4.0192457399999997</v>
      </c>
      <c r="C153" s="71"/>
      <c r="D153" s="12">
        <v>0.55807775121880254</v>
      </c>
      <c r="E153" s="10">
        <v>6</v>
      </c>
      <c r="F153" s="10">
        <v>145</v>
      </c>
      <c r="G153" s="1">
        <v>6.08</v>
      </c>
      <c r="H153" s="14">
        <f t="shared" si="2"/>
        <v>-6.78</v>
      </c>
      <c r="I153" s="19" t="s">
        <v>144</v>
      </c>
      <c r="J153" s="17"/>
      <c r="K153" s="17"/>
      <c r="L153" s="18"/>
      <c r="M153" s="3" t="s">
        <v>315</v>
      </c>
      <c r="V153" s="135"/>
    </row>
    <row r="154" spans="1:28">
      <c r="A154" s="81" t="s">
        <v>316</v>
      </c>
      <c r="B154" s="130">
        <v>-4.0026925000000002</v>
      </c>
      <c r="C154" s="71"/>
      <c r="D154" s="12">
        <v>0.66417698790166113</v>
      </c>
      <c r="E154" s="10">
        <v>3</v>
      </c>
      <c r="F154" s="13">
        <v>175.8</v>
      </c>
      <c r="G154" s="1">
        <v>4.62</v>
      </c>
      <c r="H154" s="14">
        <f t="shared" si="2"/>
        <v>-5.6280000000000001</v>
      </c>
      <c r="I154" s="20"/>
      <c r="J154" s="21"/>
      <c r="K154" s="21"/>
      <c r="L154" s="22"/>
      <c r="M154" s="3" t="s">
        <v>317</v>
      </c>
      <c r="V154" s="135"/>
    </row>
    <row r="155" spans="1:28">
      <c r="A155" s="82" t="s">
        <v>318</v>
      </c>
      <c r="B155" s="130">
        <v>-3.9930750599999998</v>
      </c>
      <c r="C155" s="71"/>
      <c r="D155" s="12">
        <v>0.57716593661781801</v>
      </c>
      <c r="E155" s="10">
        <v>3</v>
      </c>
      <c r="F155" s="10">
        <v>349.84</v>
      </c>
      <c r="G155" s="1">
        <v>3.09</v>
      </c>
      <c r="H155" s="14">
        <f t="shared" si="2"/>
        <v>-5.8384</v>
      </c>
      <c r="I155" s="23"/>
      <c r="J155" s="7"/>
      <c r="K155" s="7"/>
      <c r="L155" s="24"/>
      <c r="M155" s="3" t="s">
        <v>319</v>
      </c>
      <c r="V155" s="135"/>
    </row>
    <row r="156" spans="1:28">
      <c r="A156" s="83" t="s">
        <v>320</v>
      </c>
      <c r="B156" s="130">
        <v>-3.20803649</v>
      </c>
      <c r="C156" s="71"/>
      <c r="D156" s="12">
        <v>0.70324590282883903</v>
      </c>
      <c r="E156" s="10">
        <v>3</v>
      </c>
      <c r="F156" s="10">
        <v>204</v>
      </c>
      <c r="G156" s="1">
        <v>0.88</v>
      </c>
      <c r="H156" s="14">
        <f t="shared" si="2"/>
        <v>-2.17</v>
      </c>
      <c r="I156" s="23"/>
      <c r="J156" s="7"/>
      <c r="K156" s="7"/>
      <c r="L156" s="24"/>
      <c r="M156" s="3" t="s">
        <v>321</v>
      </c>
      <c r="V156" s="135"/>
    </row>
    <row r="157" spans="1:28">
      <c r="A157" s="82" t="s">
        <v>322</v>
      </c>
      <c r="B157" s="130">
        <v>-5.1132968700000001</v>
      </c>
      <c r="C157" s="71"/>
      <c r="D157" s="12">
        <v>0.7237903588794764</v>
      </c>
      <c r="E157" s="10">
        <v>7</v>
      </c>
      <c r="F157" s="10">
        <v>97.8</v>
      </c>
      <c r="G157" s="1">
        <v>6</v>
      </c>
      <c r="H157" s="14">
        <f t="shared" si="2"/>
        <v>-6.2279999999999998</v>
      </c>
      <c r="I157" s="23"/>
      <c r="J157" s="7"/>
      <c r="K157" s="7"/>
      <c r="L157" s="24"/>
      <c r="M157" s="3" t="s">
        <v>323</v>
      </c>
      <c r="V157" s="135"/>
    </row>
    <row r="158" spans="1:28">
      <c r="A158" s="82" t="s">
        <v>324</v>
      </c>
      <c r="B158" s="130">
        <v>-3.6437878100000001</v>
      </c>
      <c r="C158" s="71"/>
      <c r="D158" s="12">
        <v>0.84033450922624497</v>
      </c>
      <c r="E158" s="10">
        <v>5</v>
      </c>
      <c r="F158" s="10">
        <v>262</v>
      </c>
      <c r="G158" s="1">
        <v>7.26</v>
      </c>
      <c r="H158" s="14">
        <f t="shared" si="2"/>
        <v>-9.129999999999999</v>
      </c>
      <c r="I158" s="23"/>
      <c r="J158" s="7"/>
      <c r="K158" s="7"/>
      <c r="L158" s="24"/>
      <c r="M158" s="3" t="s">
        <v>325</v>
      </c>
      <c r="V158" s="135"/>
    </row>
    <row r="159" spans="1:28">
      <c r="A159" s="82" t="s">
        <v>326</v>
      </c>
      <c r="B159" s="130">
        <v>-4.9627563400000003</v>
      </c>
      <c r="C159" s="71"/>
      <c r="D159" s="12">
        <v>0.70969645885144073</v>
      </c>
      <c r="E159" s="10">
        <v>11</v>
      </c>
      <c r="F159" s="10">
        <v>149.6</v>
      </c>
      <c r="G159" s="1">
        <v>6.45</v>
      </c>
      <c r="H159" s="14">
        <f t="shared" si="2"/>
        <v>-7.1959999999999997</v>
      </c>
      <c r="I159" s="23"/>
      <c r="J159" s="7"/>
      <c r="K159" s="7"/>
      <c r="L159" s="24"/>
      <c r="M159" s="3" t="s">
        <v>327</v>
      </c>
      <c r="V159" s="135"/>
    </row>
    <row r="160" spans="1:28" s="62" customFormat="1">
      <c r="A160" s="81" t="s">
        <v>328</v>
      </c>
      <c r="B160" s="130">
        <v>-3.6112146300000001</v>
      </c>
      <c r="C160" s="71"/>
      <c r="D160" s="12">
        <v>0.49644864464459931</v>
      </c>
      <c r="E160" s="10">
        <v>4</v>
      </c>
      <c r="F160" s="10">
        <v>304.5</v>
      </c>
      <c r="G160" s="1">
        <v>2.69</v>
      </c>
      <c r="H160" s="14">
        <f t="shared" si="2"/>
        <v>-4.9849999999999994</v>
      </c>
      <c r="I160" s="35"/>
      <c r="J160" s="27"/>
      <c r="K160" s="27"/>
      <c r="L160" s="28"/>
      <c r="M160" s="3" t="s">
        <v>329</v>
      </c>
      <c r="N160"/>
      <c r="O160"/>
      <c r="P160"/>
      <c r="Q160"/>
      <c r="R160"/>
      <c r="S160"/>
      <c r="T160"/>
      <c r="U160"/>
      <c r="V160" s="135"/>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7" spans="1:28">
      <c r="V167" s="62"/>
    </row>
    <row r="168" spans="1:28">
      <c r="A168" t="s">
        <v>333</v>
      </c>
      <c r="Z168" s="62"/>
    </row>
    <row r="169" spans="1:28">
      <c r="A169" t="s">
        <v>334</v>
      </c>
    </row>
    <row r="170" spans="1:28" ht="15.75" customHeight="1"/>
    <row r="171" spans="1:28" s="47" customFormat="1" ht="19">
      <c r="A171" s="101" t="s">
        <v>335</v>
      </c>
      <c r="V171"/>
      <c r="W171"/>
      <c r="X171"/>
      <c r="Y171"/>
      <c r="Z171"/>
    </row>
    <row r="172" spans="1:28" s="47" customFormat="1" ht="18">
      <c r="A172" s="95" t="s">
        <v>336</v>
      </c>
      <c r="V172"/>
      <c r="W172"/>
      <c r="X172"/>
      <c r="Y172"/>
      <c r="Z172"/>
    </row>
    <row r="173" spans="1:28" s="47" customFormat="1" ht="16">
      <c r="A173" s="95" t="s">
        <v>337</v>
      </c>
      <c r="V173"/>
      <c r="W173"/>
      <c r="X173"/>
      <c r="Y173"/>
      <c r="Z173"/>
    </row>
    <row r="174" spans="1:28" s="47" customFormat="1">
      <c r="A174" s="96" t="s">
        <v>338</v>
      </c>
      <c r="V174"/>
      <c r="W174" s="62"/>
      <c r="X174" s="62"/>
      <c r="Y174" s="62"/>
      <c r="Z174"/>
    </row>
    <row r="175" spans="1:28" s="47" customFormat="1">
      <c r="A175" s="97" t="s">
        <v>339</v>
      </c>
      <c r="V175"/>
      <c r="W175"/>
      <c r="X175"/>
      <c r="Y175"/>
      <c r="Z175"/>
    </row>
    <row r="176" spans="1:28" s="47" customFormat="1">
      <c r="A176" s="98" t="s">
        <v>340</v>
      </c>
      <c r="V176"/>
      <c r="W176"/>
      <c r="X176"/>
      <c r="Y176"/>
      <c r="Z176"/>
    </row>
    <row r="177" spans="1:26" s="47" customFormat="1">
      <c r="A177" s="47" t="s">
        <v>341</v>
      </c>
      <c r="W177"/>
      <c r="X177"/>
      <c r="Y177"/>
      <c r="Z177"/>
    </row>
    <row r="178" spans="1:26" s="47" customFormat="1">
      <c r="A178" s="99" t="s">
        <v>342</v>
      </c>
      <c r="W178"/>
      <c r="X178"/>
      <c r="Y178"/>
    </row>
    <row r="179" spans="1:26" s="47" customFormat="1">
      <c r="A179" s="47" t="s">
        <v>343</v>
      </c>
      <c r="W179"/>
      <c r="X179"/>
      <c r="Y179"/>
    </row>
    <row r="180" spans="1:26" s="47" customFormat="1">
      <c r="A180" s="98" t="s">
        <v>344</v>
      </c>
      <c r="W180"/>
      <c r="X180"/>
      <c r="Y180"/>
    </row>
    <row r="181" spans="1:26" s="47" customFormat="1">
      <c r="A181" s="47" t="s">
        <v>345</v>
      </c>
      <c r="W181"/>
      <c r="X181"/>
      <c r="Y181"/>
    </row>
    <row r="182" spans="1:26" s="47" customFormat="1">
      <c r="A182" s="47" t="s">
        <v>346</v>
      </c>
      <c r="W182"/>
      <c r="X182"/>
      <c r="Y182"/>
    </row>
    <row r="183" spans="1:26" s="47" customFormat="1">
      <c r="A183" s="96" t="s">
        <v>347</v>
      </c>
      <c r="W183"/>
      <c r="X183"/>
      <c r="Y183"/>
    </row>
    <row r="184" spans="1:26" s="47" customFormat="1">
      <c r="A184" s="96" t="s">
        <v>348</v>
      </c>
    </row>
    <row r="185" spans="1:26" s="47" customFormat="1">
      <c r="A185" s="47" t="s">
        <v>349</v>
      </c>
    </row>
    <row r="186" spans="1:26" s="47" customFormat="1">
      <c r="A186" s="47" t="s">
        <v>350</v>
      </c>
    </row>
    <row r="187" spans="1:26" s="47" customFormat="1">
      <c r="A187" s="99" t="s">
        <v>351</v>
      </c>
    </row>
    <row r="188" spans="1:26" s="47" customFormat="1">
      <c r="A188" s="99" t="s">
        <v>352</v>
      </c>
    </row>
    <row r="189" spans="1:26" s="47" customFormat="1">
      <c r="A189" s="98" t="s">
        <v>353</v>
      </c>
    </row>
    <row r="190" spans="1:26" s="47" customFormat="1">
      <c r="A190" s="99" t="s">
        <v>354</v>
      </c>
    </row>
    <row r="191" spans="1:26" s="47" customFormat="1">
      <c r="A191" s="47" t="s">
        <v>355</v>
      </c>
    </row>
    <row r="192" spans="1:26" s="47" customFormat="1"/>
    <row r="193" spans="1:26">
      <c r="A193" s="74" t="s">
        <v>356</v>
      </c>
      <c r="V193" s="47"/>
      <c r="W193" s="47"/>
      <c r="X193" s="47"/>
      <c r="Y193" s="47"/>
      <c r="Z193" s="47"/>
    </row>
    <row r="194" spans="1:26">
      <c r="A194" s="43"/>
      <c r="B194" s="44"/>
      <c r="C194" s="44"/>
      <c r="D194" s="44"/>
      <c r="E194" s="44"/>
      <c r="F194" s="44"/>
      <c r="G194" s="44"/>
      <c r="H194" s="44"/>
      <c r="I194" s="44"/>
      <c r="J194" s="44"/>
      <c r="K194" s="44"/>
      <c r="L194" s="44"/>
      <c r="M194" s="48"/>
      <c r="N194" s="44"/>
      <c r="O194" s="44"/>
      <c r="P194" s="44"/>
      <c r="Q194" s="45"/>
      <c r="V194" s="47"/>
      <c r="W194" s="47"/>
      <c r="X194" s="47"/>
      <c r="Y194" s="47"/>
      <c r="Z194" s="47"/>
    </row>
    <row r="195" spans="1:26">
      <c r="V195" s="47"/>
      <c r="W195" s="47"/>
      <c r="X195" s="47"/>
      <c r="Y195" s="47"/>
      <c r="Z195" s="47"/>
    </row>
    <row r="196" spans="1:26">
      <c r="V196" s="47"/>
      <c r="W196" s="47"/>
      <c r="X196" s="47"/>
      <c r="Y196" s="47"/>
      <c r="Z196" s="47"/>
    </row>
    <row r="197" spans="1:26">
      <c r="V197" s="47"/>
      <c r="W197" s="47"/>
      <c r="X197" s="47"/>
      <c r="Y197" s="47"/>
      <c r="Z197" s="47"/>
    </row>
    <row r="198" spans="1:26">
      <c r="V198" s="47"/>
      <c r="W198" s="47"/>
      <c r="X198" s="47"/>
      <c r="Y198" s="47"/>
      <c r="Z198" s="47"/>
    </row>
    <row r="199" spans="1:26">
      <c r="W199" s="47"/>
      <c r="X199" s="47"/>
      <c r="Y199" s="47"/>
      <c r="Z199" s="47"/>
    </row>
    <row r="200" spans="1:26">
      <c r="W200" s="47"/>
      <c r="X200" s="47"/>
      <c r="Y200" s="47"/>
    </row>
    <row r="201" spans="1:26">
      <c r="W201" s="47"/>
      <c r="X201" s="47"/>
      <c r="Y201" s="47"/>
    </row>
    <row r="202" spans="1:26">
      <c r="W202" s="47"/>
      <c r="X202" s="47"/>
      <c r="Y202" s="47"/>
    </row>
    <row r="203" spans="1:26">
      <c r="W203" s="47"/>
      <c r="X203" s="47"/>
      <c r="Y203" s="47"/>
    </row>
    <row r="204" spans="1:26">
      <c r="W204" s="47"/>
      <c r="X204" s="47"/>
      <c r="Y204" s="47"/>
    </row>
    <row r="205" spans="1:26">
      <c r="W205" s="47"/>
      <c r="X205" s="47"/>
      <c r="Y205" s="47"/>
    </row>
  </sheetData>
  <pageMargins left="0" right="0" top="0" bottom="0" header="0.3" footer="0.3"/>
  <pageSetup scale="54"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B96D5-795B-450D-864A-61D85DB9CCBF}">
  <dimension ref="A1:AB194"/>
  <sheetViews>
    <sheetView workbookViewId="0">
      <selection activeCell="W7" sqref="W7"/>
    </sheetView>
  </sheetViews>
  <sheetFormatPr baseColWidth="10" defaultColWidth="9.1640625" defaultRowHeight="15"/>
  <cols>
    <col min="1" max="1" width="18.83203125" customWidth="1"/>
    <col min="2" max="3" width="11.33203125" customWidth="1"/>
    <col min="4" max="4" width="7.6640625" customWidth="1"/>
    <col min="5" max="5" width="7.83203125" customWidth="1"/>
    <col min="6" max="6" width="10.1640625" customWidth="1"/>
    <col min="7" max="7" width="11.5" customWidth="1"/>
    <col min="9" max="9" width="13.1640625" customWidth="1"/>
    <col min="10" max="10" width="6.164062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783" t="s">
        <v>3</v>
      </c>
      <c r="B4" s="784"/>
      <c r="C4" s="785"/>
      <c r="D4" s="785"/>
      <c r="E4" s="785"/>
      <c r="F4" s="785"/>
      <c r="G4" s="785"/>
      <c r="H4" s="785"/>
      <c r="I4" s="785"/>
      <c r="J4" s="785"/>
      <c r="K4" s="785"/>
      <c r="L4" s="785"/>
      <c r="M4" s="786"/>
      <c r="N4" s="785"/>
      <c r="O4" s="785"/>
      <c r="P4" s="785"/>
      <c r="Q4" s="785"/>
      <c r="R4" s="787"/>
    </row>
    <row r="5" spans="1:25">
      <c r="A5" s="783" t="s">
        <v>4</v>
      </c>
      <c r="B5" s="39"/>
      <c r="C5" s="39"/>
      <c r="D5" s="39"/>
      <c r="E5" s="39"/>
      <c r="F5" s="39"/>
      <c r="G5" s="39"/>
      <c r="H5" s="39"/>
      <c r="I5" s="39"/>
      <c r="J5" s="39"/>
      <c r="K5" s="39"/>
      <c r="L5" s="39"/>
      <c r="M5" s="49"/>
      <c r="N5" s="39"/>
      <c r="O5" s="39"/>
      <c r="P5" s="39"/>
      <c r="Q5" s="39"/>
      <c r="R5" s="788"/>
    </row>
    <row r="6" spans="1:25">
      <c r="A6" s="789" t="s">
        <v>5</v>
      </c>
      <c r="B6" s="784"/>
      <c r="C6" s="785"/>
      <c r="D6" s="785"/>
      <c r="E6" s="785"/>
      <c r="F6" s="785"/>
      <c r="G6" s="785"/>
      <c r="H6" s="785"/>
      <c r="I6" s="785"/>
      <c r="J6" s="785"/>
      <c r="K6" s="785"/>
      <c r="L6" s="785"/>
      <c r="M6" s="786"/>
      <c r="N6" s="785"/>
      <c r="O6" s="785"/>
      <c r="P6" s="785"/>
      <c r="Q6" s="785"/>
      <c r="R6" s="787"/>
    </row>
    <row r="7" spans="1:25">
      <c r="A7" s="790"/>
      <c r="B7" s="791"/>
      <c r="C7" s="39"/>
      <c r="D7" s="39"/>
      <c r="E7" s="39"/>
      <c r="F7" s="39"/>
      <c r="G7" s="39"/>
      <c r="H7" s="39"/>
      <c r="I7" s="39"/>
      <c r="J7" s="39"/>
      <c r="K7" s="39"/>
      <c r="L7" s="39"/>
      <c r="M7" s="49"/>
      <c r="N7" s="39"/>
      <c r="O7" s="39"/>
      <c r="P7" s="39"/>
      <c r="Q7" s="39"/>
      <c r="R7" s="788"/>
    </row>
    <row r="8" spans="1:25">
      <c r="A8" s="789" t="s">
        <v>6</v>
      </c>
      <c r="B8" s="792"/>
      <c r="C8" s="785"/>
      <c r="D8" s="785"/>
      <c r="E8" s="785"/>
      <c r="F8" s="785"/>
      <c r="G8" s="785"/>
      <c r="H8" s="785"/>
      <c r="I8" s="785"/>
      <c r="J8" s="785"/>
      <c r="K8" s="785"/>
      <c r="L8" s="785"/>
      <c r="M8" s="786"/>
      <c r="N8" s="785"/>
      <c r="O8" s="785"/>
      <c r="P8" s="785"/>
      <c r="Q8" s="785"/>
      <c r="R8" s="787"/>
    </row>
    <row r="9" spans="1:25">
      <c r="A9" s="793" t="s">
        <v>7</v>
      </c>
      <c r="B9" s="794"/>
      <c r="C9" s="794"/>
      <c r="D9" s="794"/>
      <c r="E9" s="794"/>
      <c r="F9" s="794"/>
      <c r="G9" s="794"/>
      <c r="H9" s="794"/>
      <c r="I9" s="794"/>
      <c r="J9" s="794"/>
      <c r="K9" s="794"/>
      <c r="L9" s="794"/>
      <c r="M9" s="795"/>
      <c r="N9" s="794"/>
      <c r="O9" s="794"/>
      <c r="P9" s="794"/>
      <c r="Q9" s="794"/>
      <c r="R9" s="796"/>
    </row>
    <row r="10" spans="1:25">
      <c r="A10" s="88"/>
    </row>
    <row r="11" spans="1:25" s="86" customFormat="1" ht="26">
      <c r="A11" s="86" t="s">
        <v>8</v>
      </c>
    </row>
    <row r="12" spans="1:25">
      <c r="B12" s="94" t="s">
        <v>9</v>
      </c>
    </row>
    <row r="13" spans="1:25" s="90" customFormat="1">
      <c r="A13" s="89" t="s">
        <v>10</v>
      </c>
    </row>
    <row r="14" spans="1:25">
      <c r="B14" s="797" t="s">
        <v>32</v>
      </c>
      <c r="C14" t="s">
        <v>11</v>
      </c>
    </row>
    <row r="15" spans="1:25" s="90" customFormat="1">
      <c r="A15" s="89" t="s">
        <v>12</v>
      </c>
    </row>
    <row r="16" spans="1:25">
      <c r="B16" s="797"/>
      <c r="C16" t="s">
        <v>11</v>
      </c>
    </row>
    <row r="17" spans="1:28" s="90" customFormat="1">
      <c r="A17" s="89" t="s">
        <v>13</v>
      </c>
    </row>
    <row r="18" spans="1:28">
      <c r="B18" s="784"/>
      <c r="C18" s="785"/>
      <c r="D18" s="785"/>
      <c r="E18" s="785"/>
      <c r="F18" s="785"/>
      <c r="G18" s="785"/>
      <c r="H18" s="785"/>
      <c r="I18" s="785"/>
      <c r="J18" s="785"/>
      <c r="K18" s="785"/>
      <c r="L18" s="785"/>
      <c r="M18" s="786"/>
      <c r="N18" s="785"/>
      <c r="O18" s="785"/>
      <c r="P18" s="785"/>
      <c r="Q18" s="785"/>
      <c r="R18" s="787"/>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798" t="s">
        <v>18</v>
      </c>
      <c r="B22" s="799" t="s">
        <v>19</v>
      </c>
      <c r="C22" s="799" t="s">
        <v>20</v>
      </c>
      <c r="D22" s="799" t="s">
        <v>21</v>
      </c>
      <c r="E22" s="799" t="s">
        <v>22</v>
      </c>
      <c r="F22" s="799" t="s">
        <v>23</v>
      </c>
      <c r="G22" s="799" t="s">
        <v>24</v>
      </c>
      <c r="H22" s="799" t="s">
        <v>25</v>
      </c>
      <c r="I22" s="800"/>
      <c r="J22" s="801" t="s">
        <v>27</v>
      </c>
      <c r="K22" s="801"/>
      <c r="L22" s="801"/>
      <c r="M22" s="802" t="s">
        <v>28</v>
      </c>
      <c r="N22" s="803"/>
      <c r="O22" s="803"/>
      <c r="P22" s="803"/>
      <c r="Q22" s="803"/>
      <c r="R22" s="803"/>
      <c r="S22" s="803"/>
      <c r="T22" s="804"/>
      <c r="U22" s="46"/>
      <c r="V22" s="46"/>
      <c r="W22" s="46"/>
      <c r="X22" s="46"/>
      <c r="Y22" s="46"/>
      <c r="Z22" s="46"/>
      <c r="AA22" s="46"/>
      <c r="AB22" s="46"/>
    </row>
    <row r="23" spans="1:28">
      <c r="A23" s="81" t="s">
        <v>29</v>
      </c>
      <c r="B23" s="805">
        <v>-2.36</v>
      </c>
      <c r="C23" s="73" t="s">
        <v>30</v>
      </c>
      <c r="D23" s="12">
        <v>0.17592262140645501</v>
      </c>
      <c r="E23" s="10">
        <v>11</v>
      </c>
      <c r="F23" s="10">
        <v>258.5</v>
      </c>
      <c r="G23" s="6">
        <v>-0.86</v>
      </c>
      <c r="H23" s="14">
        <f t="shared" ref="H23:H86" si="0">0.5-G23-0.01*(F23-25)</f>
        <v>-0.97500000000000009</v>
      </c>
      <c r="I23" s="806" t="s">
        <v>31</v>
      </c>
      <c r="J23" s="807"/>
      <c r="K23" s="14"/>
      <c r="L23" s="14"/>
      <c r="M23" s="11" t="s">
        <v>33</v>
      </c>
      <c r="V23" s="808"/>
    </row>
    <row r="24" spans="1:28">
      <c r="A24" s="82" t="s">
        <v>35</v>
      </c>
      <c r="B24" s="809">
        <v>-2.2000000000000002</v>
      </c>
      <c r="C24" s="73" t="s">
        <v>36</v>
      </c>
      <c r="D24" s="12">
        <v>0.14701293131372209</v>
      </c>
      <c r="E24" s="10">
        <v>16</v>
      </c>
      <c r="F24" s="10">
        <v>142.4</v>
      </c>
      <c r="G24" s="6">
        <v>1.31</v>
      </c>
      <c r="H24" s="14">
        <f t="shared" si="0"/>
        <v>-1.9840000000000002</v>
      </c>
      <c r="I24" s="806" t="s">
        <v>37</v>
      </c>
      <c r="J24" s="807"/>
      <c r="K24" s="14"/>
      <c r="L24" s="14"/>
      <c r="M24" s="11" t="s">
        <v>38</v>
      </c>
      <c r="V24" s="808"/>
    </row>
    <row r="25" spans="1:28">
      <c r="A25" s="81" t="s">
        <v>40</v>
      </c>
      <c r="B25" s="809">
        <v>-3.04</v>
      </c>
      <c r="C25" s="73" t="s">
        <v>41</v>
      </c>
      <c r="D25" s="12">
        <v>0.15746026945991629</v>
      </c>
      <c r="E25" s="10">
        <v>4</v>
      </c>
      <c r="F25" s="10">
        <v>92</v>
      </c>
      <c r="G25" s="6">
        <v>2.5299999999999998</v>
      </c>
      <c r="H25" s="14">
        <f t="shared" si="0"/>
        <v>-2.6999999999999997</v>
      </c>
      <c r="I25" s="806" t="s">
        <v>42</v>
      </c>
      <c r="J25" s="807"/>
      <c r="K25" s="14"/>
      <c r="L25" s="14"/>
      <c r="M25" s="11" t="s">
        <v>43</v>
      </c>
      <c r="V25" s="808"/>
    </row>
    <row r="26" spans="1:28">
      <c r="A26" s="82" t="s">
        <v>45</v>
      </c>
      <c r="B26" s="809">
        <v>-3.06</v>
      </c>
      <c r="C26" s="73" t="s">
        <v>46</v>
      </c>
      <c r="D26" s="12">
        <v>0.16999222507469616</v>
      </c>
      <c r="E26" s="10">
        <v>3</v>
      </c>
      <c r="F26" s="10">
        <v>234</v>
      </c>
      <c r="G26" s="6">
        <v>3.19</v>
      </c>
      <c r="H26" s="14">
        <f t="shared" si="0"/>
        <v>-4.7799999999999994</v>
      </c>
      <c r="I26" s="810" t="s">
        <v>47</v>
      </c>
      <c r="J26" s="811"/>
      <c r="K26" s="14"/>
      <c r="L26" s="14"/>
      <c r="M26" s="11" t="s">
        <v>48</v>
      </c>
      <c r="V26" s="808"/>
    </row>
    <row r="27" spans="1:28">
      <c r="A27" s="82" t="s">
        <v>50</v>
      </c>
      <c r="B27" s="809">
        <v>-4.99</v>
      </c>
      <c r="C27" s="73" t="s">
        <v>51</v>
      </c>
      <c r="D27" s="12">
        <v>0.21168830858587184</v>
      </c>
      <c r="E27" s="10">
        <v>3</v>
      </c>
      <c r="F27" s="10">
        <v>139.25</v>
      </c>
      <c r="G27" s="6">
        <v>4.8600000000000003</v>
      </c>
      <c r="H27" s="14">
        <f t="shared" si="0"/>
        <v>-5.5025000000000004</v>
      </c>
      <c r="I27" s="810" t="s">
        <v>52</v>
      </c>
      <c r="J27" s="811"/>
      <c r="K27" s="14"/>
      <c r="L27" s="14"/>
      <c r="M27" s="11" t="s">
        <v>53</v>
      </c>
      <c r="V27" s="808"/>
    </row>
    <row r="28" spans="1:28">
      <c r="A28" s="81" t="s">
        <v>55</v>
      </c>
      <c r="B28" s="809">
        <v>-5.83</v>
      </c>
      <c r="C28" s="71"/>
      <c r="D28" s="12">
        <v>0.18412396392404196</v>
      </c>
      <c r="E28" s="10">
        <v>3</v>
      </c>
      <c r="F28" s="10">
        <v>224.00000000000003</v>
      </c>
      <c r="G28" s="6">
        <v>5.51</v>
      </c>
      <c r="H28" s="14">
        <f t="shared" si="0"/>
        <v>-7</v>
      </c>
      <c r="I28" s="810" t="s">
        <v>56</v>
      </c>
      <c r="J28" s="811"/>
      <c r="K28" s="14"/>
      <c r="L28" s="14"/>
      <c r="M28" s="11" t="s">
        <v>57</v>
      </c>
      <c r="V28" s="808"/>
    </row>
    <row r="29" spans="1:28">
      <c r="A29" s="81" t="s">
        <v>59</v>
      </c>
      <c r="B29" s="809">
        <v>-2.5299999999999998</v>
      </c>
      <c r="C29" s="71"/>
      <c r="D29" s="12">
        <v>0.14933733874523175</v>
      </c>
      <c r="E29" s="10">
        <v>6</v>
      </c>
      <c r="F29" s="10">
        <v>172.5</v>
      </c>
      <c r="G29" s="6">
        <v>1.78</v>
      </c>
      <c r="H29" s="14">
        <f t="shared" si="0"/>
        <v>-2.7549999999999999</v>
      </c>
      <c r="I29" s="810" t="s">
        <v>60</v>
      </c>
      <c r="J29" s="812"/>
      <c r="K29" s="14"/>
      <c r="L29" s="14"/>
      <c r="M29" s="11" t="s">
        <v>61</v>
      </c>
      <c r="V29" s="808"/>
    </row>
    <row r="30" spans="1:28">
      <c r="A30" s="81" t="s">
        <v>63</v>
      </c>
      <c r="B30" s="809">
        <v>-2.37</v>
      </c>
      <c r="C30" s="71"/>
      <c r="D30" s="12">
        <v>0.14842266063120066</v>
      </c>
      <c r="E30" s="10">
        <v>4</v>
      </c>
      <c r="F30" s="10">
        <v>207.50000000000003</v>
      </c>
      <c r="G30" s="6">
        <v>1.86</v>
      </c>
      <c r="H30" s="14">
        <f t="shared" si="0"/>
        <v>-3.1850000000000005</v>
      </c>
      <c r="I30" s="813" t="s">
        <v>64</v>
      </c>
      <c r="J30" s="814" t="s">
        <v>1060</v>
      </c>
      <c r="K30" s="815"/>
      <c r="L30" s="816"/>
      <c r="M30" s="11" t="s">
        <v>65</v>
      </c>
      <c r="V30" s="808"/>
    </row>
    <row r="31" spans="1:28">
      <c r="A31" s="83" t="s">
        <v>66</v>
      </c>
      <c r="B31" s="809">
        <v>-2.48</v>
      </c>
      <c r="C31" s="71"/>
      <c r="D31" s="12">
        <v>0.1617973106900604</v>
      </c>
      <c r="E31" s="10">
        <v>10</v>
      </c>
      <c r="F31" s="10">
        <v>166.5</v>
      </c>
      <c r="G31" s="6">
        <v>0.79</v>
      </c>
      <c r="H31" s="14">
        <f t="shared" si="0"/>
        <v>-1.7050000000000001</v>
      </c>
      <c r="J31" s="14"/>
      <c r="K31" s="14"/>
      <c r="L31" s="14"/>
      <c r="M31" s="11" t="s">
        <v>67</v>
      </c>
      <c r="V31" s="808"/>
    </row>
    <row r="32" spans="1:28">
      <c r="A32" s="82" t="s">
        <v>68</v>
      </c>
      <c r="B32" s="809">
        <v>-3.88</v>
      </c>
      <c r="C32" s="71"/>
      <c r="D32" s="12">
        <v>0.21543706061278237</v>
      </c>
      <c r="E32" s="10">
        <v>6</v>
      </c>
      <c r="F32" s="10">
        <v>231.5</v>
      </c>
      <c r="G32" s="6">
        <v>2.4300000000000002</v>
      </c>
      <c r="H32" s="14">
        <f t="shared" si="0"/>
        <v>-3.9950000000000001</v>
      </c>
      <c r="I32" s="817" t="s">
        <v>69</v>
      </c>
      <c r="J32" s="818"/>
      <c r="K32" s="818"/>
      <c r="L32" s="819"/>
      <c r="M32" s="11" t="s">
        <v>70</v>
      </c>
      <c r="V32" s="808"/>
    </row>
    <row r="33" spans="1:22">
      <c r="A33" s="84" t="s">
        <v>71</v>
      </c>
      <c r="B33" s="820">
        <v>-3.72</v>
      </c>
      <c r="C33" s="72"/>
      <c r="D33" s="4">
        <v>0.12912520605069597</v>
      </c>
      <c r="E33" s="2">
        <v>3</v>
      </c>
      <c r="F33" s="13">
        <v>192.7</v>
      </c>
      <c r="G33" s="6">
        <v>2.63</v>
      </c>
      <c r="H33" s="14">
        <f t="shared" si="0"/>
        <v>-3.8069999999999995</v>
      </c>
      <c r="I33" s="821" t="s">
        <v>1061</v>
      </c>
      <c r="J33" s="822"/>
      <c r="K33" s="822"/>
      <c r="L33" s="823"/>
      <c r="M33" s="11" t="s">
        <v>72</v>
      </c>
      <c r="V33" s="808"/>
    </row>
    <row r="34" spans="1:22">
      <c r="A34" s="81" t="s">
        <v>74</v>
      </c>
      <c r="B34" s="809">
        <v>-6.24</v>
      </c>
      <c r="C34" s="71"/>
      <c r="D34" s="12">
        <v>0.14911462098310888</v>
      </c>
      <c r="E34" s="10">
        <v>6</v>
      </c>
      <c r="F34" s="10">
        <v>167</v>
      </c>
      <c r="G34" s="6">
        <v>6.32</v>
      </c>
      <c r="H34" s="14">
        <f t="shared" si="0"/>
        <v>-7.24</v>
      </c>
      <c r="I34" s="824" t="s">
        <v>1062</v>
      </c>
      <c r="J34" s="7"/>
      <c r="K34" s="7"/>
      <c r="L34" s="825"/>
      <c r="M34" s="11" t="s">
        <v>75</v>
      </c>
      <c r="V34" s="808"/>
    </row>
    <row r="35" spans="1:22">
      <c r="A35" s="82" t="s">
        <v>77</v>
      </c>
      <c r="B35" s="809">
        <v>-3.99</v>
      </c>
      <c r="C35" s="71"/>
      <c r="D35" s="12">
        <v>0.15809078703524676</v>
      </c>
      <c r="E35" s="10">
        <v>15</v>
      </c>
      <c r="F35" s="10">
        <v>191.5</v>
      </c>
      <c r="G35" s="6">
        <v>3.39</v>
      </c>
      <c r="H35" s="14">
        <f t="shared" si="0"/>
        <v>-4.5549999999999997</v>
      </c>
      <c r="I35" s="826" t="s">
        <v>1063</v>
      </c>
      <c r="J35" s="7"/>
      <c r="K35" s="7"/>
      <c r="L35" s="825"/>
      <c r="M35" s="11" t="s">
        <v>78</v>
      </c>
      <c r="V35" s="808"/>
    </row>
    <row r="36" spans="1:22">
      <c r="A36" s="83" t="s">
        <v>80</v>
      </c>
      <c r="B36" s="809">
        <v>-3.03</v>
      </c>
      <c r="C36" s="71"/>
      <c r="D36" s="12">
        <v>0.1911503089068218</v>
      </c>
      <c r="E36" s="10">
        <v>3</v>
      </c>
      <c r="F36" s="10">
        <v>246.2</v>
      </c>
      <c r="G36" s="6">
        <v>3.32</v>
      </c>
      <c r="H36" s="14">
        <f t="shared" si="0"/>
        <v>-5.032</v>
      </c>
      <c r="I36" s="827" t="s">
        <v>1064</v>
      </c>
      <c r="J36" s="7"/>
      <c r="K36" s="7"/>
      <c r="L36" s="825"/>
      <c r="M36" s="11" t="s">
        <v>81</v>
      </c>
      <c r="V36" s="808"/>
    </row>
    <row r="37" spans="1:22">
      <c r="A37" s="83" t="s">
        <v>73</v>
      </c>
      <c r="B37" s="809">
        <v>-2.63</v>
      </c>
      <c r="C37" s="71"/>
      <c r="D37" s="12">
        <v>0.19050575600734274</v>
      </c>
      <c r="E37" s="10">
        <v>4</v>
      </c>
      <c r="F37" s="10">
        <v>304</v>
      </c>
      <c r="G37" s="6">
        <v>1.74</v>
      </c>
      <c r="H37" s="14">
        <f t="shared" si="0"/>
        <v>-4.03</v>
      </c>
      <c r="I37" s="827" t="s">
        <v>1065</v>
      </c>
      <c r="J37" s="7"/>
      <c r="K37" s="7"/>
      <c r="L37" s="825"/>
      <c r="M37" s="11" t="s">
        <v>83</v>
      </c>
      <c r="V37" s="808"/>
    </row>
    <row r="38" spans="1:22">
      <c r="A38" s="81" t="s">
        <v>76</v>
      </c>
      <c r="B38" s="809">
        <v>-3.06</v>
      </c>
      <c r="C38" s="71"/>
      <c r="D38" s="12">
        <v>0.13682393527498057</v>
      </c>
      <c r="E38" s="10">
        <v>7</v>
      </c>
      <c r="F38" s="10">
        <v>187</v>
      </c>
      <c r="G38" s="6">
        <v>-0.87</v>
      </c>
      <c r="H38" s="14">
        <f t="shared" si="0"/>
        <v>-0.25</v>
      </c>
      <c r="I38" s="828"/>
      <c r="J38" s="7"/>
      <c r="K38" s="7"/>
      <c r="L38" s="825"/>
      <c r="M38" s="829" t="s">
        <v>85</v>
      </c>
      <c r="V38" s="808"/>
    </row>
    <row r="39" spans="1:22">
      <c r="A39" s="81" t="s">
        <v>87</v>
      </c>
      <c r="B39" s="809">
        <v>-2.84</v>
      </c>
      <c r="C39" s="71"/>
      <c r="D39" s="12">
        <v>0.20462356367492032</v>
      </c>
      <c r="E39" s="10">
        <v>4</v>
      </c>
      <c r="F39" s="10">
        <v>221.5</v>
      </c>
      <c r="G39" s="6">
        <v>0.71</v>
      </c>
      <c r="H39" s="14">
        <f t="shared" si="0"/>
        <v>-2.1749999999999998</v>
      </c>
      <c r="I39" s="830"/>
      <c r="J39" s="7"/>
      <c r="K39" s="7"/>
      <c r="L39" s="825"/>
      <c r="M39" s="11" t="s">
        <v>88</v>
      </c>
      <c r="V39" s="808"/>
    </row>
    <row r="40" spans="1:22">
      <c r="A40" s="81" t="s">
        <v>90</v>
      </c>
      <c r="B40" s="809">
        <v>-4.8600000000000003</v>
      </c>
      <c r="C40" s="71"/>
      <c r="D40" s="12">
        <v>0.18274602564465547</v>
      </c>
      <c r="E40" s="10">
        <v>6</v>
      </c>
      <c r="F40" s="10">
        <v>157.83333333333334</v>
      </c>
      <c r="G40" s="6">
        <v>3.51</v>
      </c>
      <c r="H40" s="14">
        <f t="shared" si="0"/>
        <v>-4.3383333333333329</v>
      </c>
      <c r="I40" s="830"/>
      <c r="J40" s="39"/>
      <c r="K40" s="39"/>
      <c r="L40" s="788"/>
      <c r="M40" s="11" t="s">
        <v>91</v>
      </c>
      <c r="V40" s="808"/>
    </row>
    <row r="41" spans="1:22">
      <c r="A41" s="84" t="s">
        <v>93</v>
      </c>
      <c r="B41" s="820">
        <v>-2.79</v>
      </c>
      <c r="C41" s="72"/>
      <c r="D41" s="4">
        <v>0.12610247911779729</v>
      </c>
      <c r="E41" s="2">
        <v>8</v>
      </c>
      <c r="F41" s="10">
        <v>140</v>
      </c>
      <c r="G41" s="6">
        <v>0.35</v>
      </c>
      <c r="H41" s="14">
        <f t="shared" si="0"/>
        <v>-1</v>
      </c>
      <c r="I41" s="830"/>
      <c r="J41" s="39"/>
      <c r="K41" s="39"/>
      <c r="L41" s="788"/>
      <c r="M41" s="11" t="s">
        <v>94</v>
      </c>
      <c r="V41" s="808"/>
    </row>
    <row r="42" spans="1:22">
      <c r="A42" s="82" t="s">
        <v>96</v>
      </c>
      <c r="B42" s="809">
        <v>-3.14</v>
      </c>
      <c r="C42" s="71"/>
      <c r="D42" s="12">
        <v>0.14493441954543959</v>
      </c>
      <c r="E42" s="10">
        <v>7</v>
      </c>
      <c r="F42" s="10">
        <v>127.93333333333334</v>
      </c>
      <c r="G42" s="6">
        <v>1.74</v>
      </c>
      <c r="H42" s="14">
        <f t="shared" si="0"/>
        <v>-2.2693333333333334</v>
      </c>
      <c r="I42" s="830"/>
      <c r="J42" s="39"/>
      <c r="K42" s="39"/>
      <c r="L42" s="788"/>
      <c r="M42" s="11" t="s">
        <v>97</v>
      </c>
      <c r="V42" s="808"/>
    </row>
    <row r="43" spans="1:22">
      <c r="A43" s="82" t="s">
        <v>79</v>
      </c>
      <c r="B43" s="809">
        <v>-4.53</v>
      </c>
      <c r="C43" s="71"/>
      <c r="D43" s="12">
        <v>0.14861388626870758</v>
      </c>
      <c r="E43" s="10">
        <v>7</v>
      </c>
      <c r="F43" s="10">
        <v>176</v>
      </c>
      <c r="G43" s="6">
        <v>4.4800000000000004</v>
      </c>
      <c r="H43" s="14">
        <f t="shared" si="0"/>
        <v>-5.49</v>
      </c>
      <c r="I43" s="830"/>
      <c r="J43" s="39"/>
      <c r="K43" s="39"/>
      <c r="L43" s="788"/>
      <c r="M43" s="11" t="s">
        <v>99</v>
      </c>
      <c r="V43" s="808"/>
    </row>
    <row r="44" spans="1:22">
      <c r="A44" s="85" t="s">
        <v>101</v>
      </c>
      <c r="B44" s="820">
        <v>-3.55</v>
      </c>
      <c r="C44" s="72"/>
      <c r="D44" s="4">
        <v>0.1280711495400205</v>
      </c>
      <c r="E44" s="2">
        <v>3</v>
      </c>
      <c r="F44" s="10">
        <v>159.69999999999999</v>
      </c>
      <c r="G44" s="6">
        <v>3.46</v>
      </c>
      <c r="H44" s="14">
        <f t="shared" si="0"/>
        <v>-4.3070000000000004</v>
      </c>
      <c r="I44" s="830"/>
      <c r="J44" s="39"/>
      <c r="K44" s="39"/>
      <c r="L44" s="788"/>
      <c r="M44" s="11" t="s">
        <v>102</v>
      </c>
      <c r="V44" s="808"/>
    </row>
    <row r="45" spans="1:22">
      <c r="A45" s="84" t="s">
        <v>104</v>
      </c>
      <c r="B45" s="820">
        <v>-2.39</v>
      </c>
      <c r="C45" s="72"/>
      <c r="D45" s="4">
        <v>0.21683500301481054</v>
      </c>
      <c r="E45" s="2">
        <v>8</v>
      </c>
      <c r="F45" s="10">
        <v>142</v>
      </c>
      <c r="G45" s="6">
        <v>0.6</v>
      </c>
      <c r="H45" s="14">
        <f t="shared" si="0"/>
        <v>-1.27</v>
      </c>
      <c r="I45" s="830"/>
      <c r="J45" s="39"/>
      <c r="K45" s="39"/>
      <c r="L45" s="788"/>
      <c r="M45" s="11" t="s">
        <v>105</v>
      </c>
      <c r="V45" s="808"/>
    </row>
    <row r="46" spans="1:22">
      <c r="A46" s="82" t="s">
        <v>107</v>
      </c>
      <c r="B46" s="809">
        <v>-3.19</v>
      </c>
      <c r="C46" s="71"/>
      <c r="D46" s="12">
        <v>0.18255878892749886</v>
      </c>
      <c r="E46" s="10">
        <v>20</v>
      </c>
      <c r="F46" s="10">
        <v>267</v>
      </c>
      <c r="G46" s="6">
        <v>1.58</v>
      </c>
      <c r="H46" s="14">
        <f t="shared" si="0"/>
        <v>-3.5</v>
      </c>
      <c r="I46" s="830"/>
      <c r="J46" s="39"/>
      <c r="K46" s="39"/>
      <c r="L46" s="788"/>
      <c r="M46" s="11" t="s">
        <v>108</v>
      </c>
      <c r="V46" s="808"/>
    </row>
    <row r="47" spans="1:22">
      <c r="A47" s="81" t="s">
        <v>110</v>
      </c>
      <c r="B47" s="809">
        <v>-3.61</v>
      </c>
      <c r="C47" s="71"/>
      <c r="D47" s="12">
        <v>0.16704647063532602</v>
      </c>
      <c r="E47" s="10">
        <v>6</v>
      </c>
      <c r="F47" s="10">
        <v>110.00000000000001</v>
      </c>
      <c r="G47" s="6">
        <v>3.36</v>
      </c>
      <c r="H47" s="14">
        <f t="shared" si="0"/>
        <v>-3.71</v>
      </c>
      <c r="I47" s="830"/>
      <c r="J47" s="39"/>
      <c r="K47" s="39"/>
      <c r="L47" s="788"/>
      <c r="M47" s="11" t="s">
        <v>111</v>
      </c>
      <c r="V47" s="808"/>
    </row>
    <row r="48" spans="1:22">
      <c r="A48" s="82" t="s">
        <v>82</v>
      </c>
      <c r="B48" s="809">
        <v>-3.22</v>
      </c>
      <c r="C48" s="71"/>
      <c r="D48" s="12">
        <v>0.17164501312359953</v>
      </c>
      <c r="E48" s="10">
        <v>7</v>
      </c>
      <c r="F48" s="10">
        <v>182</v>
      </c>
      <c r="G48" s="6">
        <v>2.67</v>
      </c>
      <c r="H48" s="14">
        <f t="shared" si="0"/>
        <v>-3.74</v>
      </c>
      <c r="I48" s="830"/>
      <c r="J48" s="39"/>
      <c r="K48" s="39"/>
      <c r="L48" s="788"/>
      <c r="M48" s="11" t="s">
        <v>113</v>
      </c>
      <c r="V48" s="808"/>
    </row>
    <row r="49" spans="1:22">
      <c r="A49" s="84" t="s">
        <v>115</v>
      </c>
      <c r="B49" s="820">
        <v>-3.09</v>
      </c>
      <c r="C49" s="72"/>
      <c r="D49" s="4">
        <v>0.12558353028546052</v>
      </c>
      <c r="E49" s="2">
        <v>4</v>
      </c>
      <c r="F49" s="10">
        <v>222.00000000000003</v>
      </c>
      <c r="G49" s="6">
        <v>2.56</v>
      </c>
      <c r="H49" s="14">
        <f t="shared" si="0"/>
        <v>-4.03</v>
      </c>
      <c r="I49" s="830"/>
      <c r="J49" s="39"/>
      <c r="K49" s="39"/>
      <c r="L49" s="788"/>
      <c r="M49" s="11" t="s">
        <v>116</v>
      </c>
      <c r="V49" s="808"/>
    </row>
    <row r="50" spans="1:22">
      <c r="A50" s="82" t="s">
        <v>118</v>
      </c>
      <c r="B50" s="809">
        <v>-4.8</v>
      </c>
      <c r="C50" s="71"/>
      <c r="D50" s="12">
        <v>0.1568133990664792</v>
      </c>
      <c r="E50" s="10">
        <v>6</v>
      </c>
      <c r="F50" s="10">
        <v>151</v>
      </c>
      <c r="G50" s="6">
        <v>3.27</v>
      </c>
      <c r="H50" s="14">
        <f t="shared" si="0"/>
        <v>-4.03</v>
      </c>
      <c r="I50" s="830"/>
      <c r="J50" s="39"/>
      <c r="K50" s="39"/>
      <c r="L50" s="788"/>
      <c r="M50" s="11" t="s">
        <v>119</v>
      </c>
      <c r="V50" s="808"/>
    </row>
    <row r="51" spans="1:22">
      <c r="A51" s="85" t="s">
        <v>84</v>
      </c>
      <c r="B51" s="820">
        <v>-3.97</v>
      </c>
      <c r="C51" s="72"/>
      <c r="D51" s="4">
        <v>0.12789394574374285</v>
      </c>
      <c r="E51" s="2">
        <v>5</v>
      </c>
      <c r="F51" s="10">
        <v>330</v>
      </c>
      <c r="G51" s="6">
        <v>2.87</v>
      </c>
      <c r="H51" s="14">
        <f t="shared" si="0"/>
        <v>-5.42</v>
      </c>
      <c r="I51" s="830"/>
      <c r="J51" s="39"/>
      <c r="K51" s="39"/>
      <c r="L51" s="788"/>
      <c r="M51" s="11" t="s">
        <v>120</v>
      </c>
      <c r="V51" s="808"/>
    </row>
    <row r="52" spans="1:22">
      <c r="A52" s="82" t="s">
        <v>121</v>
      </c>
      <c r="B52" s="809">
        <v>-3.93</v>
      </c>
      <c r="C52" s="71"/>
      <c r="D52" s="12">
        <v>0.18012800124370357</v>
      </c>
      <c r="E52" s="10">
        <v>3</v>
      </c>
      <c r="F52" s="10">
        <v>100</v>
      </c>
      <c r="G52" s="6">
        <v>3.53</v>
      </c>
      <c r="H52" s="14">
        <f t="shared" si="0"/>
        <v>-3.78</v>
      </c>
      <c r="I52" s="831"/>
      <c r="J52" s="7"/>
      <c r="K52" s="7"/>
      <c r="L52" s="825"/>
      <c r="M52" s="11" t="s">
        <v>122</v>
      </c>
      <c r="V52" s="808"/>
    </row>
    <row r="53" spans="1:22">
      <c r="A53" s="81" t="s">
        <v>123</v>
      </c>
      <c r="B53" s="809">
        <v>-3.14</v>
      </c>
      <c r="C53" s="71"/>
      <c r="D53" s="12">
        <v>0.18062104750721683</v>
      </c>
      <c r="E53" s="10">
        <v>16</v>
      </c>
      <c r="F53" s="10">
        <v>262.5</v>
      </c>
      <c r="G53" s="6">
        <v>1.9</v>
      </c>
      <c r="H53" s="14">
        <f t="shared" si="0"/>
        <v>-3.7749999999999999</v>
      </c>
      <c r="I53" s="831"/>
      <c r="J53" s="7"/>
      <c r="K53" s="7"/>
      <c r="L53" s="825"/>
      <c r="M53" s="11" t="s">
        <v>124</v>
      </c>
      <c r="V53" s="808"/>
    </row>
    <row r="54" spans="1:22">
      <c r="A54" s="84" t="s">
        <v>125</v>
      </c>
      <c r="B54" s="820">
        <v>-3.03</v>
      </c>
      <c r="C54" s="72"/>
      <c r="D54" s="4">
        <v>0.22156244268660033</v>
      </c>
      <c r="E54" s="2">
        <v>4</v>
      </c>
      <c r="F54" s="10">
        <v>328.85</v>
      </c>
      <c r="G54" s="6">
        <v>1.87</v>
      </c>
      <c r="H54" s="14">
        <f t="shared" si="0"/>
        <v>-4.4085000000000001</v>
      </c>
      <c r="I54" s="831"/>
      <c r="J54" s="7"/>
      <c r="K54" s="7"/>
      <c r="L54" s="825"/>
      <c r="M54" s="11" t="s">
        <v>126</v>
      </c>
      <c r="V54" s="808"/>
    </row>
    <row r="55" spans="1:22">
      <c r="A55" s="82" t="s">
        <v>127</v>
      </c>
      <c r="B55" s="809">
        <v>-4.91</v>
      </c>
      <c r="C55" s="71"/>
      <c r="D55" s="12">
        <v>0.18450811780713378</v>
      </c>
      <c r="E55" s="10">
        <v>33</v>
      </c>
      <c r="F55" s="10">
        <v>167.5</v>
      </c>
      <c r="G55" s="6">
        <v>4.3600000000000003</v>
      </c>
      <c r="H55" s="14">
        <f t="shared" si="0"/>
        <v>-5.2850000000000001</v>
      </c>
      <c r="I55" s="831"/>
      <c r="J55" s="7"/>
      <c r="K55" s="7"/>
      <c r="L55" s="825"/>
      <c r="M55" s="11" t="s">
        <v>128</v>
      </c>
      <c r="V55" s="808"/>
    </row>
    <row r="56" spans="1:22">
      <c r="A56" s="82" t="s">
        <v>86</v>
      </c>
      <c r="B56" s="809">
        <v>-3.37</v>
      </c>
      <c r="C56" s="71"/>
      <c r="D56" s="12">
        <v>0.15609203233531485</v>
      </c>
      <c r="E56" s="10">
        <v>3</v>
      </c>
      <c r="F56" s="10">
        <v>223</v>
      </c>
      <c r="G56" s="6">
        <v>2.99</v>
      </c>
      <c r="H56" s="14">
        <f t="shared" si="0"/>
        <v>-4.4700000000000006</v>
      </c>
      <c r="I56" s="831"/>
      <c r="J56" s="7"/>
      <c r="K56" s="7"/>
      <c r="L56" s="825"/>
      <c r="M56" s="11" t="s">
        <v>129</v>
      </c>
      <c r="V56" s="808"/>
    </row>
    <row r="57" spans="1:22">
      <c r="A57" s="82" t="s">
        <v>89</v>
      </c>
      <c r="B57" s="809">
        <v>-4.96</v>
      </c>
      <c r="C57" s="71"/>
      <c r="D57" s="12">
        <v>0.20872343532408041</v>
      </c>
      <c r="E57" s="10">
        <v>3</v>
      </c>
      <c r="F57" s="10">
        <v>210.5</v>
      </c>
      <c r="G57" s="6">
        <v>2.72</v>
      </c>
      <c r="H57" s="14">
        <f t="shared" si="0"/>
        <v>-4.0750000000000002</v>
      </c>
      <c r="I57" s="791"/>
      <c r="J57" s="832"/>
      <c r="K57" s="832"/>
      <c r="L57" s="833"/>
      <c r="M57" s="11" t="s">
        <v>130</v>
      </c>
      <c r="V57" s="808"/>
    </row>
    <row r="58" spans="1:22">
      <c r="A58" s="84" t="s">
        <v>131</v>
      </c>
      <c r="B58" s="820">
        <v>-3.87</v>
      </c>
      <c r="C58" s="72"/>
      <c r="D58" s="4">
        <v>0.1297319013416561</v>
      </c>
      <c r="E58" s="2">
        <v>3</v>
      </c>
      <c r="F58" s="10">
        <v>209.75</v>
      </c>
      <c r="G58" s="6">
        <v>3.37</v>
      </c>
      <c r="H58" s="14">
        <f t="shared" si="0"/>
        <v>-4.7175000000000002</v>
      </c>
      <c r="J58" s="14"/>
      <c r="K58" s="14"/>
      <c r="L58" s="14"/>
      <c r="M58" s="11" t="s">
        <v>132</v>
      </c>
      <c r="V58" s="808"/>
    </row>
    <row r="59" spans="1:22">
      <c r="A59" s="81" t="s">
        <v>92</v>
      </c>
      <c r="B59" s="809">
        <v>-2.64</v>
      </c>
      <c r="C59" s="71"/>
      <c r="D59" s="12">
        <v>0.14124198841117766</v>
      </c>
      <c r="E59" s="10">
        <v>3</v>
      </c>
      <c r="F59" s="10">
        <v>53.5</v>
      </c>
      <c r="G59" s="6">
        <v>3.43</v>
      </c>
      <c r="H59" s="14">
        <f t="shared" si="0"/>
        <v>-3.2150000000000003</v>
      </c>
      <c r="I59" s="834" t="s">
        <v>133</v>
      </c>
      <c r="J59" s="835">
        <v>117</v>
      </c>
      <c r="K59" s="816"/>
      <c r="L59" s="14"/>
      <c r="M59" s="11" t="s">
        <v>134</v>
      </c>
      <c r="V59" s="808"/>
    </row>
    <row r="60" spans="1:22">
      <c r="A60" s="81" t="s">
        <v>135</v>
      </c>
      <c r="B60" s="809">
        <v>-2.17</v>
      </c>
      <c r="C60" s="71"/>
      <c r="D60" s="12">
        <v>0.17069281866408892</v>
      </c>
      <c r="E60" s="10">
        <v>6</v>
      </c>
      <c r="F60" s="10">
        <v>270</v>
      </c>
      <c r="G60" s="6">
        <v>0.05</v>
      </c>
      <c r="H60" s="14">
        <f t="shared" si="0"/>
        <v>-2</v>
      </c>
      <c r="I60" s="834" t="s">
        <v>136</v>
      </c>
      <c r="J60" s="835">
        <v>36</v>
      </c>
      <c r="K60" s="816"/>
      <c r="L60" s="14"/>
      <c r="M60" s="11" t="s">
        <v>137</v>
      </c>
      <c r="V60" s="808"/>
    </row>
    <row r="61" spans="1:22">
      <c r="A61" s="82" t="s">
        <v>138</v>
      </c>
      <c r="B61" s="809">
        <v>-3</v>
      </c>
      <c r="C61" s="71"/>
      <c r="D61" s="12">
        <v>0.2061475968316322</v>
      </c>
      <c r="E61" s="10">
        <v>3</v>
      </c>
      <c r="F61" s="10">
        <v>143.75</v>
      </c>
      <c r="G61" s="6">
        <v>1.6</v>
      </c>
      <c r="H61" s="14">
        <f t="shared" si="0"/>
        <v>-2.2875000000000001</v>
      </c>
      <c r="I61" s="834" t="s">
        <v>139</v>
      </c>
      <c r="J61" s="835">
        <f>COUNTA(A23:A122)</f>
        <v>100</v>
      </c>
      <c r="K61" s="816"/>
      <c r="L61" s="14"/>
      <c r="M61" s="11" t="s">
        <v>140</v>
      </c>
      <c r="V61" s="808"/>
    </row>
    <row r="62" spans="1:22">
      <c r="A62" s="81" t="s">
        <v>141</v>
      </c>
      <c r="B62" s="809">
        <v>-4.29</v>
      </c>
      <c r="C62" s="71"/>
      <c r="D62" s="12">
        <v>0.18021422622763517</v>
      </c>
      <c r="E62" s="10">
        <v>5</v>
      </c>
      <c r="F62" s="10">
        <v>214.5</v>
      </c>
      <c r="G62" s="6">
        <v>3.61</v>
      </c>
      <c r="H62" s="14">
        <f t="shared" si="0"/>
        <v>-5.0049999999999999</v>
      </c>
      <c r="I62" s="14"/>
      <c r="J62" s="14"/>
      <c r="K62" s="14"/>
      <c r="L62" s="14"/>
      <c r="M62" s="11" t="s">
        <v>142</v>
      </c>
      <c r="V62" s="808"/>
    </row>
    <row r="63" spans="1:22">
      <c r="A63" s="82" t="s">
        <v>143</v>
      </c>
      <c r="B63" s="809">
        <v>-4.1399999999999997</v>
      </c>
      <c r="C63" s="71"/>
      <c r="D63" s="12">
        <v>0.19225415374507382</v>
      </c>
      <c r="E63" s="10">
        <v>8</v>
      </c>
      <c r="F63" s="10">
        <v>255.29999999999998</v>
      </c>
      <c r="G63" s="6">
        <v>3.82</v>
      </c>
      <c r="H63" s="14">
        <f t="shared" si="0"/>
        <v>-5.6229999999999993</v>
      </c>
      <c r="I63" s="836" t="s">
        <v>144</v>
      </c>
      <c r="J63" s="818"/>
      <c r="K63" s="818"/>
      <c r="L63" s="819"/>
      <c r="M63" s="11" t="s">
        <v>145</v>
      </c>
      <c r="V63" s="808"/>
    </row>
    <row r="64" spans="1:22">
      <c r="A64" s="82" t="s">
        <v>146</v>
      </c>
      <c r="B64" s="809">
        <v>-2.88</v>
      </c>
      <c r="C64" s="71"/>
      <c r="D64" s="12">
        <v>0.17</v>
      </c>
      <c r="E64" s="10">
        <v>3</v>
      </c>
      <c r="F64" s="10">
        <v>189</v>
      </c>
      <c r="G64" s="6">
        <v>1.34</v>
      </c>
      <c r="H64" s="14">
        <f t="shared" si="0"/>
        <v>-2.4800000000000004</v>
      </c>
      <c r="I64" s="837" t="s">
        <v>1066</v>
      </c>
      <c r="J64" s="822"/>
      <c r="K64" s="822"/>
      <c r="L64" s="823"/>
      <c r="M64" s="11" t="s">
        <v>148</v>
      </c>
      <c r="V64" s="808"/>
    </row>
    <row r="65" spans="1:22">
      <c r="A65" s="82" t="s">
        <v>149</v>
      </c>
      <c r="B65" s="809">
        <v>-3.65</v>
      </c>
      <c r="C65" s="71"/>
      <c r="D65" s="12">
        <v>0.19794493160510693</v>
      </c>
      <c r="E65" s="10">
        <v>4</v>
      </c>
      <c r="F65" s="10">
        <v>243.5</v>
      </c>
      <c r="G65" s="6">
        <v>1.34</v>
      </c>
      <c r="H65" s="14">
        <f t="shared" si="0"/>
        <v>-3.0250000000000004</v>
      </c>
      <c r="I65" s="838" t="s">
        <v>1067</v>
      </c>
      <c r="J65" s="7"/>
      <c r="K65" s="7"/>
      <c r="L65" s="825"/>
      <c r="M65" s="11" t="s">
        <v>151</v>
      </c>
      <c r="V65" s="808"/>
    </row>
    <row r="66" spans="1:22">
      <c r="A66" s="81" t="s">
        <v>95</v>
      </c>
      <c r="B66" s="809">
        <v>-2.25</v>
      </c>
      <c r="C66" s="71"/>
      <c r="D66" s="12">
        <v>0.21056099074293383</v>
      </c>
      <c r="E66" s="10">
        <v>3</v>
      </c>
      <c r="F66" s="10">
        <v>36.5</v>
      </c>
      <c r="G66" s="6">
        <v>2.74</v>
      </c>
      <c r="H66" s="14">
        <f t="shared" si="0"/>
        <v>-2.3550000000000004</v>
      </c>
      <c r="I66" s="831"/>
      <c r="J66" s="7"/>
      <c r="K66" s="7"/>
      <c r="L66" s="825"/>
      <c r="M66" s="11" t="s">
        <v>152</v>
      </c>
      <c r="V66" s="808"/>
    </row>
    <row r="67" spans="1:22">
      <c r="A67" s="83" t="s">
        <v>153</v>
      </c>
      <c r="B67" s="809">
        <v>-3.54</v>
      </c>
      <c r="C67" s="71"/>
      <c r="D67" s="12">
        <v>0.21092434073951916</v>
      </c>
      <c r="E67" s="10">
        <v>10</v>
      </c>
      <c r="F67" s="10">
        <v>186</v>
      </c>
      <c r="G67" s="6">
        <v>3.4</v>
      </c>
      <c r="H67" s="14">
        <f t="shared" si="0"/>
        <v>-4.51</v>
      </c>
      <c r="I67" s="831"/>
      <c r="J67" s="7"/>
      <c r="K67" s="7"/>
      <c r="L67" s="825"/>
      <c r="M67" s="11" t="s">
        <v>154</v>
      </c>
      <c r="V67" s="808"/>
    </row>
    <row r="68" spans="1:22">
      <c r="A68" s="81" t="s">
        <v>98</v>
      </c>
      <c r="B68" s="809">
        <v>-3.61</v>
      </c>
      <c r="C68" s="71"/>
      <c r="D68" s="12">
        <v>0.18695478693957188</v>
      </c>
      <c r="E68" s="10">
        <v>3</v>
      </c>
      <c r="F68" s="10">
        <v>252.99999999999997</v>
      </c>
      <c r="G68" s="6">
        <v>2.35</v>
      </c>
      <c r="H68" s="14">
        <f t="shared" si="0"/>
        <v>-4.13</v>
      </c>
      <c r="I68" s="831"/>
      <c r="J68" s="7"/>
      <c r="K68" s="7"/>
      <c r="L68" s="825"/>
      <c r="M68" s="11" t="s">
        <v>155</v>
      </c>
      <c r="V68" s="808"/>
    </row>
    <row r="69" spans="1:22">
      <c r="A69" s="83" t="s">
        <v>156</v>
      </c>
      <c r="B69" s="809">
        <v>-4.16</v>
      </c>
      <c r="C69" s="71"/>
      <c r="D69" s="12">
        <v>0.20491085989689112</v>
      </c>
      <c r="E69" s="10">
        <v>23</v>
      </c>
      <c r="F69" s="10">
        <v>111.00000000000001</v>
      </c>
      <c r="G69" s="6">
        <v>3.68</v>
      </c>
      <c r="H69" s="14">
        <f t="shared" si="0"/>
        <v>-4.04</v>
      </c>
      <c r="I69" s="831"/>
      <c r="J69" s="7"/>
      <c r="K69" s="7"/>
      <c r="L69" s="825"/>
      <c r="M69" s="11" t="s">
        <v>157</v>
      </c>
      <c r="V69" s="808"/>
    </row>
    <row r="70" spans="1:22">
      <c r="A70" s="81" t="s">
        <v>158</v>
      </c>
      <c r="B70" s="809">
        <v>-3.08</v>
      </c>
      <c r="C70" s="71"/>
      <c r="D70" s="12">
        <v>0.15545016183846921</v>
      </c>
      <c r="E70" s="10">
        <v>6</v>
      </c>
      <c r="F70" s="10">
        <v>250</v>
      </c>
      <c r="G70" s="6">
        <v>-0.04</v>
      </c>
      <c r="H70" s="14">
        <f t="shared" si="0"/>
        <v>-1.71</v>
      </c>
      <c r="I70" s="831"/>
      <c r="J70" s="7"/>
      <c r="K70" s="7"/>
      <c r="L70" s="825"/>
      <c r="M70" s="11" t="s">
        <v>159</v>
      </c>
      <c r="V70" s="808"/>
    </row>
    <row r="71" spans="1:22">
      <c r="A71" s="82" t="s">
        <v>160</v>
      </c>
      <c r="B71" s="809">
        <v>-2.81</v>
      </c>
      <c r="C71" s="71"/>
      <c r="D71" s="12">
        <v>0.13261436390895148</v>
      </c>
      <c r="E71" s="10">
        <v>3</v>
      </c>
      <c r="F71" s="10">
        <v>250</v>
      </c>
      <c r="G71" s="6">
        <v>-1.97</v>
      </c>
      <c r="H71" s="14">
        <f t="shared" si="0"/>
        <v>0.21999999999999975</v>
      </c>
      <c r="I71" s="831"/>
      <c r="J71" s="7"/>
      <c r="K71" s="7"/>
      <c r="L71" s="825"/>
      <c r="M71" s="11" t="s">
        <v>161</v>
      </c>
      <c r="V71" s="808"/>
    </row>
    <row r="72" spans="1:22">
      <c r="A72" s="82" t="s">
        <v>162</v>
      </c>
      <c r="B72" s="809">
        <v>-3.69</v>
      </c>
      <c r="C72" s="71"/>
      <c r="D72" s="12">
        <v>0.21159815676624968</v>
      </c>
      <c r="E72" s="10">
        <v>9</v>
      </c>
      <c r="F72" s="10">
        <v>208.5</v>
      </c>
      <c r="G72" s="6">
        <v>2.08</v>
      </c>
      <c r="H72" s="14">
        <f t="shared" si="0"/>
        <v>-3.415</v>
      </c>
      <c r="I72" s="831"/>
      <c r="J72" s="7"/>
      <c r="K72" s="7"/>
      <c r="L72" s="825"/>
      <c r="M72" s="11" t="s">
        <v>163</v>
      </c>
      <c r="V72" s="808"/>
    </row>
    <row r="73" spans="1:22">
      <c r="A73" s="82" t="s">
        <v>164</v>
      </c>
      <c r="B73" s="809">
        <v>-3.07</v>
      </c>
      <c r="C73" s="71"/>
      <c r="D73" s="12">
        <v>0.1900151243705871</v>
      </c>
      <c r="E73" s="10">
        <v>15</v>
      </c>
      <c r="F73" s="10">
        <v>220.00000000000003</v>
      </c>
      <c r="G73" s="6">
        <v>2.69</v>
      </c>
      <c r="H73" s="14">
        <f t="shared" si="0"/>
        <v>-4.1400000000000006</v>
      </c>
      <c r="I73" s="831"/>
      <c r="J73" s="7"/>
      <c r="K73" s="7"/>
      <c r="L73" s="825"/>
      <c r="M73" s="11" t="s">
        <v>165</v>
      </c>
      <c r="V73" s="808"/>
    </row>
    <row r="74" spans="1:22">
      <c r="A74" s="82" t="s">
        <v>166</v>
      </c>
      <c r="B74" s="809">
        <v>-4.0199999999999996</v>
      </c>
      <c r="C74" s="71"/>
      <c r="D74" s="12">
        <v>0.16978183023026608</v>
      </c>
      <c r="E74" s="10">
        <v>10</v>
      </c>
      <c r="F74" s="10">
        <v>151</v>
      </c>
      <c r="G74" s="6">
        <v>4.43</v>
      </c>
      <c r="H74" s="14">
        <f t="shared" si="0"/>
        <v>-5.1899999999999995</v>
      </c>
      <c r="I74" s="831"/>
      <c r="J74" s="7"/>
      <c r="K74" s="7"/>
      <c r="L74" s="825"/>
      <c r="M74" s="11" t="s">
        <v>167</v>
      </c>
      <c r="V74" s="808"/>
    </row>
    <row r="75" spans="1:22">
      <c r="A75" s="83" t="s">
        <v>100</v>
      </c>
      <c r="B75" s="809">
        <v>-4.75</v>
      </c>
      <c r="C75" s="71"/>
      <c r="D75" s="12">
        <v>0.19416214604145643</v>
      </c>
      <c r="E75" s="10">
        <v>7</v>
      </c>
      <c r="F75" s="10">
        <v>154.5</v>
      </c>
      <c r="G75" s="6">
        <v>4.22</v>
      </c>
      <c r="H75" s="14">
        <f t="shared" si="0"/>
        <v>-5.0149999999999997</v>
      </c>
      <c r="I75" s="831"/>
      <c r="J75" s="7"/>
      <c r="K75" s="7"/>
      <c r="L75" s="825"/>
      <c r="M75" s="11" t="s">
        <v>168</v>
      </c>
      <c r="V75" s="808"/>
    </row>
    <row r="76" spans="1:22">
      <c r="A76" s="82" t="s">
        <v>169</v>
      </c>
      <c r="B76" s="809">
        <v>-4.66</v>
      </c>
      <c r="C76" s="71"/>
      <c r="D76" s="12">
        <v>0.16048013551961601</v>
      </c>
      <c r="E76" s="10">
        <v>5</v>
      </c>
      <c r="F76" s="10">
        <v>167.75</v>
      </c>
      <c r="G76" s="6">
        <v>2.87</v>
      </c>
      <c r="H76" s="14">
        <f t="shared" si="0"/>
        <v>-3.7975000000000003</v>
      </c>
      <c r="I76" s="831"/>
      <c r="J76" s="7"/>
      <c r="K76" s="7"/>
      <c r="L76" s="825"/>
      <c r="M76" s="11" t="s">
        <v>170</v>
      </c>
      <c r="V76" s="808"/>
    </row>
    <row r="77" spans="1:22">
      <c r="A77" s="84" t="s">
        <v>171</v>
      </c>
      <c r="B77" s="820">
        <v>-4.5999999999999996</v>
      </c>
      <c r="C77" s="72"/>
      <c r="D77" s="4">
        <v>0.22239504833634874</v>
      </c>
      <c r="E77" s="2">
        <v>21</v>
      </c>
      <c r="F77" s="10">
        <v>159</v>
      </c>
      <c r="G77" s="6">
        <v>3.93</v>
      </c>
      <c r="H77" s="14">
        <f t="shared" si="0"/>
        <v>-4.7700000000000005</v>
      </c>
      <c r="I77" s="831"/>
      <c r="J77" s="7"/>
      <c r="K77" s="7"/>
      <c r="L77" s="825"/>
      <c r="M77" s="11" t="s">
        <v>172</v>
      </c>
      <c r="V77" s="808"/>
    </row>
    <row r="78" spans="1:22">
      <c r="A78" s="82" t="s">
        <v>173</v>
      </c>
      <c r="B78" s="809">
        <v>-3.97</v>
      </c>
      <c r="C78" s="71"/>
      <c r="D78" s="12">
        <v>0.21209434799218393</v>
      </c>
      <c r="E78" s="10">
        <v>5</v>
      </c>
      <c r="F78" s="10">
        <v>213.49999999999997</v>
      </c>
      <c r="G78" s="6">
        <v>3.04</v>
      </c>
      <c r="H78" s="14">
        <f t="shared" si="0"/>
        <v>-4.4249999999999998</v>
      </c>
      <c r="I78" s="831"/>
      <c r="J78" s="7"/>
      <c r="K78" s="7"/>
      <c r="L78" s="825"/>
      <c r="M78" s="11" t="s">
        <v>174</v>
      </c>
      <c r="V78" s="808"/>
    </row>
    <row r="79" spans="1:22">
      <c r="A79" s="82" t="s">
        <v>175</v>
      </c>
      <c r="B79" s="809">
        <v>-5.05</v>
      </c>
      <c r="C79" s="71"/>
      <c r="D79" s="12">
        <v>0.1407224156406931</v>
      </c>
      <c r="E79" s="10">
        <v>11</v>
      </c>
      <c r="F79" s="10">
        <v>146</v>
      </c>
      <c r="G79" s="6">
        <v>4.21</v>
      </c>
      <c r="H79" s="14">
        <f t="shared" si="0"/>
        <v>-4.92</v>
      </c>
      <c r="I79" s="831"/>
      <c r="J79" s="7"/>
      <c r="K79" s="7"/>
      <c r="L79" s="825"/>
      <c r="M79" s="11" t="s">
        <v>176</v>
      </c>
      <c r="V79" s="808"/>
    </row>
    <row r="80" spans="1:22">
      <c r="A80" s="82" t="s">
        <v>177</v>
      </c>
      <c r="B80" s="809">
        <v>-4.9000000000000004</v>
      </c>
      <c r="C80" s="71"/>
      <c r="D80" s="12">
        <v>0.21748916450754371</v>
      </c>
      <c r="E80" s="10">
        <v>5</v>
      </c>
      <c r="F80" s="10">
        <v>92.333333333333329</v>
      </c>
      <c r="G80" s="6">
        <v>4.21</v>
      </c>
      <c r="H80" s="14">
        <f t="shared" si="0"/>
        <v>-4.3833333333333329</v>
      </c>
      <c r="I80" s="831"/>
      <c r="J80" s="7"/>
      <c r="K80" s="7"/>
      <c r="L80" s="825"/>
      <c r="M80" s="11" t="s">
        <v>178</v>
      </c>
      <c r="V80" s="808"/>
    </row>
    <row r="81" spans="1:22">
      <c r="A81" s="81" t="s">
        <v>179</v>
      </c>
      <c r="B81" s="809">
        <v>-3.93</v>
      </c>
      <c r="C81" s="71"/>
      <c r="D81" s="12">
        <v>0.20531013145176411</v>
      </c>
      <c r="E81" s="10">
        <v>8</v>
      </c>
      <c r="F81" s="10">
        <v>256</v>
      </c>
      <c r="G81" s="6">
        <v>2.71</v>
      </c>
      <c r="H81" s="14">
        <f t="shared" si="0"/>
        <v>-4.5199999999999996</v>
      </c>
      <c r="I81" s="831"/>
      <c r="J81" s="7"/>
      <c r="K81" s="7"/>
      <c r="L81" s="825"/>
      <c r="M81" s="11" t="s">
        <v>180</v>
      </c>
      <c r="V81" s="808"/>
    </row>
    <row r="82" spans="1:22">
      <c r="A82" s="81" t="s">
        <v>181</v>
      </c>
      <c r="B82" s="809">
        <v>-3.38</v>
      </c>
      <c r="C82" s="71"/>
      <c r="D82" s="12">
        <v>0.21176785142223761</v>
      </c>
      <c r="E82" s="10">
        <v>3</v>
      </c>
      <c r="F82" s="10">
        <v>80</v>
      </c>
      <c r="G82" s="6">
        <v>3.37</v>
      </c>
      <c r="H82" s="14">
        <f t="shared" si="0"/>
        <v>-3.42</v>
      </c>
      <c r="I82" s="831"/>
      <c r="J82" s="7"/>
      <c r="K82" s="7"/>
      <c r="L82" s="825"/>
      <c r="M82" s="11" t="s">
        <v>182</v>
      </c>
      <c r="V82" s="808"/>
    </row>
    <row r="83" spans="1:22">
      <c r="A83" s="81" t="s">
        <v>183</v>
      </c>
      <c r="B83" s="809">
        <v>-3.53</v>
      </c>
      <c r="C83" s="71"/>
      <c r="D83" s="12">
        <v>0.16217657762412213</v>
      </c>
      <c r="E83" s="10">
        <v>17</v>
      </c>
      <c r="F83" s="10">
        <v>153</v>
      </c>
      <c r="G83" s="6">
        <v>3.04</v>
      </c>
      <c r="H83" s="14">
        <f t="shared" si="0"/>
        <v>-3.8200000000000003</v>
      </c>
      <c r="I83" s="831"/>
      <c r="J83" s="7"/>
      <c r="K83" s="7"/>
      <c r="L83" s="825"/>
      <c r="M83" s="11" t="s">
        <v>184</v>
      </c>
      <c r="V83" s="808"/>
    </row>
    <row r="84" spans="1:22">
      <c r="A84" s="82" t="s">
        <v>185</v>
      </c>
      <c r="B84" s="809">
        <v>-5.1100000000000003</v>
      </c>
      <c r="C84" s="71"/>
      <c r="D84" s="12">
        <v>0.20448827496623867</v>
      </c>
      <c r="E84" s="10">
        <v>3</v>
      </c>
      <c r="F84" s="10">
        <v>349.84</v>
      </c>
      <c r="G84" s="6">
        <v>4.75</v>
      </c>
      <c r="H84" s="14">
        <f t="shared" si="0"/>
        <v>-7.4984000000000002</v>
      </c>
      <c r="I84" s="831"/>
      <c r="J84" s="7"/>
      <c r="K84" s="7"/>
      <c r="L84" s="825"/>
      <c r="M84" s="11" t="s">
        <v>186</v>
      </c>
      <c r="V84" s="808"/>
    </row>
    <row r="85" spans="1:22">
      <c r="A85" s="82" t="s">
        <v>187</v>
      </c>
      <c r="B85" s="809">
        <v>-3.68</v>
      </c>
      <c r="C85" s="71"/>
      <c r="D85" s="12">
        <v>0.14358294446577732</v>
      </c>
      <c r="E85" s="10">
        <v>6</v>
      </c>
      <c r="F85" s="10">
        <v>248</v>
      </c>
      <c r="G85" s="6">
        <v>2.65</v>
      </c>
      <c r="H85" s="14">
        <f t="shared" si="0"/>
        <v>-4.38</v>
      </c>
      <c r="I85" s="831"/>
      <c r="J85" s="7"/>
      <c r="K85" s="7"/>
      <c r="L85" s="825"/>
      <c r="M85" s="11" t="s">
        <v>188</v>
      </c>
      <c r="V85" s="808"/>
    </row>
    <row r="86" spans="1:22">
      <c r="A86" s="82" t="s">
        <v>189</v>
      </c>
      <c r="B86" s="809">
        <v>-3.63</v>
      </c>
      <c r="C86" s="71"/>
      <c r="D86" s="12">
        <v>0.15384096988991314</v>
      </c>
      <c r="E86" s="10">
        <v>11</v>
      </c>
      <c r="F86" s="10">
        <v>173</v>
      </c>
      <c r="G86" s="6">
        <v>2.1800000000000002</v>
      </c>
      <c r="H86" s="14">
        <f t="shared" si="0"/>
        <v>-3.16</v>
      </c>
      <c r="I86" s="831"/>
      <c r="J86" s="7"/>
      <c r="K86" s="7"/>
      <c r="L86" s="825"/>
      <c r="M86" s="11" t="s">
        <v>190</v>
      </c>
      <c r="V86" s="808"/>
    </row>
    <row r="87" spans="1:22">
      <c r="A87" s="82" t="s">
        <v>191</v>
      </c>
      <c r="B87" s="809">
        <v>-3.77</v>
      </c>
      <c r="C87" s="71"/>
      <c r="D87" s="12">
        <v>0.14176528631434945</v>
      </c>
      <c r="E87" s="10">
        <v>5</v>
      </c>
      <c r="F87" s="10">
        <v>143.75</v>
      </c>
      <c r="G87" s="6">
        <v>2.76</v>
      </c>
      <c r="H87" s="14">
        <f t="shared" ref="H87:H122" si="1">0.5-G87-0.01*(F87-25)</f>
        <v>-3.4474999999999998</v>
      </c>
      <c r="I87" s="831"/>
      <c r="J87" s="7"/>
      <c r="K87" s="7"/>
      <c r="L87" s="825"/>
      <c r="M87" s="11" t="s">
        <v>192</v>
      </c>
      <c r="V87" s="808"/>
    </row>
    <row r="88" spans="1:22">
      <c r="A88" s="82" t="s">
        <v>193</v>
      </c>
      <c r="B88" s="809">
        <v>-3.28</v>
      </c>
      <c r="C88" s="71"/>
      <c r="D88" s="12">
        <v>0.16213928191469343</v>
      </c>
      <c r="E88" s="10">
        <v>19</v>
      </c>
      <c r="F88" s="10">
        <v>220.5</v>
      </c>
      <c r="G88" s="6">
        <v>1.27</v>
      </c>
      <c r="H88" s="14">
        <f t="shared" si="1"/>
        <v>-2.7250000000000001</v>
      </c>
      <c r="I88" s="831"/>
      <c r="J88" s="7"/>
      <c r="K88" s="7"/>
      <c r="L88" s="825"/>
      <c r="M88" s="11" t="s">
        <v>194</v>
      </c>
      <c r="V88" s="808"/>
    </row>
    <row r="89" spans="1:22">
      <c r="A89" s="82" t="s">
        <v>195</v>
      </c>
      <c r="B89" s="809">
        <v>-4.29</v>
      </c>
      <c r="C89" s="71"/>
      <c r="D89" s="12">
        <v>0.16127920198135692</v>
      </c>
      <c r="E89" s="10">
        <v>5</v>
      </c>
      <c r="F89" s="10">
        <v>214</v>
      </c>
      <c r="G89" s="6">
        <v>3.83</v>
      </c>
      <c r="H89" s="14">
        <f t="shared" si="1"/>
        <v>-5.2200000000000006</v>
      </c>
      <c r="I89" s="831"/>
      <c r="J89" s="7"/>
      <c r="K89" s="7"/>
      <c r="L89" s="825"/>
      <c r="M89" s="11" t="s">
        <v>196</v>
      </c>
      <c r="V89" s="808"/>
    </row>
    <row r="90" spans="1:22">
      <c r="A90" s="83" t="s">
        <v>197</v>
      </c>
      <c r="B90" s="809">
        <v>-4.05</v>
      </c>
      <c r="C90" s="71"/>
      <c r="D90" s="12">
        <v>0.13869006117838048</v>
      </c>
      <c r="E90" s="10">
        <v>3</v>
      </c>
      <c r="F90" s="10">
        <v>176</v>
      </c>
      <c r="G90" s="6">
        <v>2.88</v>
      </c>
      <c r="H90" s="14">
        <f t="shared" si="1"/>
        <v>-3.8899999999999997</v>
      </c>
      <c r="I90" s="831"/>
      <c r="J90" s="7"/>
      <c r="K90" s="7"/>
      <c r="L90" s="825"/>
      <c r="M90" s="11" t="s">
        <v>198</v>
      </c>
      <c r="V90" s="808"/>
    </row>
    <row r="91" spans="1:22">
      <c r="A91" s="85" t="s">
        <v>199</v>
      </c>
      <c r="B91" s="820">
        <v>-3.14</v>
      </c>
      <c r="C91" s="72"/>
      <c r="D91" s="4">
        <v>0.1259834086188602</v>
      </c>
      <c r="E91" s="2">
        <v>14</v>
      </c>
      <c r="F91" s="10">
        <v>253.5</v>
      </c>
      <c r="G91" s="6">
        <v>1.54</v>
      </c>
      <c r="H91" s="14">
        <f t="shared" si="1"/>
        <v>-3.3250000000000002</v>
      </c>
      <c r="I91" s="831"/>
      <c r="J91" s="7"/>
      <c r="K91" s="7"/>
      <c r="L91" s="825"/>
      <c r="M91" s="11" t="s">
        <v>200</v>
      </c>
      <c r="V91" s="808"/>
    </row>
    <row r="92" spans="1:22">
      <c r="A92" s="82" t="s">
        <v>201</v>
      </c>
      <c r="B92" s="809">
        <v>-3.84</v>
      </c>
      <c r="C92" s="71"/>
      <c r="D92" s="12">
        <v>0.16504944177542516</v>
      </c>
      <c r="E92" s="10">
        <v>5</v>
      </c>
      <c r="F92" s="10">
        <v>205.50000000000003</v>
      </c>
      <c r="G92" s="6">
        <v>2.4500000000000002</v>
      </c>
      <c r="H92" s="14">
        <f t="shared" si="1"/>
        <v>-3.7550000000000008</v>
      </c>
      <c r="I92" s="831"/>
      <c r="J92" s="7"/>
      <c r="K92" s="7"/>
      <c r="L92" s="825"/>
      <c r="M92" s="11" t="s">
        <v>202</v>
      </c>
      <c r="V92" s="808"/>
    </row>
    <row r="93" spans="1:22">
      <c r="A93" s="83" t="s">
        <v>203</v>
      </c>
      <c r="B93" s="809">
        <v>-3.47</v>
      </c>
      <c r="C93" s="71"/>
      <c r="D93" s="12">
        <v>0.19426266518058349</v>
      </c>
      <c r="E93" s="10">
        <v>3</v>
      </c>
      <c r="F93" s="10">
        <v>96</v>
      </c>
      <c r="G93" s="6">
        <v>3.49</v>
      </c>
      <c r="H93" s="14">
        <f t="shared" si="1"/>
        <v>-3.7</v>
      </c>
      <c r="I93" s="831"/>
      <c r="J93" s="7"/>
      <c r="K93" s="7"/>
      <c r="L93" s="825"/>
      <c r="M93" s="11" t="s">
        <v>204</v>
      </c>
      <c r="V93" s="808"/>
    </row>
    <row r="94" spans="1:22">
      <c r="A94" s="82" t="s">
        <v>205</v>
      </c>
      <c r="B94" s="809">
        <v>-4.32</v>
      </c>
      <c r="C94" s="71"/>
      <c r="D94" s="12">
        <v>0.18894337149737056</v>
      </c>
      <c r="E94" s="10">
        <v>12</v>
      </c>
      <c r="F94" s="10">
        <v>147.25</v>
      </c>
      <c r="G94" s="6">
        <v>3.86</v>
      </c>
      <c r="H94" s="14">
        <f t="shared" si="1"/>
        <v>-4.5824999999999996</v>
      </c>
      <c r="I94" s="831"/>
      <c r="J94" s="7"/>
      <c r="K94" s="7"/>
      <c r="L94" s="825"/>
      <c r="M94" s="11" t="s">
        <v>206</v>
      </c>
      <c r="V94" s="808"/>
    </row>
    <row r="95" spans="1:22">
      <c r="A95" s="82" t="s">
        <v>207</v>
      </c>
      <c r="B95" s="809">
        <v>-4.68</v>
      </c>
      <c r="C95" s="71"/>
      <c r="D95" s="12">
        <v>0.17391407185160324</v>
      </c>
      <c r="E95" s="10">
        <v>6</v>
      </c>
      <c r="F95" s="10">
        <v>97</v>
      </c>
      <c r="G95" s="6">
        <v>3.94</v>
      </c>
      <c r="H95" s="14">
        <f t="shared" si="1"/>
        <v>-4.16</v>
      </c>
      <c r="I95" s="831"/>
      <c r="J95" s="7"/>
      <c r="K95" s="7"/>
      <c r="L95" s="825"/>
      <c r="M95" s="11" t="s">
        <v>208</v>
      </c>
      <c r="V95" s="808"/>
    </row>
    <row r="96" spans="1:22">
      <c r="A96" s="81" t="s">
        <v>209</v>
      </c>
      <c r="B96" s="809">
        <v>-2.02</v>
      </c>
      <c r="C96" s="71"/>
      <c r="D96" s="12">
        <v>0.13764369691033657</v>
      </c>
      <c r="E96" s="10">
        <v>10</v>
      </c>
      <c r="F96" s="10">
        <v>134.5</v>
      </c>
      <c r="G96" s="6">
        <v>2.04</v>
      </c>
      <c r="H96" s="14">
        <f t="shared" si="1"/>
        <v>-2.6349999999999998</v>
      </c>
      <c r="I96" s="831"/>
      <c r="J96" s="7"/>
      <c r="K96" s="7"/>
      <c r="L96" s="825"/>
      <c r="M96" s="11" t="s">
        <v>210</v>
      </c>
      <c r="V96" s="808"/>
    </row>
    <row r="97" spans="1:22">
      <c r="A97" s="82" t="s">
        <v>211</v>
      </c>
      <c r="B97" s="809">
        <v>-3.08</v>
      </c>
      <c r="C97" s="71"/>
      <c r="D97" s="12">
        <v>0.16245746888591447</v>
      </c>
      <c r="E97" s="10">
        <v>7</v>
      </c>
      <c r="F97" s="10">
        <v>139</v>
      </c>
      <c r="G97" s="6">
        <v>2.66</v>
      </c>
      <c r="H97" s="14">
        <f t="shared" si="1"/>
        <v>-3.3000000000000003</v>
      </c>
      <c r="I97" s="831"/>
      <c r="J97" s="7"/>
      <c r="K97" s="7"/>
      <c r="L97" s="825"/>
      <c r="M97" s="11" t="s">
        <v>212</v>
      </c>
      <c r="V97" s="808"/>
    </row>
    <row r="98" spans="1:22">
      <c r="A98" s="82" t="s">
        <v>213</v>
      </c>
      <c r="B98" s="809">
        <v>-2.74</v>
      </c>
      <c r="C98" s="71"/>
      <c r="D98" s="12">
        <v>0.15322122505052199</v>
      </c>
      <c r="E98" s="10">
        <v>9</v>
      </c>
      <c r="F98" s="10">
        <v>170</v>
      </c>
      <c r="G98" s="6">
        <v>1.91</v>
      </c>
      <c r="H98" s="14">
        <f t="shared" si="1"/>
        <v>-2.86</v>
      </c>
      <c r="I98" s="831"/>
      <c r="J98" s="7"/>
      <c r="K98" s="7"/>
      <c r="L98" s="825"/>
      <c r="M98" s="11" t="s">
        <v>214</v>
      </c>
      <c r="V98" s="808"/>
    </row>
    <row r="99" spans="1:22">
      <c r="A99" s="81" t="s">
        <v>215</v>
      </c>
      <c r="B99" s="809">
        <v>-3.4</v>
      </c>
      <c r="C99" s="71"/>
      <c r="D99" s="12">
        <v>0.15273607916541068</v>
      </c>
      <c r="E99" s="10">
        <v>10</v>
      </c>
      <c r="F99" s="10">
        <v>326</v>
      </c>
      <c r="G99" s="6">
        <v>2.44</v>
      </c>
      <c r="H99" s="14">
        <f t="shared" si="1"/>
        <v>-4.95</v>
      </c>
      <c r="I99" s="831"/>
      <c r="J99" s="7"/>
      <c r="K99" s="7"/>
      <c r="L99" s="825"/>
      <c r="M99" s="11" t="s">
        <v>216</v>
      </c>
      <c r="V99" s="808"/>
    </row>
    <row r="100" spans="1:22">
      <c r="A100" s="82" t="s">
        <v>217</v>
      </c>
      <c r="B100" s="809">
        <v>-3.2</v>
      </c>
      <c r="C100" s="71"/>
      <c r="D100" s="12">
        <v>0.18404701512102448</v>
      </c>
      <c r="E100" s="10">
        <v>5</v>
      </c>
      <c r="F100" s="10">
        <v>232.50000000000003</v>
      </c>
      <c r="G100" s="6">
        <v>1.8</v>
      </c>
      <c r="H100" s="14">
        <f t="shared" si="1"/>
        <v>-3.375</v>
      </c>
      <c r="I100" s="831"/>
      <c r="J100" s="7"/>
      <c r="K100" s="7"/>
      <c r="L100" s="825"/>
      <c r="M100" s="11" t="s">
        <v>218</v>
      </c>
      <c r="V100" s="808"/>
    </row>
    <row r="101" spans="1:22">
      <c r="A101" s="82" t="s">
        <v>219</v>
      </c>
      <c r="B101" s="809">
        <v>-2.66</v>
      </c>
      <c r="C101" s="71"/>
      <c r="D101" s="12">
        <v>0.13604063752604376</v>
      </c>
      <c r="E101" s="10">
        <v>4</v>
      </c>
      <c r="F101" s="10">
        <v>281.5</v>
      </c>
      <c r="G101" s="6">
        <v>0.54</v>
      </c>
      <c r="H101" s="14">
        <f t="shared" si="1"/>
        <v>-2.605</v>
      </c>
      <c r="I101" s="831"/>
      <c r="J101" s="7"/>
      <c r="K101" s="7"/>
      <c r="L101" s="825"/>
      <c r="M101" s="11" t="s">
        <v>220</v>
      </c>
      <c r="V101" s="808"/>
    </row>
    <row r="102" spans="1:22">
      <c r="A102" s="82" t="s">
        <v>221</v>
      </c>
      <c r="B102" s="809">
        <v>-2.99</v>
      </c>
      <c r="C102" s="71"/>
      <c r="D102" s="12">
        <v>0.19798964803022484</v>
      </c>
      <c r="E102" s="10">
        <v>4</v>
      </c>
      <c r="F102" s="10">
        <v>197.1</v>
      </c>
      <c r="G102" s="6">
        <v>2.2000000000000002</v>
      </c>
      <c r="H102" s="14">
        <f t="shared" si="1"/>
        <v>-3.4210000000000003</v>
      </c>
      <c r="I102" s="831"/>
      <c r="J102" s="7"/>
      <c r="K102" s="7"/>
      <c r="L102" s="825"/>
      <c r="M102" s="11" t="s">
        <v>222</v>
      </c>
      <c r="V102" s="808"/>
    </row>
    <row r="103" spans="1:22">
      <c r="A103" s="83" t="s">
        <v>223</v>
      </c>
      <c r="B103" s="809">
        <v>-4.7699999999999996</v>
      </c>
      <c r="C103" s="71"/>
      <c r="D103" s="12">
        <v>0.13486720020739137</v>
      </c>
      <c r="E103" s="10">
        <v>4</v>
      </c>
      <c r="F103" s="10">
        <v>33</v>
      </c>
      <c r="G103" s="6">
        <v>4.24</v>
      </c>
      <c r="H103" s="14">
        <f t="shared" si="1"/>
        <v>-3.8200000000000003</v>
      </c>
      <c r="I103" s="831"/>
      <c r="J103" s="7"/>
      <c r="K103" s="7"/>
      <c r="L103" s="825"/>
      <c r="M103" s="11" t="s">
        <v>224</v>
      </c>
      <c r="V103" s="808"/>
    </row>
    <row r="104" spans="1:22">
      <c r="A104" s="82" t="s">
        <v>225</v>
      </c>
      <c r="B104" s="809">
        <v>-4.9400000000000004</v>
      </c>
      <c r="C104" s="71"/>
      <c r="D104" s="12">
        <v>0.18801274760604275</v>
      </c>
      <c r="E104" s="10">
        <v>11</v>
      </c>
      <c r="F104" s="10">
        <v>60</v>
      </c>
      <c r="G104" s="6">
        <v>4.24</v>
      </c>
      <c r="H104" s="14">
        <f t="shared" si="1"/>
        <v>-4.09</v>
      </c>
      <c r="I104" s="831"/>
      <c r="J104" s="7"/>
      <c r="K104" s="7"/>
      <c r="L104" s="825"/>
      <c r="M104" s="11" t="s">
        <v>226</v>
      </c>
      <c r="V104" s="808"/>
    </row>
    <row r="105" spans="1:22">
      <c r="A105" s="82" t="s">
        <v>227</v>
      </c>
      <c r="B105" s="809">
        <v>-4.67</v>
      </c>
      <c r="C105" s="71"/>
      <c r="D105" s="12">
        <v>0.1664014074224209</v>
      </c>
      <c r="E105" s="10">
        <v>4</v>
      </c>
      <c r="F105" s="10">
        <v>130.5</v>
      </c>
      <c r="G105" s="6">
        <v>5.22</v>
      </c>
      <c r="H105" s="14">
        <f t="shared" si="1"/>
        <v>-5.7749999999999995</v>
      </c>
      <c r="I105" s="831"/>
      <c r="J105" s="7"/>
      <c r="K105" s="7"/>
      <c r="L105" s="825"/>
      <c r="M105" s="11" t="s">
        <v>228</v>
      </c>
      <c r="V105" s="808"/>
    </row>
    <row r="106" spans="1:22">
      <c r="A106" s="83" t="s">
        <v>103</v>
      </c>
      <c r="B106" s="809">
        <v>-3.39</v>
      </c>
      <c r="C106" s="71"/>
      <c r="D106" s="12">
        <v>0.17506472136100007</v>
      </c>
      <c r="E106" s="10">
        <v>7</v>
      </c>
      <c r="F106" s="10">
        <v>254</v>
      </c>
      <c r="G106" s="6">
        <v>2.97</v>
      </c>
      <c r="H106" s="14">
        <f t="shared" si="1"/>
        <v>-4.76</v>
      </c>
      <c r="I106" s="831"/>
      <c r="J106" s="7"/>
      <c r="K106" s="7"/>
      <c r="L106" s="825"/>
      <c r="M106" s="11" t="s">
        <v>229</v>
      </c>
      <c r="V106" s="808"/>
    </row>
    <row r="107" spans="1:22">
      <c r="A107" s="83" t="s">
        <v>230</v>
      </c>
      <c r="B107" s="809">
        <v>-5.46</v>
      </c>
      <c r="C107" s="71"/>
      <c r="D107" s="12">
        <v>0.1605416460069265</v>
      </c>
      <c r="E107" s="10">
        <v>5</v>
      </c>
      <c r="F107" s="10">
        <v>121</v>
      </c>
      <c r="G107" s="6">
        <v>5.91</v>
      </c>
      <c r="H107" s="14">
        <f t="shared" si="1"/>
        <v>-6.37</v>
      </c>
      <c r="I107" s="831"/>
      <c r="J107" s="7"/>
      <c r="K107" s="7"/>
      <c r="L107" s="825"/>
      <c r="M107" s="11" t="s">
        <v>231</v>
      </c>
      <c r="V107" s="808"/>
    </row>
    <row r="108" spans="1:22">
      <c r="A108" s="82" t="s">
        <v>232</v>
      </c>
      <c r="B108" s="809">
        <v>-4.18</v>
      </c>
      <c r="C108" s="71"/>
      <c r="D108" s="12">
        <v>0.15756984748208766</v>
      </c>
      <c r="E108" s="10">
        <v>5</v>
      </c>
      <c r="F108" s="10">
        <v>206.99999999999997</v>
      </c>
      <c r="G108" s="6">
        <v>2.56</v>
      </c>
      <c r="H108" s="14">
        <f t="shared" si="1"/>
        <v>-3.88</v>
      </c>
      <c r="I108" s="831"/>
      <c r="J108" s="7"/>
      <c r="K108" s="7"/>
      <c r="L108" s="825"/>
      <c r="M108" s="11" t="s">
        <v>233</v>
      </c>
      <c r="V108" s="808"/>
    </row>
    <row r="109" spans="1:22">
      <c r="A109" s="81" t="s">
        <v>234</v>
      </c>
      <c r="B109" s="809">
        <v>-3.98</v>
      </c>
      <c r="C109" s="71"/>
      <c r="D109" s="12">
        <v>0.16160362353179636</v>
      </c>
      <c r="E109" s="10">
        <v>6</v>
      </c>
      <c r="F109" s="10">
        <v>134.5</v>
      </c>
      <c r="G109" s="6">
        <v>4.8499999999999996</v>
      </c>
      <c r="H109" s="14">
        <f t="shared" si="1"/>
        <v>-5.4449999999999994</v>
      </c>
      <c r="I109" s="831"/>
      <c r="J109" s="7"/>
      <c r="K109" s="7"/>
      <c r="L109" s="825"/>
      <c r="M109" s="11" t="s">
        <v>235</v>
      </c>
      <c r="V109" s="808"/>
    </row>
    <row r="110" spans="1:22">
      <c r="A110" s="81" t="s">
        <v>236</v>
      </c>
      <c r="B110" s="809">
        <v>-3.67</v>
      </c>
      <c r="C110" s="71"/>
      <c r="D110" s="12">
        <v>0.18685765827673947</v>
      </c>
      <c r="E110" s="10">
        <v>6</v>
      </c>
      <c r="F110" s="10">
        <v>275</v>
      </c>
      <c r="G110" s="6">
        <v>2.09</v>
      </c>
      <c r="H110" s="14">
        <f t="shared" si="1"/>
        <v>-4.09</v>
      </c>
      <c r="I110" s="831"/>
      <c r="J110" s="7"/>
      <c r="K110" s="7"/>
      <c r="L110" s="825"/>
      <c r="M110" s="11" t="s">
        <v>237</v>
      </c>
      <c r="V110" s="808"/>
    </row>
    <row r="111" spans="1:22">
      <c r="A111" s="82" t="s">
        <v>238</v>
      </c>
      <c r="B111" s="809">
        <v>-4.5999999999999996</v>
      </c>
      <c r="C111" s="71"/>
      <c r="D111" s="12">
        <v>0.13950112944748669</v>
      </c>
      <c r="E111" s="10">
        <v>9</v>
      </c>
      <c r="F111" s="10">
        <v>220.00000000000003</v>
      </c>
      <c r="G111" s="6">
        <v>1.8</v>
      </c>
      <c r="H111" s="14">
        <f t="shared" si="1"/>
        <v>-3.2500000000000004</v>
      </c>
      <c r="I111" s="831"/>
      <c r="J111" s="7"/>
      <c r="K111" s="7"/>
      <c r="L111" s="825"/>
      <c r="M111" s="11" t="s">
        <v>239</v>
      </c>
      <c r="V111" s="808"/>
    </row>
    <row r="112" spans="1:22">
      <c r="A112" s="85" t="s">
        <v>240</v>
      </c>
      <c r="B112" s="820">
        <v>-3.06</v>
      </c>
      <c r="C112" s="72"/>
      <c r="D112" s="4">
        <v>0.22014005046870977</v>
      </c>
      <c r="E112" s="2">
        <v>9</v>
      </c>
      <c r="F112" s="10">
        <v>202</v>
      </c>
      <c r="G112" s="6">
        <v>1.53</v>
      </c>
      <c r="H112" s="14">
        <f t="shared" si="1"/>
        <v>-2.8</v>
      </c>
      <c r="I112" s="831"/>
      <c r="J112" s="7"/>
      <c r="K112" s="7"/>
      <c r="L112" s="825"/>
      <c r="M112" s="11" t="s">
        <v>241</v>
      </c>
      <c r="V112" s="808"/>
    </row>
    <row r="113" spans="1:28">
      <c r="A113" s="82" t="s">
        <v>242</v>
      </c>
      <c r="B113" s="809">
        <v>-2.86</v>
      </c>
      <c r="C113" s="71"/>
      <c r="D113" s="12">
        <v>0.14014083879485537</v>
      </c>
      <c r="E113" s="10">
        <v>3</v>
      </c>
      <c r="F113" s="10">
        <v>243.00000000000003</v>
      </c>
      <c r="G113" s="6">
        <v>1.48</v>
      </c>
      <c r="H113" s="14">
        <f t="shared" si="1"/>
        <v>-3.16</v>
      </c>
      <c r="I113" s="831"/>
      <c r="J113" s="7"/>
      <c r="K113" s="7"/>
      <c r="L113" s="825"/>
      <c r="M113" s="11" t="s">
        <v>243</v>
      </c>
      <c r="V113" s="808"/>
    </row>
    <row r="114" spans="1:28">
      <c r="A114" s="83" t="s">
        <v>244</v>
      </c>
      <c r="B114" s="809">
        <v>-3.04</v>
      </c>
      <c r="C114" s="71"/>
      <c r="D114" s="12">
        <v>0.13726989684757951</v>
      </c>
      <c r="E114" s="10">
        <v>3</v>
      </c>
      <c r="F114" s="10">
        <v>191</v>
      </c>
      <c r="G114" s="6">
        <v>1.67</v>
      </c>
      <c r="H114" s="14">
        <f t="shared" si="1"/>
        <v>-2.83</v>
      </c>
      <c r="I114" s="831"/>
      <c r="J114" s="7"/>
      <c r="K114" s="7"/>
      <c r="L114" s="825"/>
      <c r="M114" s="11" t="s">
        <v>245</v>
      </c>
      <c r="V114" s="808"/>
    </row>
    <row r="115" spans="1:28">
      <c r="A115" s="82" t="s">
        <v>246</v>
      </c>
      <c r="B115" s="809">
        <v>-4.5599999999999996</v>
      </c>
      <c r="C115" s="71"/>
      <c r="D115" s="12">
        <v>0.21357402153711522</v>
      </c>
      <c r="E115" s="10">
        <v>7</v>
      </c>
      <c r="F115" s="10">
        <v>183.5</v>
      </c>
      <c r="G115" s="6">
        <v>4.37</v>
      </c>
      <c r="H115" s="14">
        <f t="shared" si="1"/>
        <v>-5.4550000000000001</v>
      </c>
      <c r="I115" s="831"/>
      <c r="J115" s="7"/>
      <c r="K115" s="7"/>
      <c r="L115" s="825"/>
      <c r="M115" s="11" t="s">
        <v>247</v>
      </c>
      <c r="V115" s="808"/>
    </row>
    <row r="116" spans="1:28">
      <c r="A116" s="82" t="s">
        <v>248</v>
      </c>
      <c r="B116" s="809">
        <v>-2.5299999999999998</v>
      </c>
      <c r="C116" s="71"/>
      <c r="D116" s="12">
        <v>0.10564411177747912</v>
      </c>
      <c r="E116" s="10">
        <v>3</v>
      </c>
      <c r="F116" s="10">
        <v>149</v>
      </c>
      <c r="G116" s="6">
        <v>2.62</v>
      </c>
      <c r="H116" s="14">
        <f t="shared" si="1"/>
        <v>-3.3600000000000003</v>
      </c>
      <c r="I116" s="831"/>
      <c r="J116" s="7"/>
      <c r="K116" s="7"/>
      <c r="L116" s="825"/>
      <c r="M116" s="11" t="s">
        <v>249</v>
      </c>
      <c r="V116" s="808"/>
    </row>
    <row r="117" spans="1:28">
      <c r="A117" s="81" t="s">
        <v>250</v>
      </c>
      <c r="B117" s="809">
        <v>-3.19</v>
      </c>
      <c r="C117" s="71"/>
      <c r="D117" s="12">
        <v>0.14623917640453388</v>
      </c>
      <c r="E117" s="10">
        <v>8</v>
      </c>
      <c r="F117" s="10">
        <v>165</v>
      </c>
      <c r="G117" s="6">
        <v>-0.37</v>
      </c>
      <c r="H117" s="14">
        <f t="shared" si="1"/>
        <v>-0.53000000000000014</v>
      </c>
      <c r="I117" s="831"/>
      <c r="J117" s="7"/>
      <c r="K117" s="7"/>
      <c r="L117" s="825"/>
      <c r="M117" s="11" t="s">
        <v>251</v>
      </c>
      <c r="V117" s="808"/>
    </row>
    <row r="118" spans="1:28">
      <c r="A118" s="82" t="s">
        <v>252</v>
      </c>
      <c r="B118" s="809">
        <v>-2.37</v>
      </c>
      <c r="C118" s="71"/>
      <c r="D118" s="12">
        <v>0.16291639539032501</v>
      </c>
      <c r="E118" s="10">
        <v>10</v>
      </c>
      <c r="F118" s="10">
        <v>225</v>
      </c>
      <c r="G118" s="6">
        <v>0.81</v>
      </c>
      <c r="H118" s="14">
        <f t="shared" si="1"/>
        <v>-2.31</v>
      </c>
      <c r="I118" s="831"/>
      <c r="J118" s="7"/>
      <c r="K118" s="7"/>
      <c r="L118" s="825"/>
      <c r="M118" s="11" t="s">
        <v>253</v>
      </c>
      <c r="V118" s="808"/>
    </row>
    <row r="119" spans="1:28">
      <c r="A119" s="82" t="s">
        <v>254</v>
      </c>
      <c r="B119" s="809">
        <v>-3.08</v>
      </c>
      <c r="C119" s="71"/>
      <c r="D119" s="12">
        <v>0.21166647357477791</v>
      </c>
      <c r="E119" s="10">
        <v>5</v>
      </c>
      <c r="F119" s="10">
        <v>270</v>
      </c>
      <c r="G119" s="6">
        <v>0.62</v>
      </c>
      <c r="H119" s="14">
        <f t="shared" si="1"/>
        <v>-2.5700000000000003</v>
      </c>
      <c r="I119" s="831"/>
      <c r="J119" s="7"/>
      <c r="K119" s="7"/>
      <c r="L119" s="825"/>
      <c r="M119" s="11" t="s">
        <v>255</v>
      </c>
      <c r="V119" s="808"/>
    </row>
    <row r="120" spans="1:28">
      <c r="A120" s="81" t="s">
        <v>256</v>
      </c>
      <c r="B120" s="809">
        <v>-3.24</v>
      </c>
      <c r="C120" s="71"/>
      <c r="D120" s="12">
        <v>0.14175650298978676</v>
      </c>
      <c r="E120" s="10">
        <v>9</v>
      </c>
      <c r="F120" s="10">
        <v>312.66666666666669</v>
      </c>
      <c r="G120" s="6">
        <v>0.83</v>
      </c>
      <c r="H120" s="14">
        <f t="shared" si="1"/>
        <v>-3.206666666666667</v>
      </c>
      <c r="I120" s="831"/>
      <c r="J120" s="7"/>
      <c r="K120" s="7"/>
      <c r="L120" s="825"/>
      <c r="M120" s="11" t="s">
        <v>257</v>
      </c>
      <c r="V120" s="808"/>
    </row>
    <row r="121" spans="1:28">
      <c r="A121" s="82" t="s">
        <v>258</v>
      </c>
      <c r="B121" s="809">
        <v>-4.0199999999999996</v>
      </c>
      <c r="C121" s="71"/>
      <c r="D121" s="12">
        <v>0.2034688635346244</v>
      </c>
      <c r="E121" s="10">
        <v>11</v>
      </c>
      <c r="F121" s="10">
        <v>161</v>
      </c>
      <c r="G121" s="6">
        <v>3.61</v>
      </c>
      <c r="H121" s="14">
        <f t="shared" si="1"/>
        <v>-4.47</v>
      </c>
      <c r="I121" s="831"/>
      <c r="J121" s="7"/>
      <c r="K121" s="7"/>
      <c r="L121" s="825"/>
      <c r="M121" s="11" t="s">
        <v>259</v>
      </c>
      <c r="V121" s="808"/>
    </row>
    <row r="122" spans="1:28">
      <c r="A122" s="81" t="s">
        <v>109</v>
      </c>
      <c r="B122" s="809">
        <v>-2.9</v>
      </c>
      <c r="C122" s="71"/>
      <c r="D122" s="12">
        <v>0.20579636821699754</v>
      </c>
      <c r="E122" s="10">
        <v>3</v>
      </c>
      <c r="F122" s="10">
        <v>300</v>
      </c>
      <c r="G122" s="6">
        <v>-1.06</v>
      </c>
      <c r="H122" s="14">
        <f t="shared" si="1"/>
        <v>-1.19</v>
      </c>
      <c r="I122" s="839"/>
      <c r="J122" s="832"/>
      <c r="K122" s="832"/>
      <c r="L122" s="833"/>
      <c r="M122" s="11" t="s">
        <v>260</v>
      </c>
      <c r="V122" s="808"/>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798" t="s">
        <v>18</v>
      </c>
      <c r="B128" s="799" t="s">
        <v>267</v>
      </c>
      <c r="C128" s="799" t="s">
        <v>20</v>
      </c>
      <c r="D128" s="799" t="s">
        <v>21</v>
      </c>
      <c r="E128" s="799" t="s">
        <v>22</v>
      </c>
      <c r="F128" s="799" t="s">
        <v>23</v>
      </c>
      <c r="G128" s="799" t="s">
        <v>24</v>
      </c>
      <c r="H128" s="799" t="s">
        <v>25</v>
      </c>
      <c r="I128" s="800"/>
      <c r="J128" s="801" t="s">
        <v>27</v>
      </c>
      <c r="K128" s="801"/>
      <c r="L128" s="801"/>
      <c r="M128" s="802" t="s">
        <v>28</v>
      </c>
      <c r="N128" s="803"/>
      <c r="O128" s="803"/>
      <c r="P128" s="803"/>
      <c r="Q128" s="803"/>
      <c r="R128" s="803"/>
      <c r="S128" s="803"/>
      <c r="T128" s="803"/>
      <c r="U128" s="803"/>
      <c r="V128" s="804"/>
      <c r="W128" s="46"/>
      <c r="X128" s="46"/>
      <c r="Y128" s="46"/>
      <c r="Z128" s="46"/>
      <c r="AA128" s="46"/>
      <c r="AB128" s="46"/>
    </row>
    <row r="129" spans="1:22">
      <c r="A129" s="82" t="s">
        <v>268</v>
      </c>
      <c r="B129" s="805">
        <v>-2.54</v>
      </c>
      <c r="C129" s="73" t="s">
        <v>30</v>
      </c>
      <c r="D129" s="12">
        <v>0.50033555401430185</v>
      </c>
      <c r="E129" s="10">
        <v>3</v>
      </c>
      <c r="F129" s="10">
        <v>180</v>
      </c>
      <c r="G129" s="1">
        <v>1.91</v>
      </c>
      <c r="H129" s="14">
        <f t="shared" ref="H129:H160" si="2">0.5-G129-0.01*(F129-25)</f>
        <v>-2.96</v>
      </c>
      <c r="I129" s="806" t="s">
        <v>31</v>
      </c>
      <c r="J129" s="807"/>
      <c r="K129" s="14"/>
      <c r="L129" s="14"/>
      <c r="M129" s="3" t="s">
        <v>269</v>
      </c>
      <c r="V129" s="808"/>
    </row>
    <row r="130" spans="1:22">
      <c r="A130" s="82" t="s">
        <v>270</v>
      </c>
      <c r="B130" s="811">
        <v>-5.6</v>
      </c>
      <c r="C130" s="73" t="s">
        <v>36</v>
      </c>
      <c r="D130" s="12">
        <v>0.5</v>
      </c>
      <c r="E130" s="6">
        <v>5</v>
      </c>
      <c r="F130" s="10">
        <v>156</v>
      </c>
      <c r="G130" s="1">
        <v>6.94</v>
      </c>
      <c r="H130" s="14">
        <f t="shared" si="2"/>
        <v>-7.75</v>
      </c>
      <c r="I130" s="806" t="s">
        <v>37</v>
      </c>
      <c r="J130" s="807"/>
      <c r="K130" s="14"/>
      <c r="L130" s="14"/>
      <c r="M130" s="3" t="s">
        <v>271</v>
      </c>
      <c r="V130" s="808"/>
    </row>
    <row r="131" spans="1:22">
      <c r="A131" s="83" t="s">
        <v>272</v>
      </c>
      <c r="B131" s="809">
        <v>-4.88</v>
      </c>
      <c r="C131" s="73" t="s">
        <v>41</v>
      </c>
      <c r="D131" s="12">
        <v>0.6530957900260097</v>
      </c>
      <c r="E131" s="10">
        <v>3</v>
      </c>
      <c r="F131" s="10">
        <v>208</v>
      </c>
      <c r="G131" s="1">
        <v>5.18</v>
      </c>
      <c r="H131" s="14">
        <f t="shared" si="2"/>
        <v>-6.51</v>
      </c>
      <c r="I131" s="806" t="s">
        <v>42</v>
      </c>
      <c r="J131" s="807"/>
      <c r="K131" s="14"/>
      <c r="L131" s="14"/>
      <c r="M131" s="3" t="s">
        <v>273</v>
      </c>
      <c r="V131" s="808"/>
    </row>
    <row r="132" spans="1:22">
      <c r="A132" s="82" t="s">
        <v>274</v>
      </c>
      <c r="B132" s="809">
        <v>-2.09</v>
      </c>
      <c r="C132" s="73" t="s">
        <v>46</v>
      </c>
      <c r="D132" s="12">
        <v>0.59285217963150294</v>
      </c>
      <c r="E132" s="10">
        <v>3</v>
      </c>
      <c r="F132" s="10">
        <v>100</v>
      </c>
      <c r="G132" s="1">
        <v>2.37</v>
      </c>
      <c r="H132" s="14">
        <f t="shared" si="2"/>
        <v>-2.62</v>
      </c>
      <c r="I132" s="810" t="s">
        <v>47</v>
      </c>
      <c r="J132" s="811"/>
      <c r="K132" s="14"/>
      <c r="L132" s="14"/>
      <c r="M132" s="3" t="s">
        <v>275</v>
      </c>
      <c r="V132" s="808"/>
    </row>
    <row r="133" spans="1:22">
      <c r="A133" s="82" t="s">
        <v>276</v>
      </c>
      <c r="B133" s="809">
        <v>-4.6500000000000004</v>
      </c>
      <c r="C133" s="73" t="s">
        <v>51</v>
      </c>
      <c r="D133" s="12">
        <v>0.51067901383936642</v>
      </c>
      <c r="E133" s="10">
        <v>5</v>
      </c>
      <c r="F133" s="10">
        <v>217</v>
      </c>
      <c r="G133" s="1">
        <v>3.19</v>
      </c>
      <c r="H133" s="14">
        <f t="shared" si="2"/>
        <v>-4.6099999999999994</v>
      </c>
      <c r="I133" s="810" t="s">
        <v>52</v>
      </c>
      <c r="J133" s="811"/>
      <c r="K133" s="14"/>
      <c r="L133" s="14"/>
      <c r="M133" s="3" t="s">
        <v>277</v>
      </c>
      <c r="V133" s="808"/>
    </row>
    <row r="134" spans="1:22">
      <c r="A134" s="82" t="s">
        <v>278</v>
      </c>
      <c r="B134" s="809">
        <v>-4.29</v>
      </c>
      <c r="C134" s="71"/>
      <c r="D134" s="12">
        <v>0.83065522865171437</v>
      </c>
      <c r="E134" s="10">
        <v>3</v>
      </c>
      <c r="F134" s="10">
        <v>209.50000000000003</v>
      </c>
      <c r="G134" s="1">
        <v>4.41</v>
      </c>
      <c r="H134" s="14">
        <f t="shared" si="2"/>
        <v>-5.7550000000000008</v>
      </c>
      <c r="I134" s="810" t="s">
        <v>56</v>
      </c>
      <c r="J134" s="811"/>
      <c r="K134" s="14"/>
      <c r="L134" s="14"/>
      <c r="M134" s="3" t="s">
        <v>279</v>
      </c>
      <c r="V134" s="808"/>
    </row>
    <row r="135" spans="1:22">
      <c r="A135" s="82" t="s">
        <v>280</v>
      </c>
      <c r="B135" s="809">
        <v>-5.32</v>
      </c>
      <c r="C135" s="71"/>
      <c r="D135" s="12">
        <v>0.51097181417141646</v>
      </c>
      <c r="E135" s="10">
        <v>6</v>
      </c>
      <c r="F135" s="10">
        <v>97.5</v>
      </c>
      <c r="G135" s="1">
        <v>5.19</v>
      </c>
      <c r="H135" s="14">
        <f t="shared" si="2"/>
        <v>-5.415</v>
      </c>
      <c r="I135" s="810" t="s">
        <v>60</v>
      </c>
      <c r="J135" s="812"/>
      <c r="K135" s="14"/>
      <c r="L135" s="14"/>
      <c r="M135" s="3" t="s">
        <v>281</v>
      </c>
      <c r="V135" s="808"/>
    </row>
    <row r="136" spans="1:22">
      <c r="A136" s="81" t="s">
        <v>282</v>
      </c>
      <c r="B136" s="809">
        <v>-6.61</v>
      </c>
      <c r="C136" s="71"/>
      <c r="D136" s="12">
        <v>0.92735432696895004</v>
      </c>
      <c r="E136" s="10">
        <v>5</v>
      </c>
      <c r="F136" s="10">
        <v>211</v>
      </c>
      <c r="G136" s="1">
        <v>7.49</v>
      </c>
      <c r="H136" s="14">
        <f t="shared" si="2"/>
        <v>-8.85</v>
      </c>
      <c r="I136" s="813" t="s">
        <v>64</v>
      </c>
      <c r="J136" s="814" t="s">
        <v>1060</v>
      </c>
      <c r="K136" s="815"/>
      <c r="L136" s="816"/>
      <c r="M136" s="3" t="s">
        <v>283</v>
      </c>
      <c r="V136" s="808"/>
    </row>
    <row r="137" spans="1:22">
      <c r="A137" s="82" t="s">
        <v>112</v>
      </c>
      <c r="B137" s="809">
        <v>-3.68</v>
      </c>
      <c r="C137" s="71"/>
      <c r="D137" s="12">
        <v>0.68239272333923895</v>
      </c>
      <c r="E137" s="10">
        <v>3</v>
      </c>
      <c r="F137" s="10">
        <v>177</v>
      </c>
      <c r="G137" s="1">
        <v>3.37</v>
      </c>
      <c r="H137" s="14">
        <f t="shared" si="2"/>
        <v>-4.3900000000000006</v>
      </c>
      <c r="J137" s="14"/>
      <c r="K137" s="14"/>
      <c r="L137" s="14"/>
      <c r="M137" s="3" t="s">
        <v>284</v>
      </c>
      <c r="V137" s="808"/>
    </row>
    <row r="138" spans="1:22">
      <c r="A138" s="82" t="s">
        <v>285</v>
      </c>
      <c r="B138" s="809">
        <v>-4.38</v>
      </c>
      <c r="C138" s="71"/>
      <c r="D138" s="12">
        <v>0.520951861602862</v>
      </c>
      <c r="E138" s="10">
        <v>10</v>
      </c>
      <c r="F138" s="10">
        <v>228.6</v>
      </c>
      <c r="G138" s="1">
        <v>4.22</v>
      </c>
      <c r="H138" s="14">
        <f t="shared" si="2"/>
        <v>-5.7560000000000002</v>
      </c>
      <c r="I138" s="817" t="s">
        <v>286</v>
      </c>
      <c r="J138" s="818"/>
      <c r="K138" s="818"/>
      <c r="L138" s="819"/>
      <c r="M138" s="3" t="s">
        <v>287</v>
      </c>
      <c r="V138" s="808"/>
    </row>
    <row r="139" spans="1:22">
      <c r="A139" s="81" t="s">
        <v>288</v>
      </c>
      <c r="B139" s="809">
        <v>-2.78</v>
      </c>
      <c r="C139" s="71"/>
      <c r="D139" s="12">
        <v>0.53906642829149898</v>
      </c>
      <c r="E139" s="10">
        <v>3</v>
      </c>
      <c r="F139" s="10">
        <v>161.5</v>
      </c>
      <c r="G139" s="1">
        <v>-0.21</v>
      </c>
      <c r="H139" s="14">
        <f t="shared" si="2"/>
        <v>-0.65500000000000003</v>
      </c>
      <c r="I139" s="821" t="s">
        <v>1061</v>
      </c>
      <c r="J139" s="822"/>
      <c r="K139" s="822"/>
      <c r="L139" s="823"/>
      <c r="M139" s="3" t="s">
        <v>289</v>
      </c>
      <c r="V139" s="808"/>
    </row>
    <row r="140" spans="1:22">
      <c r="A140" s="81" t="s">
        <v>290</v>
      </c>
      <c r="B140" s="809">
        <v>-4.4400000000000004</v>
      </c>
      <c r="C140" s="71"/>
      <c r="D140" s="12">
        <v>0.56233984781338708</v>
      </c>
      <c r="E140" s="10">
        <v>11</v>
      </c>
      <c r="F140" s="10">
        <v>213.49999999999997</v>
      </c>
      <c r="G140" s="1">
        <v>3.04</v>
      </c>
      <c r="H140" s="14">
        <f t="shared" si="2"/>
        <v>-4.4249999999999998</v>
      </c>
      <c r="I140" s="824" t="s">
        <v>1062</v>
      </c>
      <c r="J140" s="7"/>
      <c r="K140" s="7"/>
      <c r="L140" s="825"/>
      <c r="M140" s="3" t="s">
        <v>291</v>
      </c>
      <c r="V140" s="808"/>
    </row>
    <row r="141" spans="1:22">
      <c r="A141" s="83" t="s">
        <v>292</v>
      </c>
      <c r="B141" s="809">
        <v>-3.2</v>
      </c>
      <c r="C141" s="71"/>
      <c r="D141" s="12">
        <v>0.54710381306524825</v>
      </c>
      <c r="E141" s="10">
        <v>4</v>
      </c>
      <c r="F141" s="10">
        <v>168.5</v>
      </c>
      <c r="G141" s="1">
        <v>3.35</v>
      </c>
      <c r="H141" s="14">
        <f t="shared" si="2"/>
        <v>-4.2850000000000001</v>
      </c>
      <c r="I141" s="826" t="s">
        <v>1063</v>
      </c>
      <c r="J141" s="7"/>
      <c r="K141" s="7"/>
      <c r="L141" s="825"/>
      <c r="M141" s="3" t="s">
        <v>293</v>
      </c>
      <c r="V141" s="808"/>
    </row>
    <row r="142" spans="1:22">
      <c r="A142" s="81" t="s">
        <v>114</v>
      </c>
      <c r="B142" s="809">
        <v>-2.99</v>
      </c>
      <c r="C142" s="71"/>
      <c r="D142" s="12">
        <v>0.54612637818466869</v>
      </c>
      <c r="E142" s="10">
        <v>3</v>
      </c>
      <c r="F142" s="13">
        <v>124.1</v>
      </c>
      <c r="G142" s="1">
        <v>2.81</v>
      </c>
      <c r="H142" s="14">
        <f t="shared" si="2"/>
        <v>-3.3010000000000002</v>
      </c>
      <c r="I142" s="827" t="s">
        <v>1064</v>
      </c>
      <c r="J142" s="7"/>
      <c r="K142" s="7"/>
      <c r="L142" s="825"/>
      <c r="M142" s="3" t="s">
        <v>294</v>
      </c>
      <c r="V142" s="808"/>
    </row>
    <row r="143" spans="1:22">
      <c r="A143" s="81" t="s">
        <v>295</v>
      </c>
      <c r="B143" s="809">
        <v>-5.4</v>
      </c>
      <c r="C143" s="71"/>
      <c r="D143" s="12">
        <v>0.51160213896594608</v>
      </c>
      <c r="E143" s="10">
        <v>4</v>
      </c>
      <c r="F143" s="10">
        <v>165</v>
      </c>
      <c r="G143" s="1">
        <v>4.8899999999999997</v>
      </c>
      <c r="H143" s="14">
        <f t="shared" si="2"/>
        <v>-5.79</v>
      </c>
      <c r="I143" s="827" t="s">
        <v>1065</v>
      </c>
      <c r="J143" s="7"/>
      <c r="K143" s="7"/>
      <c r="L143" s="825"/>
      <c r="M143" s="3" t="s">
        <v>296</v>
      </c>
      <c r="V143" s="808"/>
    </row>
    <row r="144" spans="1:22">
      <c r="A144" s="81" t="s">
        <v>117</v>
      </c>
      <c r="B144" s="809">
        <v>-5.0599999999999996</v>
      </c>
      <c r="C144" s="71"/>
      <c r="D144" s="12">
        <v>0.65141515533308314</v>
      </c>
      <c r="E144" s="10">
        <v>4</v>
      </c>
      <c r="F144" s="10">
        <v>161.1</v>
      </c>
      <c r="G144" s="1">
        <v>4.76</v>
      </c>
      <c r="H144" s="14">
        <f t="shared" si="2"/>
        <v>-5.6209999999999996</v>
      </c>
      <c r="I144" s="830"/>
      <c r="J144" s="7"/>
      <c r="K144" s="7"/>
      <c r="L144" s="825"/>
      <c r="M144" s="3" t="s">
        <v>297</v>
      </c>
      <c r="V144" s="808"/>
    </row>
    <row r="145" spans="1:28">
      <c r="A145" s="83" t="s">
        <v>298</v>
      </c>
      <c r="B145" s="809">
        <v>-4.07</v>
      </c>
      <c r="C145" s="71"/>
      <c r="D145" s="12">
        <v>0.65883215509381909</v>
      </c>
      <c r="E145" s="10">
        <v>3</v>
      </c>
      <c r="F145" s="10">
        <v>155</v>
      </c>
      <c r="G145" s="1">
        <v>3.74</v>
      </c>
      <c r="H145" s="14">
        <f t="shared" si="2"/>
        <v>-4.54</v>
      </c>
      <c r="I145" s="830"/>
      <c r="J145" s="7"/>
      <c r="K145" s="7"/>
      <c r="L145" s="825"/>
      <c r="M145" s="3" t="s">
        <v>299</v>
      </c>
      <c r="V145" s="808"/>
    </row>
    <row r="146" spans="1:28">
      <c r="A146" s="82" t="s">
        <v>300</v>
      </c>
      <c r="B146" s="809">
        <v>-6.34</v>
      </c>
      <c r="C146" s="71"/>
      <c r="D146" s="12">
        <v>0.61400477095750339</v>
      </c>
      <c r="E146" s="10">
        <v>3</v>
      </c>
      <c r="F146" s="10">
        <v>165.4</v>
      </c>
      <c r="G146" s="1">
        <v>5.58</v>
      </c>
      <c r="H146" s="14">
        <f t="shared" si="2"/>
        <v>-6.484</v>
      </c>
      <c r="I146" s="830"/>
      <c r="J146" s="7"/>
      <c r="K146" s="7"/>
      <c r="L146" s="825"/>
      <c r="M146" s="3" t="s">
        <v>301</v>
      </c>
      <c r="V146" s="808"/>
    </row>
    <row r="147" spans="1:28">
      <c r="A147" s="82" t="s">
        <v>302</v>
      </c>
      <c r="B147" s="809">
        <v>-5.33</v>
      </c>
      <c r="C147" s="71"/>
      <c r="D147" s="12">
        <v>0.50406532001413251</v>
      </c>
      <c r="E147" s="10">
        <v>6</v>
      </c>
      <c r="F147" s="10">
        <v>161</v>
      </c>
      <c r="G147" s="1">
        <v>6.45</v>
      </c>
      <c r="H147" s="14">
        <f t="shared" si="2"/>
        <v>-7.3100000000000005</v>
      </c>
      <c r="I147" s="791"/>
      <c r="J147" s="832"/>
      <c r="K147" s="832"/>
      <c r="L147" s="833"/>
      <c r="M147" s="3" t="s">
        <v>303</v>
      </c>
      <c r="V147" s="808"/>
    </row>
    <row r="148" spans="1:28">
      <c r="A148" s="82" t="s">
        <v>304</v>
      </c>
      <c r="B148" s="809">
        <v>-5.3</v>
      </c>
      <c r="C148" s="71"/>
      <c r="D148" s="12">
        <v>0.75493366325441691</v>
      </c>
      <c r="E148" s="10">
        <v>4</v>
      </c>
      <c r="F148" s="10">
        <v>193.5</v>
      </c>
      <c r="G148" s="1">
        <v>5.41</v>
      </c>
      <c r="H148" s="14">
        <f t="shared" si="2"/>
        <v>-6.5950000000000006</v>
      </c>
      <c r="J148" s="14"/>
      <c r="K148" s="14"/>
      <c r="L148" s="14"/>
      <c r="M148" s="3" t="s">
        <v>305</v>
      </c>
      <c r="V148" s="808"/>
    </row>
    <row r="149" spans="1:28">
      <c r="A149" s="82" t="s">
        <v>306</v>
      </c>
      <c r="B149" s="809">
        <v>-3.31</v>
      </c>
      <c r="C149" s="71"/>
      <c r="D149" s="12">
        <v>0.50089358058597189</v>
      </c>
      <c r="E149" s="10">
        <v>3</v>
      </c>
      <c r="F149" s="10">
        <v>156</v>
      </c>
      <c r="G149" s="1">
        <v>2.9</v>
      </c>
      <c r="H149" s="14">
        <f t="shared" si="2"/>
        <v>-3.71</v>
      </c>
      <c r="I149" s="834" t="s">
        <v>133</v>
      </c>
      <c r="J149" s="835">
        <v>117</v>
      </c>
      <c r="K149" s="816"/>
      <c r="L149" s="14"/>
      <c r="M149" s="3" t="s">
        <v>307</v>
      </c>
      <c r="V149" s="808"/>
    </row>
    <row r="150" spans="1:28">
      <c r="A150" s="83" t="s">
        <v>308</v>
      </c>
      <c r="B150" s="809">
        <v>-3.62</v>
      </c>
      <c r="C150" s="71"/>
      <c r="D150" s="12">
        <v>0.6587984329866341</v>
      </c>
      <c r="E150" s="10">
        <v>4</v>
      </c>
      <c r="F150" s="10">
        <v>183.5</v>
      </c>
      <c r="G150" s="1">
        <v>3.16</v>
      </c>
      <c r="H150" s="14">
        <f t="shared" si="2"/>
        <v>-4.2450000000000001</v>
      </c>
      <c r="I150" s="834" t="s">
        <v>136</v>
      </c>
      <c r="J150" s="835">
        <v>36</v>
      </c>
      <c r="K150" s="816"/>
      <c r="L150" s="14"/>
      <c r="M150" s="3" t="s">
        <v>309</v>
      </c>
      <c r="V150" s="808"/>
    </row>
    <row r="151" spans="1:28">
      <c r="A151" s="83" t="s">
        <v>310</v>
      </c>
      <c r="B151" s="809">
        <v>-2.59</v>
      </c>
      <c r="C151" s="71"/>
      <c r="D151" s="12">
        <v>0.59871706042825668</v>
      </c>
      <c r="E151" s="10">
        <v>3</v>
      </c>
      <c r="F151" s="10">
        <v>61</v>
      </c>
      <c r="G151" s="1">
        <v>1.77</v>
      </c>
      <c r="H151" s="14">
        <f t="shared" si="2"/>
        <v>-1.63</v>
      </c>
      <c r="I151" s="834" t="s">
        <v>139</v>
      </c>
      <c r="J151" s="835">
        <f>COUNTA(A129:A160)</f>
        <v>32</v>
      </c>
      <c r="K151" s="816"/>
      <c r="L151" s="14"/>
      <c r="M151" s="3" t="s">
        <v>311</v>
      </c>
      <c r="V151" s="808"/>
    </row>
    <row r="152" spans="1:28">
      <c r="A152" s="82" t="s">
        <v>312</v>
      </c>
      <c r="B152" s="809">
        <v>-3.1</v>
      </c>
      <c r="C152" s="71"/>
      <c r="D152" s="12">
        <v>0.57115657899345518</v>
      </c>
      <c r="E152" s="10">
        <v>7</v>
      </c>
      <c r="F152" s="10">
        <v>177</v>
      </c>
      <c r="G152" s="1">
        <v>3.17</v>
      </c>
      <c r="H152" s="14">
        <f t="shared" si="2"/>
        <v>-4.1899999999999995</v>
      </c>
      <c r="I152" s="14"/>
      <c r="J152" s="14"/>
      <c r="K152" s="14"/>
      <c r="L152" s="14"/>
      <c r="M152" s="3" t="s">
        <v>313</v>
      </c>
      <c r="V152" s="808"/>
    </row>
    <row r="153" spans="1:28">
      <c r="A153" s="81" t="s">
        <v>314</v>
      </c>
      <c r="B153" s="809">
        <v>-6.5</v>
      </c>
      <c r="C153" s="71"/>
      <c r="D153" s="12">
        <v>0.55807775121880254</v>
      </c>
      <c r="E153" s="10">
        <v>6</v>
      </c>
      <c r="F153" s="10">
        <v>145</v>
      </c>
      <c r="G153" s="1">
        <v>6.08</v>
      </c>
      <c r="H153" s="14">
        <f t="shared" si="2"/>
        <v>-6.78</v>
      </c>
      <c r="I153" s="836" t="s">
        <v>144</v>
      </c>
      <c r="J153" s="818"/>
      <c r="K153" s="818"/>
      <c r="L153" s="819"/>
      <c r="M153" s="3" t="s">
        <v>315</v>
      </c>
      <c r="V153" s="808"/>
    </row>
    <row r="154" spans="1:28">
      <c r="A154" s="81" t="s">
        <v>316</v>
      </c>
      <c r="B154" s="809">
        <v>-4.82</v>
      </c>
      <c r="C154" s="71"/>
      <c r="D154" s="12">
        <v>0.66417698790166113</v>
      </c>
      <c r="E154" s="10">
        <v>3</v>
      </c>
      <c r="F154" s="13">
        <v>175.8</v>
      </c>
      <c r="G154" s="1">
        <v>4.62</v>
      </c>
      <c r="H154" s="14">
        <f t="shared" si="2"/>
        <v>-5.6280000000000001</v>
      </c>
      <c r="I154" s="837" t="s">
        <v>1066</v>
      </c>
      <c r="J154" s="822"/>
      <c r="K154" s="822"/>
      <c r="L154" s="823"/>
      <c r="M154" s="3" t="s">
        <v>317</v>
      </c>
      <c r="V154" s="808"/>
    </row>
    <row r="155" spans="1:28">
      <c r="A155" s="82" t="s">
        <v>318</v>
      </c>
      <c r="B155" s="809">
        <v>-4.49</v>
      </c>
      <c r="C155" s="71"/>
      <c r="D155" s="12">
        <v>0.57716593661781801</v>
      </c>
      <c r="E155" s="10">
        <v>3</v>
      </c>
      <c r="F155" s="10">
        <v>349.84</v>
      </c>
      <c r="G155" s="1">
        <v>3.09</v>
      </c>
      <c r="H155" s="14">
        <f t="shared" si="2"/>
        <v>-5.8384</v>
      </c>
      <c r="I155" s="838" t="s">
        <v>1067</v>
      </c>
      <c r="J155" s="7"/>
      <c r="K155" s="7"/>
      <c r="L155" s="825"/>
      <c r="M155" s="3" t="s">
        <v>319</v>
      </c>
      <c r="V155" s="808"/>
    </row>
    <row r="156" spans="1:28">
      <c r="A156" s="83" t="s">
        <v>320</v>
      </c>
      <c r="B156" s="809">
        <v>-3</v>
      </c>
      <c r="C156" s="71"/>
      <c r="D156" s="12">
        <v>0.70324590282883903</v>
      </c>
      <c r="E156" s="10">
        <v>3</v>
      </c>
      <c r="F156" s="10">
        <v>204</v>
      </c>
      <c r="G156" s="1">
        <v>0.88</v>
      </c>
      <c r="H156" s="14">
        <f t="shared" si="2"/>
        <v>-2.17</v>
      </c>
      <c r="I156" s="831"/>
      <c r="J156" s="7"/>
      <c r="K156" s="7"/>
      <c r="L156" s="825"/>
      <c r="M156" s="3" t="s">
        <v>321</v>
      </c>
      <c r="V156" s="808"/>
    </row>
    <row r="157" spans="1:28">
      <c r="A157" s="82" t="s">
        <v>322</v>
      </c>
      <c r="B157" s="809">
        <v>-5.79</v>
      </c>
      <c r="C157" s="71"/>
      <c r="D157" s="12">
        <v>0.7237903588794764</v>
      </c>
      <c r="E157" s="10">
        <v>7</v>
      </c>
      <c r="F157" s="10">
        <v>97.8</v>
      </c>
      <c r="G157" s="1">
        <v>6</v>
      </c>
      <c r="H157" s="14">
        <f t="shared" si="2"/>
        <v>-6.2279999999999998</v>
      </c>
      <c r="I157" s="831"/>
      <c r="J157" s="7"/>
      <c r="K157" s="7"/>
      <c r="L157" s="825"/>
      <c r="M157" s="3" t="s">
        <v>323</v>
      </c>
      <c r="V157" s="808"/>
    </row>
    <row r="158" spans="1:28">
      <c r="A158" s="82" t="s">
        <v>324</v>
      </c>
      <c r="B158" s="809">
        <v>-6.73</v>
      </c>
      <c r="C158" s="71"/>
      <c r="D158" s="12">
        <v>0.84033450922624497</v>
      </c>
      <c r="E158" s="10">
        <v>5</v>
      </c>
      <c r="F158" s="10">
        <v>262</v>
      </c>
      <c r="G158" s="1">
        <v>7.26</v>
      </c>
      <c r="H158" s="14">
        <f t="shared" si="2"/>
        <v>-9.129999999999999</v>
      </c>
      <c r="I158" s="831"/>
      <c r="J158" s="7"/>
      <c r="K158" s="7"/>
      <c r="L158" s="825"/>
      <c r="M158" s="3" t="s">
        <v>325</v>
      </c>
      <c r="V158" s="808"/>
    </row>
    <row r="159" spans="1:28">
      <c r="A159" s="82" t="s">
        <v>326</v>
      </c>
      <c r="B159" s="809">
        <v>-6.02</v>
      </c>
      <c r="C159" s="71"/>
      <c r="D159" s="12">
        <v>0.70969645885144073</v>
      </c>
      <c r="E159" s="10">
        <v>11</v>
      </c>
      <c r="F159" s="10">
        <v>149.6</v>
      </c>
      <c r="G159" s="1">
        <v>6.45</v>
      </c>
      <c r="H159" s="14">
        <f t="shared" si="2"/>
        <v>-7.1959999999999997</v>
      </c>
      <c r="I159" s="831"/>
      <c r="J159" s="7"/>
      <c r="K159" s="7"/>
      <c r="L159" s="825"/>
      <c r="M159" s="3" t="s">
        <v>327</v>
      </c>
      <c r="V159" s="808"/>
    </row>
    <row r="160" spans="1:28" s="62" customFormat="1">
      <c r="A160" s="81" t="s">
        <v>328</v>
      </c>
      <c r="B160" s="809">
        <v>-2.73</v>
      </c>
      <c r="C160" s="71"/>
      <c r="D160" s="12">
        <v>0.49644864464459931</v>
      </c>
      <c r="E160" s="10">
        <v>4</v>
      </c>
      <c r="F160" s="10">
        <v>304.5</v>
      </c>
      <c r="G160" s="1">
        <v>2.69</v>
      </c>
      <c r="H160" s="14">
        <f t="shared" si="2"/>
        <v>-4.9849999999999994</v>
      </c>
      <c r="I160" s="839"/>
      <c r="J160" s="832"/>
      <c r="K160" s="832"/>
      <c r="L160" s="833"/>
      <c r="M160" s="3" t="s">
        <v>329</v>
      </c>
      <c r="N160"/>
      <c r="O160"/>
      <c r="P160"/>
      <c r="Q160"/>
      <c r="R160"/>
      <c r="S160"/>
      <c r="T160"/>
      <c r="U160"/>
      <c r="V160" s="808"/>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784"/>
      <c r="B194" s="785"/>
      <c r="C194" s="785"/>
      <c r="D194" s="785"/>
      <c r="E194" s="785"/>
      <c r="F194" s="785"/>
      <c r="G194" s="785"/>
      <c r="H194" s="785"/>
      <c r="I194" s="785"/>
      <c r="J194" s="785"/>
      <c r="K194" s="785"/>
      <c r="L194" s="785"/>
      <c r="M194" s="786"/>
      <c r="N194" s="785"/>
      <c r="O194" s="785"/>
      <c r="P194" s="785"/>
      <c r="Q194" s="787"/>
    </row>
  </sheetData>
  <pageMargins left="0" right="0" top="0" bottom="0" header="0.3" footer="0.3"/>
  <pageSetup scale="5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C4AAC-BCB4-4974-B230-F50C4032C489}">
  <dimension ref="A1:AB194"/>
  <sheetViews>
    <sheetView workbookViewId="0">
      <selection activeCell="B4" sqref="B4:B9"/>
    </sheetView>
  </sheetViews>
  <sheetFormatPr baseColWidth="10" defaultColWidth="9.1640625" defaultRowHeight="15"/>
  <cols>
    <col min="1" max="1" width="18.83203125" customWidth="1"/>
    <col min="2" max="3" width="11.33203125" customWidth="1"/>
    <col min="4" max="4" width="7.6640625" customWidth="1"/>
    <col min="5" max="5" width="7.83203125" customWidth="1"/>
    <col min="6" max="6" width="10.1640625" customWidth="1"/>
    <col min="7" max="7" width="11.5" customWidth="1"/>
    <col min="9" max="9" width="13.1640625" customWidth="1"/>
    <col min="10" max="10" width="6.164062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783" t="s">
        <v>3</v>
      </c>
      <c r="B4" s="784"/>
      <c r="C4" s="785"/>
      <c r="D4" s="785"/>
      <c r="E4" s="785"/>
      <c r="F4" s="785"/>
      <c r="G4" s="785"/>
      <c r="H4" s="785"/>
      <c r="I4" s="785"/>
      <c r="J4" s="785"/>
      <c r="K4" s="785"/>
      <c r="L4" s="785"/>
      <c r="M4" s="786"/>
      <c r="N4" s="785"/>
      <c r="O4" s="785"/>
      <c r="P4" s="785"/>
      <c r="Q4" s="785"/>
      <c r="R4" s="787"/>
    </row>
    <row r="5" spans="1:25">
      <c r="A5" s="783" t="s">
        <v>4</v>
      </c>
      <c r="B5" s="39"/>
      <c r="C5" s="39"/>
      <c r="D5" s="39"/>
      <c r="E5" s="39"/>
      <c r="F5" s="39"/>
      <c r="G5" s="39"/>
      <c r="H5" s="39"/>
      <c r="I5" s="39"/>
      <c r="J5" s="39"/>
      <c r="K5" s="39"/>
      <c r="L5" s="39"/>
      <c r="M5" s="49"/>
      <c r="N5" s="39"/>
      <c r="O5" s="39"/>
      <c r="P5" s="39"/>
      <c r="Q5" s="39"/>
      <c r="R5" s="788"/>
    </row>
    <row r="6" spans="1:25">
      <c r="A6" s="789" t="s">
        <v>5</v>
      </c>
      <c r="B6" s="784"/>
      <c r="C6" s="785"/>
      <c r="D6" s="785"/>
      <c r="E6" s="785"/>
      <c r="F6" s="785"/>
      <c r="G6" s="785"/>
      <c r="H6" s="785"/>
      <c r="I6" s="785"/>
      <c r="J6" s="785"/>
      <c r="K6" s="785"/>
      <c r="L6" s="785"/>
      <c r="M6" s="786"/>
      <c r="N6" s="785"/>
      <c r="O6" s="785"/>
      <c r="P6" s="785"/>
      <c r="Q6" s="785"/>
      <c r="R6" s="787"/>
    </row>
    <row r="7" spans="1:25">
      <c r="A7" s="790"/>
      <c r="B7" s="791"/>
      <c r="C7" s="39"/>
      <c r="D7" s="39"/>
      <c r="E7" s="39"/>
      <c r="F7" s="39"/>
      <c r="G7" s="39"/>
      <c r="H7" s="39"/>
      <c r="I7" s="39"/>
      <c r="J7" s="39"/>
      <c r="K7" s="39"/>
      <c r="L7" s="39"/>
      <c r="M7" s="49"/>
      <c r="N7" s="39"/>
      <c r="O7" s="39"/>
      <c r="P7" s="39"/>
      <c r="Q7" s="39"/>
      <c r="R7" s="788"/>
    </row>
    <row r="8" spans="1:25">
      <c r="A8" s="789" t="s">
        <v>6</v>
      </c>
      <c r="B8" s="792"/>
      <c r="C8" s="785"/>
      <c r="D8" s="785"/>
      <c r="E8" s="785"/>
      <c r="F8" s="785"/>
      <c r="G8" s="785"/>
      <c r="H8" s="785"/>
      <c r="I8" s="785"/>
      <c r="J8" s="785"/>
      <c r="K8" s="785"/>
      <c r="L8" s="785"/>
      <c r="M8" s="786"/>
      <c r="N8" s="785"/>
      <c r="O8" s="785"/>
      <c r="P8" s="785"/>
      <c r="Q8" s="785"/>
      <c r="R8" s="787"/>
    </row>
    <row r="9" spans="1:25">
      <c r="A9" s="793" t="s">
        <v>7</v>
      </c>
      <c r="B9" s="794"/>
      <c r="C9" s="794"/>
      <c r="D9" s="794"/>
      <c r="E9" s="794"/>
      <c r="F9" s="794"/>
      <c r="G9" s="794"/>
      <c r="H9" s="794"/>
      <c r="I9" s="794"/>
      <c r="J9" s="794"/>
      <c r="K9" s="794"/>
      <c r="L9" s="794"/>
      <c r="M9" s="795"/>
      <c r="N9" s="794"/>
      <c r="O9" s="794"/>
      <c r="P9" s="794"/>
      <c r="Q9" s="794"/>
      <c r="R9" s="796"/>
    </row>
    <row r="10" spans="1:25">
      <c r="A10" s="88"/>
    </row>
    <row r="11" spans="1:25" s="86" customFormat="1" ht="26">
      <c r="A11" s="86" t="s">
        <v>8</v>
      </c>
    </row>
    <row r="12" spans="1:25">
      <c r="B12" s="94" t="s">
        <v>9</v>
      </c>
    </row>
    <row r="13" spans="1:25" s="90" customFormat="1">
      <c r="A13" s="89" t="s">
        <v>10</v>
      </c>
    </row>
    <row r="14" spans="1:25">
      <c r="B14" s="797" t="s">
        <v>32</v>
      </c>
      <c r="C14" t="s">
        <v>11</v>
      </c>
    </row>
    <row r="15" spans="1:25" s="90" customFormat="1">
      <c r="A15" s="89" t="s">
        <v>12</v>
      </c>
    </row>
    <row r="16" spans="1:25">
      <c r="B16" s="797"/>
      <c r="C16" t="s">
        <v>11</v>
      </c>
    </row>
    <row r="17" spans="1:28" s="90" customFormat="1">
      <c r="A17" s="89" t="s">
        <v>13</v>
      </c>
    </row>
    <row r="18" spans="1:28">
      <c r="B18" s="784"/>
      <c r="C18" s="785"/>
      <c r="D18" s="785"/>
      <c r="E18" s="785"/>
      <c r="F18" s="785"/>
      <c r="G18" s="785"/>
      <c r="H18" s="785"/>
      <c r="I18" s="785"/>
      <c r="J18" s="785"/>
      <c r="K18" s="785"/>
      <c r="L18" s="785"/>
      <c r="M18" s="786"/>
      <c r="N18" s="785"/>
      <c r="O18" s="785"/>
      <c r="P18" s="785"/>
      <c r="Q18" s="785"/>
      <c r="R18" s="787"/>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798" t="s">
        <v>18</v>
      </c>
      <c r="B22" s="799" t="s">
        <v>19</v>
      </c>
      <c r="C22" s="799" t="s">
        <v>20</v>
      </c>
      <c r="D22" s="799" t="s">
        <v>21</v>
      </c>
      <c r="E22" s="799" t="s">
        <v>22</v>
      </c>
      <c r="F22" s="799" t="s">
        <v>23</v>
      </c>
      <c r="G22" s="799" t="s">
        <v>24</v>
      </c>
      <c r="H22" s="799" t="s">
        <v>25</v>
      </c>
      <c r="I22" s="800"/>
      <c r="J22" s="801" t="s">
        <v>27</v>
      </c>
      <c r="K22" s="801"/>
      <c r="L22" s="801"/>
      <c r="M22" s="802" t="s">
        <v>28</v>
      </c>
      <c r="N22" s="803"/>
      <c r="O22" s="803"/>
      <c r="P22" s="803"/>
      <c r="Q22" s="803"/>
      <c r="R22" s="803"/>
      <c r="S22" s="803"/>
      <c r="T22" s="804"/>
      <c r="U22" s="46"/>
      <c r="V22" s="46"/>
      <c r="W22" s="46"/>
      <c r="X22" s="46"/>
      <c r="Y22" s="46"/>
      <c r="Z22" s="46"/>
      <c r="AA22" s="46"/>
      <c r="AB22" s="46"/>
    </row>
    <row r="23" spans="1:28">
      <c r="A23" s="81" t="s">
        <v>29</v>
      </c>
      <c r="B23" s="805">
        <v>-2.39</v>
      </c>
      <c r="C23" s="73" t="s">
        <v>30</v>
      </c>
      <c r="D23" s="12">
        <v>0.17592262140645501</v>
      </c>
      <c r="E23" s="10">
        <v>11</v>
      </c>
      <c r="F23" s="10">
        <v>258.5</v>
      </c>
      <c r="G23" s="6">
        <v>-0.86</v>
      </c>
      <c r="H23" s="14">
        <f t="shared" ref="H23:H86" si="0">0.5-G23-0.01*(F23-25)</f>
        <v>-0.97500000000000009</v>
      </c>
      <c r="I23" s="806" t="s">
        <v>31</v>
      </c>
      <c r="J23" s="807"/>
      <c r="K23" s="14"/>
      <c r="L23" s="14"/>
      <c r="M23" s="11" t="s">
        <v>33</v>
      </c>
      <c r="V23" s="808"/>
    </row>
    <row r="24" spans="1:28">
      <c r="A24" s="82" t="s">
        <v>35</v>
      </c>
      <c r="B24" s="809">
        <v>-2.21</v>
      </c>
      <c r="C24" s="73" t="s">
        <v>36</v>
      </c>
      <c r="D24" s="12">
        <v>0.14701293131372209</v>
      </c>
      <c r="E24" s="10">
        <v>16</v>
      </c>
      <c r="F24" s="10">
        <v>142.4</v>
      </c>
      <c r="G24" s="6">
        <v>1.31</v>
      </c>
      <c r="H24" s="14">
        <f t="shared" si="0"/>
        <v>-1.9840000000000002</v>
      </c>
      <c r="I24" s="806" t="s">
        <v>37</v>
      </c>
      <c r="J24" s="807"/>
      <c r="K24" s="14"/>
      <c r="L24" s="14"/>
      <c r="M24" s="11" t="s">
        <v>38</v>
      </c>
      <c r="V24" s="808"/>
    </row>
    <row r="25" spans="1:28">
      <c r="A25" s="81" t="s">
        <v>40</v>
      </c>
      <c r="B25" s="809">
        <v>-3.2</v>
      </c>
      <c r="C25" s="73" t="s">
        <v>41</v>
      </c>
      <c r="D25" s="12">
        <v>0.15746026945991629</v>
      </c>
      <c r="E25" s="10">
        <v>4</v>
      </c>
      <c r="F25" s="10">
        <v>92</v>
      </c>
      <c r="G25" s="6">
        <v>2.5299999999999998</v>
      </c>
      <c r="H25" s="14">
        <f t="shared" si="0"/>
        <v>-2.6999999999999997</v>
      </c>
      <c r="I25" s="806" t="s">
        <v>42</v>
      </c>
      <c r="J25" s="807"/>
      <c r="K25" s="14"/>
      <c r="L25" s="14"/>
      <c r="M25" s="11" t="s">
        <v>43</v>
      </c>
      <c r="V25" s="808"/>
    </row>
    <row r="26" spans="1:28">
      <c r="A26" s="82" t="s">
        <v>45</v>
      </c>
      <c r="B26" s="809">
        <v>-2.9</v>
      </c>
      <c r="C26" s="73" t="s">
        <v>46</v>
      </c>
      <c r="D26" s="12">
        <v>0.16999222507469616</v>
      </c>
      <c r="E26" s="10">
        <v>3</v>
      </c>
      <c r="F26" s="10">
        <v>234</v>
      </c>
      <c r="G26" s="6">
        <v>3.19</v>
      </c>
      <c r="H26" s="14">
        <f t="shared" si="0"/>
        <v>-4.7799999999999994</v>
      </c>
      <c r="I26" s="810" t="s">
        <v>47</v>
      </c>
      <c r="J26" s="811"/>
      <c r="K26" s="14"/>
      <c r="L26" s="14"/>
      <c r="M26" s="11" t="s">
        <v>48</v>
      </c>
      <c r="V26" s="808"/>
    </row>
    <row r="27" spans="1:28">
      <c r="A27" s="82" t="s">
        <v>50</v>
      </c>
      <c r="B27" s="809">
        <v>-4.63</v>
      </c>
      <c r="C27" s="73" t="s">
        <v>51</v>
      </c>
      <c r="D27" s="12">
        <v>0.21168830858587184</v>
      </c>
      <c r="E27" s="10">
        <v>3</v>
      </c>
      <c r="F27" s="10">
        <v>139.25</v>
      </c>
      <c r="G27" s="6">
        <v>4.8600000000000003</v>
      </c>
      <c r="H27" s="14">
        <f t="shared" si="0"/>
        <v>-5.5025000000000004</v>
      </c>
      <c r="I27" s="810" t="s">
        <v>52</v>
      </c>
      <c r="J27" s="811"/>
      <c r="K27" s="14"/>
      <c r="L27" s="14"/>
      <c r="M27" s="11" t="s">
        <v>53</v>
      </c>
      <c r="V27" s="808"/>
    </row>
    <row r="28" spans="1:28">
      <c r="A28" s="81" t="s">
        <v>55</v>
      </c>
      <c r="B28" s="809">
        <v>-4.9000000000000004</v>
      </c>
      <c r="C28" s="71"/>
      <c r="D28" s="12">
        <v>0.18412396392404196</v>
      </c>
      <c r="E28" s="10">
        <v>3</v>
      </c>
      <c r="F28" s="10">
        <v>224.00000000000003</v>
      </c>
      <c r="G28" s="6">
        <v>5.51</v>
      </c>
      <c r="H28" s="14">
        <f t="shared" si="0"/>
        <v>-7</v>
      </c>
      <c r="I28" s="810" t="s">
        <v>56</v>
      </c>
      <c r="J28" s="811"/>
      <c r="K28" s="14"/>
      <c r="L28" s="14"/>
      <c r="M28" s="11" t="s">
        <v>57</v>
      </c>
      <c r="V28" s="808"/>
    </row>
    <row r="29" spans="1:28">
      <c r="A29" s="81" t="s">
        <v>59</v>
      </c>
      <c r="B29" s="809">
        <v>-2.86</v>
      </c>
      <c r="C29" s="71"/>
      <c r="D29" s="12">
        <v>0.14933733874523175</v>
      </c>
      <c r="E29" s="10">
        <v>6</v>
      </c>
      <c r="F29" s="10">
        <v>172.5</v>
      </c>
      <c r="G29" s="6">
        <v>1.78</v>
      </c>
      <c r="H29" s="14">
        <f t="shared" si="0"/>
        <v>-2.7549999999999999</v>
      </c>
      <c r="I29" s="810" t="s">
        <v>60</v>
      </c>
      <c r="J29" s="812"/>
      <c r="K29" s="14"/>
      <c r="L29" s="14"/>
      <c r="M29" s="11" t="s">
        <v>61</v>
      </c>
      <c r="V29" s="808"/>
    </row>
    <row r="30" spans="1:28">
      <c r="A30" s="81" t="s">
        <v>63</v>
      </c>
      <c r="B30" s="809">
        <v>-2.52</v>
      </c>
      <c r="C30" s="71"/>
      <c r="D30" s="12">
        <v>0.14842266063120066</v>
      </c>
      <c r="E30" s="10">
        <v>4</v>
      </c>
      <c r="F30" s="10">
        <v>207.50000000000003</v>
      </c>
      <c r="G30" s="6">
        <v>1.86</v>
      </c>
      <c r="H30" s="14">
        <f t="shared" si="0"/>
        <v>-3.1850000000000005</v>
      </c>
      <c r="I30" s="813" t="s">
        <v>64</v>
      </c>
      <c r="J30" s="814" t="s">
        <v>1068</v>
      </c>
      <c r="K30" s="815"/>
      <c r="L30" s="816"/>
      <c r="M30" s="11" t="s">
        <v>65</v>
      </c>
      <c r="V30" s="808"/>
    </row>
    <row r="31" spans="1:28">
      <c r="A31" s="83" t="s">
        <v>66</v>
      </c>
      <c r="B31" s="809">
        <v>-2.21</v>
      </c>
      <c r="C31" s="71"/>
      <c r="D31" s="12">
        <v>0.1617973106900604</v>
      </c>
      <c r="E31" s="10">
        <v>10</v>
      </c>
      <c r="F31" s="10">
        <v>166.5</v>
      </c>
      <c r="G31" s="6">
        <v>0.79</v>
      </c>
      <c r="H31" s="14">
        <f t="shared" si="0"/>
        <v>-1.7050000000000001</v>
      </c>
      <c r="J31" s="14"/>
      <c r="K31" s="14"/>
      <c r="L31" s="14"/>
      <c r="M31" s="11" t="s">
        <v>67</v>
      </c>
      <c r="V31" s="808"/>
    </row>
    <row r="32" spans="1:28">
      <c r="A32" s="82" t="s">
        <v>68</v>
      </c>
      <c r="B32" s="809">
        <v>-4.0199999999999996</v>
      </c>
      <c r="C32" s="71"/>
      <c r="D32" s="12">
        <v>0.21543706061278237</v>
      </c>
      <c r="E32" s="10">
        <v>6</v>
      </c>
      <c r="F32" s="10">
        <v>231.5</v>
      </c>
      <c r="G32" s="6">
        <v>2.4300000000000002</v>
      </c>
      <c r="H32" s="14">
        <f t="shared" si="0"/>
        <v>-3.9950000000000001</v>
      </c>
      <c r="I32" s="817" t="s">
        <v>69</v>
      </c>
      <c r="J32" s="818"/>
      <c r="K32" s="818"/>
      <c r="L32" s="819"/>
      <c r="M32" s="11" t="s">
        <v>70</v>
      </c>
      <c r="V32" s="808"/>
    </row>
    <row r="33" spans="1:22">
      <c r="A33" s="84" t="s">
        <v>71</v>
      </c>
      <c r="B33" s="820">
        <v>-3.75</v>
      </c>
      <c r="C33" s="72"/>
      <c r="D33" s="4">
        <v>0.12912520605069597</v>
      </c>
      <c r="E33" s="2">
        <v>3</v>
      </c>
      <c r="F33" s="13">
        <v>192.7</v>
      </c>
      <c r="G33" s="6">
        <v>2.63</v>
      </c>
      <c r="H33" s="14">
        <f t="shared" si="0"/>
        <v>-3.8069999999999995</v>
      </c>
      <c r="I33" s="821" t="s">
        <v>1061</v>
      </c>
      <c r="J33" s="822"/>
      <c r="K33" s="822"/>
      <c r="L33" s="823"/>
      <c r="M33" s="11" t="s">
        <v>72</v>
      </c>
      <c r="V33" s="808"/>
    </row>
    <row r="34" spans="1:22">
      <c r="A34" s="81" t="s">
        <v>74</v>
      </c>
      <c r="B34" s="809">
        <v>-6.24</v>
      </c>
      <c r="C34" s="71"/>
      <c r="D34" s="12">
        <v>0.14911462098310888</v>
      </c>
      <c r="E34" s="10">
        <v>6</v>
      </c>
      <c r="F34" s="10">
        <v>167</v>
      </c>
      <c r="G34" s="6">
        <v>6.32</v>
      </c>
      <c r="H34" s="14">
        <f t="shared" si="0"/>
        <v>-7.24</v>
      </c>
      <c r="I34" s="824" t="s">
        <v>1062</v>
      </c>
      <c r="J34" s="7"/>
      <c r="K34" s="7"/>
      <c r="L34" s="825"/>
      <c r="M34" s="11" t="s">
        <v>75</v>
      </c>
      <c r="V34" s="808"/>
    </row>
    <row r="35" spans="1:22">
      <c r="A35" s="82" t="s">
        <v>77</v>
      </c>
      <c r="B35" s="809">
        <v>-4.1399999999999997</v>
      </c>
      <c r="C35" s="71"/>
      <c r="D35" s="12">
        <v>0.15809078703524676</v>
      </c>
      <c r="E35" s="10">
        <v>15</v>
      </c>
      <c r="F35" s="10">
        <v>191.5</v>
      </c>
      <c r="G35" s="6">
        <v>3.39</v>
      </c>
      <c r="H35" s="14">
        <f t="shared" si="0"/>
        <v>-4.5549999999999997</v>
      </c>
      <c r="I35" s="826" t="s">
        <v>1063</v>
      </c>
      <c r="J35" s="7"/>
      <c r="K35" s="7"/>
      <c r="L35" s="825"/>
      <c r="M35" s="11" t="s">
        <v>78</v>
      </c>
      <c r="V35" s="808"/>
    </row>
    <row r="36" spans="1:22">
      <c r="A36" s="83" t="s">
        <v>80</v>
      </c>
      <c r="B36" s="809">
        <v>-2.7</v>
      </c>
      <c r="C36" s="71"/>
      <c r="D36" s="12">
        <v>0.1911503089068218</v>
      </c>
      <c r="E36" s="10">
        <v>3</v>
      </c>
      <c r="F36" s="10">
        <v>246.2</v>
      </c>
      <c r="G36" s="6">
        <v>3.32</v>
      </c>
      <c r="H36" s="14">
        <f t="shared" si="0"/>
        <v>-5.032</v>
      </c>
      <c r="I36" s="827" t="s">
        <v>1064</v>
      </c>
      <c r="J36" s="7"/>
      <c r="K36" s="7"/>
      <c r="L36" s="825"/>
      <c r="M36" s="11" t="s">
        <v>81</v>
      </c>
      <c r="V36" s="808"/>
    </row>
    <row r="37" spans="1:22">
      <c r="A37" s="83" t="s">
        <v>73</v>
      </c>
      <c r="B37" s="809">
        <v>-2.73</v>
      </c>
      <c r="C37" s="71"/>
      <c r="D37" s="12">
        <v>0.19050575600734274</v>
      </c>
      <c r="E37" s="10">
        <v>4</v>
      </c>
      <c r="F37" s="10">
        <v>304</v>
      </c>
      <c r="G37" s="6">
        <v>1.74</v>
      </c>
      <c r="H37" s="14">
        <f t="shared" si="0"/>
        <v>-4.03</v>
      </c>
      <c r="I37" s="827" t="s">
        <v>1065</v>
      </c>
      <c r="J37" s="7"/>
      <c r="K37" s="7"/>
      <c r="L37" s="825"/>
      <c r="M37" s="11" t="s">
        <v>83</v>
      </c>
      <c r="V37" s="808"/>
    </row>
    <row r="38" spans="1:22">
      <c r="A38" s="81" t="s">
        <v>76</v>
      </c>
      <c r="B38" s="809">
        <v>-3.2</v>
      </c>
      <c r="C38" s="71"/>
      <c r="D38" s="12">
        <v>0.13682393527498057</v>
      </c>
      <c r="E38" s="10">
        <v>7</v>
      </c>
      <c r="F38" s="10">
        <v>187</v>
      </c>
      <c r="G38" s="6">
        <v>-0.87</v>
      </c>
      <c r="H38" s="14">
        <f t="shared" si="0"/>
        <v>-0.25</v>
      </c>
      <c r="I38" s="828"/>
      <c r="J38" s="7"/>
      <c r="K38" s="7"/>
      <c r="L38" s="825"/>
      <c r="M38" s="829" t="s">
        <v>85</v>
      </c>
      <c r="V38" s="808"/>
    </row>
    <row r="39" spans="1:22">
      <c r="A39" s="81" t="s">
        <v>87</v>
      </c>
      <c r="B39" s="809">
        <v>-2.92</v>
      </c>
      <c r="C39" s="71"/>
      <c r="D39" s="12">
        <v>0.20462356367492032</v>
      </c>
      <c r="E39" s="10">
        <v>4</v>
      </c>
      <c r="F39" s="10">
        <v>221.5</v>
      </c>
      <c r="G39" s="6">
        <v>0.71</v>
      </c>
      <c r="H39" s="14">
        <f t="shared" si="0"/>
        <v>-2.1749999999999998</v>
      </c>
      <c r="I39" s="830"/>
      <c r="J39" s="7"/>
      <c r="K39" s="7"/>
      <c r="L39" s="825"/>
      <c r="M39" s="11" t="s">
        <v>88</v>
      </c>
      <c r="V39" s="808"/>
    </row>
    <row r="40" spans="1:22">
      <c r="A40" s="81" t="s">
        <v>90</v>
      </c>
      <c r="B40" s="809">
        <v>-4.88</v>
      </c>
      <c r="C40" s="71"/>
      <c r="D40" s="12">
        <v>0.18274602564465547</v>
      </c>
      <c r="E40" s="10">
        <v>6</v>
      </c>
      <c r="F40" s="10">
        <v>157.83333333333334</v>
      </c>
      <c r="G40" s="6">
        <v>3.51</v>
      </c>
      <c r="H40" s="14">
        <f t="shared" si="0"/>
        <v>-4.3383333333333329</v>
      </c>
      <c r="I40" s="830"/>
      <c r="J40" s="39"/>
      <c r="K40" s="39"/>
      <c r="L40" s="788"/>
      <c r="M40" s="11" t="s">
        <v>91</v>
      </c>
      <c r="V40" s="808"/>
    </row>
    <row r="41" spans="1:22">
      <c r="A41" s="84" t="s">
        <v>93</v>
      </c>
      <c r="B41" s="820">
        <v>-2.87</v>
      </c>
      <c r="C41" s="72"/>
      <c r="D41" s="4">
        <v>0.12610247911779729</v>
      </c>
      <c r="E41" s="2">
        <v>8</v>
      </c>
      <c r="F41" s="10">
        <v>140</v>
      </c>
      <c r="G41" s="6">
        <v>0.35</v>
      </c>
      <c r="H41" s="14">
        <f t="shared" si="0"/>
        <v>-1</v>
      </c>
      <c r="I41" s="830"/>
      <c r="J41" s="39"/>
      <c r="K41" s="39"/>
      <c r="L41" s="788"/>
      <c r="M41" s="11" t="s">
        <v>94</v>
      </c>
      <c r="V41" s="808"/>
    </row>
    <row r="42" spans="1:22">
      <c r="A42" s="82" t="s">
        <v>96</v>
      </c>
      <c r="B42" s="809">
        <v>-3.22</v>
      </c>
      <c r="C42" s="71"/>
      <c r="D42" s="12">
        <v>0.14493441954543959</v>
      </c>
      <c r="E42" s="10">
        <v>7</v>
      </c>
      <c r="F42" s="10">
        <v>127.93333333333334</v>
      </c>
      <c r="G42" s="6">
        <v>1.74</v>
      </c>
      <c r="H42" s="14">
        <f t="shared" si="0"/>
        <v>-2.2693333333333334</v>
      </c>
      <c r="I42" s="830"/>
      <c r="J42" s="39"/>
      <c r="K42" s="39"/>
      <c r="L42" s="788"/>
      <c r="M42" s="11" t="s">
        <v>97</v>
      </c>
      <c r="V42" s="808"/>
    </row>
    <row r="43" spans="1:22">
      <c r="A43" s="82" t="s">
        <v>79</v>
      </c>
      <c r="B43" s="809">
        <v>-4.32</v>
      </c>
      <c r="C43" s="71"/>
      <c r="D43" s="12">
        <v>0.14861388626870758</v>
      </c>
      <c r="E43" s="10">
        <v>7</v>
      </c>
      <c r="F43" s="10">
        <v>176</v>
      </c>
      <c r="G43" s="6">
        <v>4.4800000000000004</v>
      </c>
      <c r="H43" s="14">
        <f t="shared" si="0"/>
        <v>-5.49</v>
      </c>
      <c r="I43" s="830"/>
      <c r="J43" s="39"/>
      <c r="K43" s="39"/>
      <c r="L43" s="788"/>
      <c r="M43" s="11" t="s">
        <v>99</v>
      </c>
      <c r="V43" s="808"/>
    </row>
    <row r="44" spans="1:22">
      <c r="A44" s="85" t="s">
        <v>101</v>
      </c>
      <c r="B44" s="820">
        <v>-3.55</v>
      </c>
      <c r="C44" s="72"/>
      <c r="D44" s="4">
        <v>0.1280711495400205</v>
      </c>
      <c r="E44" s="2">
        <v>3</v>
      </c>
      <c r="F44" s="10">
        <v>159.69999999999999</v>
      </c>
      <c r="G44" s="6">
        <v>3.46</v>
      </c>
      <c r="H44" s="14">
        <f t="shared" si="0"/>
        <v>-4.3070000000000004</v>
      </c>
      <c r="I44" s="830"/>
      <c r="J44" s="39"/>
      <c r="K44" s="39"/>
      <c r="L44" s="788"/>
      <c r="M44" s="11" t="s">
        <v>102</v>
      </c>
      <c r="V44" s="808"/>
    </row>
    <row r="45" spans="1:22">
      <c r="A45" s="84" t="s">
        <v>104</v>
      </c>
      <c r="B45" s="820">
        <v>-2.46</v>
      </c>
      <c r="C45" s="72"/>
      <c r="D45" s="4">
        <v>0.21683500301481054</v>
      </c>
      <c r="E45" s="2">
        <v>8</v>
      </c>
      <c r="F45" s="10">
        <v>142</v>
      </c>
      <c r="G45" s="6">
        <v>0.6</v>
      </c>
      <c r="H45" s="14">
        <f t="shared" si="0"/>
        <v>-1.27</v>
      </c>
      <c r="I45" s="830"/>
      <c r="J45" s="39"/>
      <c r="K45" s="39"/>
      <c r="L45" s="788"/>
      <c r="M45" s="11" t="s">
        <v>105</v>
      </c>
      <c r="V45" s="808"/>
    </row>
    <row r="46" spans="1:22">
      <c r="A46" s="82" t="s">
        <v>107</v>
      </c>
      <c r="B46" s="809">
        <v>-3.03</v>
      </c>
      <c r="C46" s="71"/>
      <c r="D46" s="12">
        <v>0.18255878892749886</v>
      </c>
      <c r="E46" s="10">
        <v>20</v>
      </c>
      <c r="F46" s="10">
        <v>267</v>
      </c>
      <c r="G46" s="6">
        <v>1.58</v>
      </c>
      <c r="H46" s="14">
        <f t="shared" si="0"/>
        <v>-3.5</v>
      </c>
      <c r="I46" s="830"/>
      <c r="J46" s="39"/>
      <c r="K46" s="39"/>
      <c r="L46" s="788"/>
      <c r="M46" s="11" t="s">
        <v>108</v>
      </c>
      <c r="V46" s="808"/>
    </row>
    <row r="47" spans="1:22">
      <c r="A47" s="81" t="s">
        <v>110</v>
      </c>
      <c r="B47" s="809">
        <v>-3.72</v>
      </c>
      <c r="C47" s="71"/>
      <c r="D47" s="12">
        <v>0.16704647063532602</v>
      </c>
      <c r="E47" s="10">
        <v>6</v>
      </c>
      <c r="F47" s="10">
        <v>110.00000000000001</v>
      </c>
      <c r="G47" s="6">
        <v>3.36</v>
      </c>
      <c r="H47" s="14">
        <f t="shared" si="0"/>
        <v>-3.71</v>
      </c>
      <c r="I47" s="830"/>
      <c r="J47" s="39"/>
      <c r="K47" s="39"/>
      <c r="L47" s="788"/>
      <c r="M47" s="11" t="s">
        <v>111</v>
      </c>
      <c r="V47" s="808"/>
    </row>
    <row r="48" spans="1:22">
      <c r="A48" s="82" t="s">
        <v>82</v>
      </c>
      <c r="B48" s="809">
        <v>-3.5</v>
      </c>
      <c r="C48" s="71"/>
      <c r="D48" s="12">
        <v>0.17164501312359953</v>
      </c>
      <c r="E48" s="10">
        <v>7</v>
      </c>
      <c r="F48" s="10">
        <v>182</v>
      </c>
      <c r="G48" s="6">
        <v>2.67</v>
      </c>
      <c r="H48" s="14">
        <f t="shared" si="0"/>
        <v>-3.74</v>
      </c>
      <c r="I48" s="830"/>
      <c r="J48" s="39"/>
      <c r="K48" s="39"/>
      <c r="L48" s="788"/>
      <c r="M48" s="11" t="s">
        <v>113</v>
      </c>
      <c r="V48" s="808"/>
    </row>
    <row r="49" spans="1:22">
      <c r="A49" s="84" t="s">
        <v>115</v>
      </c>
      <c r="B49" s="820">
        <v>-3.27</v>
      </c>
      <c r="C49" s="72"/>
      <c r="D49" s="4">
        <v>0.12558353028546052</v>
      </c>
      <c r="E49" s="2">
        <v>4</v>
      </c>
      <c r="F49" s="10">
        <v>222.00000000000003</v>
      </c>
      <c r="G49" s="6">
        <v>2.56</v>
      </c>
      <c r="H49" s="14">
        <f t="shared" si="0"/>
        <v>-4.03</v>
      </c>
      <c r="I49" s="830"/>
      <c r="J49" s="39"/>
      <c r="K49" s="39"/>
      <c r="L49" s="788"/>
      <c r="M49" s="11" t="s">
        <v>116</v>
      </c>
      <c r="V49" s="808"/>
    </row>
    <row r="50" spans="1:22">
      <c r="A50" s="82" t="s">
        <v>118</v>
      </c>
      <c r="B50" s="809">
        <v>-4.8099999999999996</v>
      </c>
      <c r="C50" s="71"/>
      <c r="D50" s="12">
        <v>0.1568133990664792</v>
      </c>
      <c r="E50" s="10">
        <v>6</v>
      </c>
      <c r="F50" s="10">
        <v>151</v>
      </c>
      <c r="G50" s="6">
        <v>3.27</v>
      </c>
      <c r="H50" s="14">
        <f t="shared" si="0"/>
        <v>-4.03</v>
      </c>
      <c r="I50" s="830"/>
      <c r="J50" s="39"/>
      <c r="K50" s="39"/>
      <c r="L50" s="788"/>
      <c r="M50" s="11" t="s">
        <v>119</v>
      </c>
      <c r="V50" s="808"/>
    </row>
    <row r="51" spans="1:22">
      <c r="A51" s="85" t="s">
        <v>84</v>
      </c>
      <c r="B51" s="820">
        <v>-4.16</v>
      </c>
      <c r="C51" s="72"/>
      <c r="D51" s="4">
        <v>0.12789394574374285</v>
      </c>
      <c r="E51" s="2">
        <v>5</v>
      </c>
      <c r="F51" s="10">
        <v>330</v>
      </c>
      <c r="G51" s="6">
        <v>2.87</v>
      </c>
      <c r="H51" s="14">
        <f t="shared" si="0"/>
        <v>-5.42</v>
      </c>
      <c r="I51" s="830"/>
      <c r="J51" s="39"/>
      <c r="K51" s="39"/>
      <c r="L51" s="788"/>
      <c r="M51" s="11" t="s">
        <v>120</v>
      </c>
      <c r="V51" s="808"/>
    </row>
    <row r="52" spans="1:22">
      <c r="A52" s="82" t="s">
        <v>121</v>
      </c>
      <c r="B52" s="809">
        <v>-4.04</v>
      </c>
      <c r="C52" s="71"/>
      <c r="D52" s="12">
        <v>0.18012800124370357</v>
      </c>
      <c r="E52" s="10">
        <v>3</v>
      </c>
      <c r="F52" s="10">
        <v>100</v>
      </c>
      <c r="G52" s="6">
        <v>3.53</v>
      </c>
      <c r="H52" s="14">
        <f t="shared" si="0"/>
        <v>-3.78</v>
      </c>
      <c r="I52" s="831"/>
      <c r="J52" s="7"/>
      <c r="K52" s="7"/>
      <c r="L52" s="825"/>
      <c r="M52" s="11" t="s">
        <v>122</v>
      </c>
      <c r="V52" s="808"/>
    </row>
    <row r="53" spans="1:22">
      <c r="A53" s="81" t="s">
        <v>123</v>
      </c>
      <c r="B53" s="809">
        <v>-3.36</v>
      </c>
      <c r="C53" s="71"/>
      <c r="D53" s="12">
        <v>0.18062104750721683</v>
      </c>
      <c r="E53" s="10">
        <v>16</v>
      </c>
      <c r="F53" s="10">
        <v>262.5</v>
      </c>
      <c r="G53" s="6">
        <v>1.9</v>
      </c>
      <c r="H53" s="14">
        <f t="shared" si="0"/>
        <v>-3.7749999999999999</v>
      </c>
      <c r="I53" s="831"/>
      <c r="J53" s="7"/>
      <c r="K53" s="7"/>
      <c r="L53" s="825"/>
      <c r="M53" s="11" t="s">
        <v>124</v>
      </c>
      <c r="V53" s="808"/>
    </row>
    <row r="54" spans="1:22">
      <c r="A54" s="84" t="s">
        <v>125</v>
      </c>
      <c r="B54" s="820">
        <v>-2.98</v>
      </c>
      <c r="C54" s="72"/>
      <c r="D54" s="4">
        <v>0.22156244268660033</v>
      </c>
      <c r="E54" s="2">
        <v>4</v>
      </c>
      <c r="F54" s="10">
        <v>328.85</v>
      </c>
      <c r="G54" s="6">
        <v>1.87</v>
      </c>
      <c r="H54" s="14">
        <f t="shared" si="0"/>
        <v>-4.4085000000000001</v>
      </c>
      <c r="I54" s="831"/>
      <c r="J54" s="7"/>
      <c r="K54" s="7"/>
      <c r="L54" s="825"/>
      <c r="M54" s="11" t="s">
        <v>126</v>
      </c>
      <c r="V54" s="808"/>
    </row>
    <row r="55" spans="1:22">
      <c r="A55" s="82" t="s">
        <v>127</v>
      </c>
      <c r="B55" s="809">
        <v>-5.3</v>
      </c>
      <c r="C55" s="71"/>
      <c r="D55" s="12">
        <v>0.18450811780713378</v>
      </c>
      <c r="E55" s="10">
        <v>33</v>
      </c>
      <c r="F55" s="10">
        <v>167.5</v>
      </c>
      <c r="G55" s="6">
        <v>4.3600000000000003</v>
      </c>
      <c r="H55" s="14">
        <f t="shared" si="0"/>
        <v>-5.2850000000000001</v>
      </c>
      <c r="I55" s="831"/>
      <c r="J55" s="7"/>
      <c r="K55" s="7"/>
      <c r="L55" s="825"/>
      <c r="M55" s="11" t="s">
        <v>128</v>
      </c>
      <c r="V55" s="808"/>
    </row>
    <row r="56" spans="1:22">
      <c r="A56" s="82" t="s">
        <v>86</v>
      </c>
      <c r="B56" s="809">
        <v>-3.69</v>
      </c>
      <c r="C56" s="71"/>
      <c r="D56" s="12">
        <v>0.15609203233531485</v>
      </c>
      <c r="E56" s="10">
        <v>3</v>
      </c>
      <c r="F56" s="10">
        <v>223</v>
      </c>
      <c r="G56" s="6">
        <v>2.99</v>
      </c>
      <c r="H56" s="14">
        <f t="shared" si="0"/>
        <v>-4.4700000000000006</v>
      </c>
      <c r="I56" s="831"/>
      <c r="J56" s="7"/>
      <c r="K56" s="7"/>
      <c r="L56" s="825"/>
      <c r="M56" s="11" t="s">
        <v>129</v>
      </c>
      <c r="V56" s="808"/>
    </row>
    <row r="57" spans="1:22">
      <c r="A57" s="82" t="s">
        <v>89</v>
      </c>
      <c r="B57" s="809">
        <v>-4.13</v>
      </c>
      <c r="C57" s="71"/>
      <c r="D57" s="12">
        <v>0.20872343532408041</v>
      </c>
      <c r="E57" s="10">
        <v>3</v>
      </c>
      <c r="F57" s="10">
        <v>210.5</v>
      </c>
      <c r="G57" s="6">
        <v>2.72</v>
      </c>
      <c r="H57" s="14">
        <f t="shared" si="0"/>
        <v>-4.0750000000000002</v>
      </c>
      <c r="I57" s="791"/>
      <c r="J57" s="832"/>
      <c r="K57" s="832"/>
      <c r="L57" s="833"/>
      <c r="M57" s="11" t="s">
        <v>130</v>
      </c>
      <c r="V57" s="808"/>
    </row>
    <row r="58" spans="1:22">
      <c r="A58" s="84" t="s">
        <v>131</v>
      </c>
      <c r="B58" s="820">
        <v>-4.0599999999999996</v>
      </c>
      <c r="C58" s="72"/>
      <c r="D58" s="4">
        <v>0.1297319013416561</v>
      </c>
      <c r="E58" s="2">
        <v>3</v>
      </c>
      <c r="F58" s="10">
        <v>209.75</v>
      </c>
      <c r="G58" s="6">
        <v>3.37</v>
      </c>
      <c r="H58" s="14">
        <f t="shared" si="0"/>
        <v>-4.7175000000000002</v>
      </c>
      <c r="J58" s="14"/>
      <c r="K58" s="14"/>
      <c r="L58" s="14"/>
      <c r="M58" s="11" t="s">
        <v>132</v>
      </c>
      <c r="V58" s="808"/>
    </row>
    <row r="59" spans="1:22">
      <c r="A59" s="81" t="s">
        <v>92</v>
      </c>
      <c r="B59" s="809">
        <v>-2.7</v>
      </c>
      <c r="C59" s="71"/>
      <c r="D59" s="12">
        <v>0.14124198841117766</v>
      </c>
      <c r="E59" s="10">
        <v>3</v>
      </c>
      <c r="F59" s="10">
        <v>53.5</v>
      </c>
      <c r="G59" s="6">
        <v>3.43</v>
      </c>
      <c r="H59" s="14">
        <f t="shared" si="0"/>
        <v>-3.2150000000000003</v>
      </c>
      <c r="I59" s="834" t="s">
        <v>133</v>
      </c>
      <c r="J59" s="835">
        <v>117</v>
      </c>
      <c r="K59" s="816"/>
      <c r="L59" s="14"/>
      <c r="M59" s="11" t="s">
        <v>134</v>
      </c>
      <c r="V59" s="808"/>
    </row>
    <row r="60" spans="1:22">
      <c r="A60" s="81" t="s">
        <v>135</v>
      </c>
      <c r="B60" s="809">
        <v>-2.27</v>
      </c>
      <c r="C60" s="71"/>
      <c r="D60" s="12">
        <v>0.17069281866408892</v>
      </c>
      <c r="E60" s="10">
        <v>6</v>
      </c>
      <c r="F60" s="10">
        <v>270</v>
      </c>
      <c r="G60" s="6">
        <v>0.05</v>
      </c>
      <c r="H60" s="14">
        <f t="shared" si="0"/>
        <v>-2</v>
      </c>
      <c r="I60" s="834" t="s">
        <v>136</v>
      </c>
      <c r="J60" s="835">
        <v>36</v>
      </c>
      <c r="K60" s="816"/>
      <c r="L60" s="14"/>
      <c r="M60" s="11" t="s">
        <v>137</v>
      </c>
      <c r="V60" s="808"/>
    </row>
    <row r="61" spans="1:22">
      <c r="A61" s="82" t="s">
        <v>138</v>
      </c>
      <c r="B61" s="809">
        <v>-2.74</v>
      </c>
      <c r="C61" s="71"/>
      <c r="D61" s="12">
        <v>0.2061475968316322</v>
      </c>
      <c r="E61" s="10">
        <v>3</v>
      </c>
      <c r="F61" s="10">
        <v>143.75</v>
      </c>
      <c r="G61" s="6">
        <v>1.6</v>
      </c>
      <c r="H61" s="14">
        <f t="shared" si="0"/>
        <v>-2.2875000000000001</v>
      </c>
      <c r="I61" s="834" t="s">
        <v>139</v>
      </c>
      <c r="J61" s="835">
        <f>COUNTA(A23:A122)</f>
        <v>100</v>
      </c>
      <c r="K61" s="816"/>
      <c r="L61" s="14"/>
      <c r="M61" s="11" t="s">
        <v>140</v>
      </c>
      <c r="V61" s="808"/>
    </row>
    <row r="62" spans="1:22">
      <c r="A62" s="81" t="s">
        <v>141</v>
      </c>
      <c r="B62" s="809">
        <v>-4.2699999999999996</v>
      </c>
      <c r="C62" s="71"/>
      <c r="D62" s="12">
        <v>0.18021422622763517</v>
      </c>
      <c r="E62" s="10">
        <v>5</v>
      </c>
      <c r="F62" s="10">
        <v>214.5</v>
      </c>
      <c r="G62" s="6">
        <v>3.61</v>
      </c>
      <c r="H62" s="14">
        <f t="shared" si="0"/>
        <v>-5.0049999999999999</v>
      </c>
      <c r="I62" s="14"/>
      <c r="J62" s="14"/>
      <c r="K62" s="14"/>
      <c r="L62" s="14"/>
      <c r="M62" s="11" t="s">
        <v>142</v>
      </c>
      <c r="V62" s="808"/>
    </row>
    <row r="63" spans="1:22">
      <c r="A63" s="82" t="s">
        <v>143</v>
      </c>
      <c r="B63" s="809">
        <v>-4.6100000000000003</v>
      </c>
      <c r="C63" s="71"/>
      <c r="D63" s="12">
        <v>0.19225415374507382</v>
      </c>
      <c r="E63" s="10">
        <v>8</v>
      </c>
      <c r="F63" s="10">
        <v>255.29999999999998</v>
      </c>
      <c r="G63" s="6">
        <v>3.82</v>
      </c>
      <c r="H63" s="14">
        <f t="shared" si="0"/>
        <v>-5.6229999999999993</v>
      </c>
      <c r="I63" s="836" t="s">
        <v>144</v>
      </c>
      <c r="J63" s="818"/>
      <c r="K63" s="818"/>
      <c r="L63" s="819"/>
      <c r="M63" s="11" t="s">
        <v>145</v>
      </c>
      <c r="V63" s="808"/>
    </row>
    <row r="64" spans="1:22">
      <c r="A64" s="82" t="s">
        <v>146</v>
      </c>
      <c r="B64" s="809">
        <v>-2.95</v>
      </c>
      <c r="C64" s="71"/>
      <c r="D64" s="12">
        <v>0.17</v>
      </c>
      <c r="E64" s="10">
        <v>3</v>
      </c>
      <c r="F64" s="10">
        <v>189</v>
      </c>
      <c r="G64" s="6">
        <v>1.34</v>
      </c>
      <c r="H64" s="14">
        <f t="shared" si="0"/>
        <v>-2.4800000000000004</v>
      </c>
      <c r="I64" s="837" t="s">
        <v>1066</v>
      </c>
      <c r="J64" s="822"/>
      <c r="K64" s="822"/>
      <c r="L64" s="823"/>
      <c r="M64" s="11" t="s">
        <v>148</v>
      </c>
      <c r="V64" s="808"/>
    </row>
    <row r="65" spans="1:22">
      <c r="A65" s="82" t="s">
        <v>149</v>
      </c>
      <c r="B65" s="809">
        <v>-4.0599999999999996</v>
      </c>
      <c r="C65" s="71"/>
      <c r="D65" s="12">
        <v>0.19794493160510693</v>
      </c>
      <c r="E65" s="10">
        <v>4</v>
      </c>
      <c r="F65" s="10">
        <v>243.5</v>
      </c>
      <c r="G65" s="6">
        <v>1.34</v>
      </c>
      <c r="H65" s="14">
        <f t="shared" si="0"/>
        <v>-3.0250000000000004</v>
      </c>
      <c r="I65" s="838" t="s">
        <v>1067</v>
      </c>
      <c r="J65" s="7"/>
      <c r="K65" s="7"/>
      <c r="L65" s="825"/>
      <c r="M65" s="11" t="s">
        <v>151</v>
      </c>
      <c r="V65" s="808"/>
    </row>
    <row r="66" spans="1:22">
      <c r="A66" s="81" t="s">
        <v>95</v>
      </c>
      <c r="B66" s="809">
        <v>-1.88</v>
      </c>
      <c r="C66" s="71"/>
      <c r="D66" s="12">
        <v>0.21056099074293383</v>
      </c>
      <c r="E66" s="10">
        <v>3</v>
      </c>
      <c r="F66" s="10">
        <v>36.5</v>
      </c>
      <c r="G66" s="6">
        <v>2.74</v>
      </c>
      <c r="H66" s="14">
        <f t="shared" si="0"/>
        <v>-2.3550000000000004</v>
      </c>
      <c r="I66" s="831"/>
      <c r="J66" s="7"/>
      <c r="K66" s="7"/>
      <c r="L66" s="825"/>
      <c r="M66" s="11" t="s">
        <v>152</v>
      </c>
      <c r="V66" s="808"/>
    </row>
    <row r="67" spans="1:22">
      <c r="A67" s="83" t="s">
        <v>153</v>
      </c>
      <c r="B67" s="809">
        <v>-3.53</v>
      </c>
      <c r="C67" s="71"/>
      <c r="D67" s="12">
        <v>0.21092434073951916</v>
      </c>
      <c r="E67" s="10">
        <v>10</v>
      </c>
      <c r="F67" s="10">
        <v>186</v>
      </c>
      <c r="G67" s="6">
        <v>3.4</v>
      </c>
      <c r="H67" s="14">
        <f t="shared" si="0"/>
        <v>-4.51</v>
      </c>
      <c r="I67" s="831"/>
      <c r="J67" s="7"/>
      <c r="K67" s="7"/>
      <c r="L67" s="825"/>
      <c r="M67" s="11" t="s">
        <v>154</v>
      </c>
      <c r="V67" s="808"/>
    </row>
    <row r="68" spans="1:22">
      <c r="A68" s="81" t="s">
        <v>98</v>
      </c>
      <c r="B68" s="809">
        <v>-3.78</v>
      </c>
      <c r="C68" s="71"/>
      <c r="D68" s="12">
        <v>0.18695478693957188</v>
      </c>
      <c r="E68" s="10">
        <v>3</v>
      </c>
      <c r="F68" s="10">
        <v>252.99999999999997</v>
      </c>
      <c r="G68" s="6">
        <v>2.35</v>
      </c>
      <c r="H68" s="14">
        <f t="shared" si="0"/>
        <v>-4.13</v>
      </c>
      <c r="I68" s="831"/>
      <c r="J68" s="7"/>
      <c r="K68" s="7"/>
      <c r="L68" s="825"/>
      <c r="M68" s="11" t="s">
        <v>155</v>
      </c>
      <c r="V68" s="808"/>
    </row>
    <row r="69" spans="1:22">
      <c r="A69" s="83" t="s">
        <v>156</v>
      </c>
      <c r="B69" s="809">
        <v>-4.16</v>
      </c>
      <c r="C69" s="71"/>
      <c r="D69" s="12">
        <v>0.20491085989689112</v>
      </c>
      <c r="E69" s="10">
        <v>23</v>
      </c>
      <c r="F69" s="10">
        <v>111.00000000000001</v>
      </c>
      <c r="G69" s="6">
        <v>3.68</v>
      </c>
      <c r="H69" s="14">
        <f t="shared" si="0"/>
        <v>-4.04</v>
      </c>
      <c r="I69" s="831"/>
      <c r="J69" s="7"/>
      <c r="K69" s="7"/>
      <c r="L69" s="825"/>
      <c r="M69" s="11" t="s">
        <v>157</v>
      </c>
      <c r="V69" s="808"/>
    </row>
    <row r="70" spans="1:22">
      <c r="A70" s="81" t="s">
        <v>158</v>
      </c>
      <c r="B70" s="809">
        <v>-3.32</v>
      </c>
      <c r="C70" s="71"/>
      <c r="D70" s="12">
        <v>0.15545016183846921</v>
      </c>
      <c r="E70" s="10">
        <v>6</v>
      </c>
      <c r="F70" s="10">
        <v>250</v>
      </c>
      <c r="G70" s="6">
        <v>-0.04</v>
      </c>
      <c r="H70" s="14">
        <f t="shared" si="0"/>
        <v>-1.71</v>
      </c>
      <c r="I70" s="831"/>
      <c r="J70" s="7"/>
      <c r="K70" s="7"/>
      <c r="L70" s="825"/>
      <c r="M70" s="11" t="s">
        <v>159</v>
      </c>
      <c r="V70" s="808"/>
    </row>
    <row r="71" spans="1:22">
      <c r="A71" s="82" t="s">
        <v>160</v>
      </c>
      <c r="B71" s="809">
        <v>-2.81</v>
      </c>
      <c r="C71" s="71"/>
      <c r="D71" s="12">
        <v>0.13261436390895148</v>
      </c>
      <c r="E71" s="10">
        <v>3</v>
      </c>
      <c r="F71" s="10">
        <v>250</v>
      </c>
      <c r="G71" s="6">
        <v>-1.97</v>
      </c>
      <c r="H71" s="14">
        <f t="shared" si="0"/>
        <v>0.21999999999999975</v>
      </c>
      <c r="I71" s="831"/>
      <c r="J71" s="7"/>
      <c r="K71" s="7"/>
      <c r="L71" s="825"/>
      <c r="M71" s="11" t="s">
        <v>161</v>
      </c>
      <c r="V71" s="808"/>
    </row>
    <row r="72" spans="1:22">
      <c r="A72" s="82" t="s">
        <v>162</v>
      </c>
      <c r="B72" s="809">
        <v>-3.78</v>
      </c>
      <c r="C72" s="71"/>
      <c r="D72" s="12">
        <v>0.21159815676624968</v>
      </c>
      <c r="E72" s="10">
        <v>9</v>
      </c>
      <c r="F72" s="10">
        <v>208.5</v>
      </c>
      <c r="G72" s="6">
        <v>2.08</v>
      </c>
      <c r="H72" s="14">
        <f t="shared" si="0"/>
        <v>-3.415</v>
      </c>
      <c r="I72" s="831"/>
      <c r="J72" s="7"/>
      <c r="K72" s="7"/>
      <c r="L72" s="825"/>
      <c r="M72" s="11" t="s">
        <v>163</v>
      </c>
      <c r="V72" s="808"/>
    </row>
    <row r="73" spans="1:22">
      <c r="A73" s="82" t="s">
        <v>164</v>
      </c>
      <c r="B73" s="809">
        <v>-3.34</v>
      </c>
      <c r="C73" s="71"/>
      <c r="D73" s="12">
        <v>0.1900151243705871</v>
      </c>
      <c r="E73" s="10">
        <v>15</v>
      </c>
      <c r="F73" s="10">
        <v>220.00000000000003</v>
      </c>
      <c r="G73" s="6">
        <v>2.69</v>
      </c>
      <c r="H73" s="14">
        <f t="shared" si="0"/>
        <v>-4.1400000000000006</v>
      </c>
      <c r="I73" s="831"/>
      <c r="J73" s="7"/>
      <c r="K73" s="7"/>
      <c r="L73" s="825"/>
      <c r="M73" s="11" t="s">
        <v>165</v>
      </c>
      <c r="V73" s="808"/>
    </row>
    <row r="74" spans="1:22">
      <c r="A74" s="82" t="s">
        <v>166</v>
      </c>
      <c r="B74" s="809">
        <v>-4.0199999999999996</v>
      </c>
      <c r="C74" s="71"/>
      <c r="D74" s="12">
        <v>0.16978183023026608</v>
      </c>
      <c r="E74" s="10">
        <v>10</v>
      </c>
      <c r="F74" s="10">
        <v>151</v>
      </c>
      <c r="G74" s="6">
        <v>4.43</v>
      </c>
      <c r="H74" s="14">
        <f t="shared" si="0"/>
        <v>-5.1899999999999995</v>
      </c>
      <c r="I74" s="831"/>
      <c r="J74" s="7"/>
      <c r="K74" s="7"/>
      <c r="L74" s="825"/>
      <c r="M74" s="11" t="s">
        <v>167</v>
      </c>
      <c r="V74" s="808"/>
    </row>
    <row r="75" spans="1:22">
      <c r="A75" s="83" t="s">
        <v>100</v>
      </c>
      <c r="B75" s="809">
        <v>-4.96</v>
      </c>
      <c r="C75" s="71"/>
      <c r="D75" s="12">
        <v>0.19416214604145643</v>
      </c>
      <c r="E75" s="10">
        <v>7</v>
      </c>
      <c r="F75" s="10">
        <v>154.5</v>
      </c>
      <c r="G75" s="6">
        <v>4.22</v>
      </c>
      <c r="H75" s="14">
        <f t="shared" si="0"/>
        <v>-5.0149999999999997</v>
      </c>
      <c r="I75" s="831"/>
      <c r="J75" s="7"/>
      <c r="K75" s="7"/>
      <c r="L75" s="825"/>
      <c r="M75" s="11" t="s">
        <v>168</v>
      </c>
      <c r="V75" s="808"/>
    </row>
    <row r="76" spans="1:22">
      <c r="A76" s="82" t="s">
        <v>169</v>
      </c>
      <c r="B76" s="809">
        <v>-5.49</v>
      </c>
      <c r="C76" s="71"/>
      <c r="D76" s="12">
        <v>0.16048013551961601</v>
      </c>
      <c r="E76" s="10">
        <v>5</v>
      </c>
      <c r="F76" s="10">
        <v>167.75</v>
      </c>
      <c r="G76" s="6">
        <v>2.87</v>
      </c>
      <c r="H76" s="14">
        <f t="shared" si="0"/>
        <v>-3.7975000000000003</v>
      </c>
      <c r="I76" s="831"/>
      <c r="J76" s="7"/>
      <c r="K76" s="7"/>
      <c r="L76" s="825"/>
      <c r="M76" s="11" t="s">
        <v>170</v>
      </c>
      <c r="V76" s="808"/>
    </row>
    <row r="77" spans="1:22">
      <c r="A77" s="84" t="s">
        <v>171</v>
      </c>
      <c r="B77" s="820">
        <v>-4.5999999999999996</v>
      </c>
      <c r="C77" s="72"/>
      <c r="D77" s="4">
        <v>0.22239504833634874</v>
      </c>
      <c r="E77" s="2">
        <v>21</v>
      </c>
      <c r="F77" s="10">
        <v>159</v>
      </c>
      <c r="G77" s="6">
        <v>3.93</v>
      </c>
      <c r="H77" s="14">
        <f t="shared" si="0"/>
        <v>-4.7700000000000005</v>
      </c>
      <c r="I77" s="831"/>
      <c r="J77" s="7"/>
      <c r="K77" s="7"/>
      <c r="L77" s="825"/>
      <c r="M77" s="11" t="s">
        <v>172</v>
      </c>
      <c r="V77" s="808"/>
    </row>
    <row r="78" spans="1:22">
      <c r="A78" s="82" t="s">
        <v>173</v>
      </c>
      <c r="B78" s="809">
        <v>-3.97</v>
      </c>
      <c r="C78" s="71"/>
      <c r="D78" s="12">
        <v>0.21209434799218393</v>
      </c>
      <c r="E78" s="10">
        <v>5</v>
      </c>
      <c r="F78" s="10">
        <v>213.49999999999997</v>
      </c>
      <c r="G78" s="6">
        <v>3.04</v>
      </c>
      <c r="H78" s="14">
        <f t="shared" si="0"/>
        <v>-4.4249999999999998</v>
      </c>
      <c r="I78" s="831"/>
      <c r="J78" s="7"/>
      <c r="K78" s="7"/>
      <c r="L78" s="825"/>
      <c r="M78" s="11" t="s">
        <v>174</v>
      </c>
      <c r="V78" s="808"/>
    </row>
    <row r="79" spans="1:22">
      <c r="A79" s="82" t="s">
        <v>175</v>
      </c>
      <c r="B79" s="809">
        <v>-5.05</v>
      </c>
      <c r="C79" s="71"/>
      <c r="D79" s="12">
        <v>0.1407224156406931</v>
      </c>
      <c r="E79" s="10">
        <v>11</v>
      </c>
      <c r="F79" s="10">
        <v>146</v>
      </c>
      <c r="G79" s="6">
        <v>4.21</v>
      </c>
      <c r="H79" s="14">
        <f t="shared" si="0"/>
        <v>-4.92</v>
      </c>
      <c r="I79" s="831"/>
      <c r="J79" s="7"/>
      <c r="K79" s="7"/>
      <c r="L79" s="825"/>
      <c r="M79" s="11" t="s">
        <v>176</v>
      </c>
      <c r="V79" s="808"/>
    </row>
    <row r="80" spans="1:22">
      <c r="A80" s="82" t="s">
        <v>177</v>
      </c>
      <c r="B80" s="809">
        <v>-4.53</v>
      </c>
      <c r="C80" s="71"/>
      <c r="D80" s="12">
        <v>0.21748916450754371</v>
      </c>
      <c r="E80" s="10">
        <v>5</v>
      </c>
      <c r="F80" s="10">
        <v>92.333333333333329</v>
      </c>
      <c r="G80" s="6">
        <v>4.21</v>
      </c>
      <c r="H80" s="14">
        <f t="shared" si="0"/>
        <v>-4.3833333333333329</v>
      </c>
      <c r="I80" s="831"/>
      <c r="J80" s="7"/>
      <c r="K80" s="7"/>
      <c r="L80" s="825"/>
      <c r="M80" s="11" t="s">
        <v>178</v>
      </c>
      <c r="V80" s="808"/>
    </row>
    <row r="81" spans="1:22">
      <c r="A81" s="81" t="s">
        <v>179</v>
      </c>
      <c r="B81" s="809">
        <v>-4.1500000000000004</v>
      </c>
      <c r="C81" s="71"/>
      <c r="D81" s="12">
        <v>0.20531013145176411</v>
      </c>
      <c r="E81" s="10">
        <v>8</v>
      </c>
      <c r="F81" s="10">
        <v>256</v>
      </c>
      <c r="G81" s="6">
        <v>2.71</v>
      </c>
      <c r="H81" s="14">
        <f t="shared" si="0"/>
        <v>-4.5199999999999996</v>
      </c>
      <c r="I81" s="831"/>
      <c r="J81" s="7"/>
      <c r="K81" s="7"/>
      <c r="L81" s="825"/>
      <c r="M81" s="11" t="s">
        <v>180</v>
      </c>
      <c r="V81" s="808"/>
    </row>
    <row r="82" spans="1:22">
      <c r="A82" s="81" t="s">
        <v>181</v>
      </c>
      <c r="B82" s="809">
        <v>-3.51</v>
      </c>
      <c r="C82" s="71"/>
      <c r="D82" s="12">
        <v>0.21176785142223761</v>
      </c>
      <c r="E82" s="10">
        <v>3</v>
      </c>
      <c r="F82" s="10">
        <v>80</v>
      </c>
      <c r="G82" s="6">
        <v>3.37</v>
      </c>
      <c r="H82" s="14">
        <f t="shared" si="0"/>
        <v>-3.42</v>
      </c>
      <c r="I82" s="831"/>
      <c r="J82" s="7"/>
      <c r="K82" s="7"/>
      <c r="L82" s="825"/>
      <c r="M82" s="11" t="s">
        <v>182</v>
      </c>
      <c r="V82" s="808"/>
    </row>
    <row r="83" spans="1:22">
      <c r="A83" s="81" t="s">
        <v>183</v>
      </c>
      <c r="B83" s="809">
        <v>-3.63</v>
      </c>
      <c r="C83" s="71"/>
      <c r="D83" s="12">
        <v>0.16217657762412213</v>
      </c>
      <c r="E83" s="10">
        <v>17</v>
      </c>
      <c r="F83" s="10">
        <v>153</v>
      </c>
      <c r="G83" s="6">
        <v>3.04</v>
      </c>
      <c r="H83" s="14">
        <f t="shared" si="0"/>
        <v>-3.8200000000000003</v>
      </c>
      <c r="I83" s="831"/>
      <c r="J83" s="7"/>
      <c r="K83" s="7"/>
      <c r="L83" s="825"/>
      <c r="M83" s="11" t="s">
        <v>184</v>
      </c>
      <c r="V83" s="808"/>
    </row>
    <row r="84" spans="1:22">
      <c r="A84" s="82" t="s">
        <v>185</v>
      </c>
      <c r="B84" s="809">
        <v>-4.92</v>
      </c>
      <c r="C84" s="71"/>
      <c r="D84" s="12">
        <v>0.20448827496623867</v>
      </c>
      <c r="E84" s="10">
        <v>3</v>
      </c>
      <c r="F84" s="10">
        <v>349.84</v>
      </c>
      <c r="G84" s="6">
        <v>4.75</v>
      </c>
      <c r="H84" s="14">
        <f t="shared" si="0"/>
        <v>-7.4984000000000002</v>
      </c>
      <c r="I84" s="831"/>
      <c r="J84" s="7"/>
      <c r="K84" s="7"/>
      <c r="L84" s="825"/>
      <c r="M84" s="11" t="s">
        <v>186</v>
      </c>
      <c r="V84" s="808"/>
    </row>
    <row r="85" spans="1:22">
      <c r="A85" s="82" t="s">
        <v>187</v>
      </c>
      <c r="B85" s="809">
        <v>-3.79</v>
      </c>
      <c r="C85" s="71"/>
      <c r="D85" s="12">
        <v>0.14358294446577732</v>
      </c>
      <c r="E85" s="10">
        <v>6</v>
      </c>
      <c r="F85" s="10">
        <v>248</v>
      </c>
      <c r="G85" s="6">
        <v>2.65</v>
      </c>
      <c r="H85" s="14">
        <f t="shared" si="0"/>
        <v>-4.38</v>
      </c>
      <c r="I85" s="831"/>
      <c r="J85" s="7"/>
      <c r="K85" s="7"/>
      <c r="L85" s="825"/>
      <c r="M85" s="11" t="s">
        <v>188</v>
      </c>
      <c r="V85" s="808"/>
    </row>
    <row r="86" spans="1:22">
      <c r="A86" s="82" t="s">
        <v>189</v>
      </c>
      <c r="B86" s="809">
        <v>-3.99</v>
      </c>
      <c r="C86" s="71"/>
      <c r="D86" s="12">
        <v>0.15384096988991314</v>
      </c>
      <c r="E86" s="10">
        <v>11</v>
      </c>
      <c r="F86" s="10">
        <v>173</v>
      </c>
      <c r="G86" s="6">
        <v>2.1800000000000002</v>
      </c>
      <c r="H86" s="14">
        <f t="shared" si="0"/>
        <v>-3.16</v>
      </c>
      <c r="I86" s="831"/>
      <c r="J86" s="7"/>
      <c r="K86" s="7"/>
      <c r="L86" s="825"/>
      <c r="M86" s="11" t="s">
        <v>190</v>
      </c>
      <c r="V86" s="808"/>
    </row>
    <row r="87" spans="1:22">
      <c r="A87" s="82" t="s">
        <v>191</v>
      </c>
      <c r="B87" s="809">
        <v>-3.86</v>
      </c>
      <c r="C87" s="71"/>
      <c r="D87" s="12">
        <v>0.14176528631434945</v>
      </c>
      <c r="E87" s="10">
        <v>5</v>
      </c>
      <c r="F87" s="10">
        <v>143.75</v>
      </c>
      <c r="G87" s="6">
        <v>2.76</v>
      </c>
      <c r="H87" s="14">
        <f t="shared" ref="H87:H122" si="1">0.5-G87-0.01*(F87-25)</f>
        <v>-3.4474999999999998</v>
      </c>
      <c r="I87" s="831"/>
      <c r="J87" s="7"/>
      <c r="K87" s="7"/>
      <c r="L87" s="825"/>
      <c r="M87" s="11" t="s">
        <v>192</v>
      </c>
      <c r="V87" s="808"/>
    </row>
    <row r="88" spans="1:22">
      <c r="A88" s="82" t="s">
        <v>193</v>
      </c>
      <c r="B88" s="809">
        <v>-3.09</v>
      </c>
      <c r="C88" s="71"/>
      <c r="D88" s="12">
        <v>0.16213928191469343</v>
      </c>
      <c r="E88" s="10">
        <v>19</v>
      </c>
      <c r="F88" s="10">
        <v>220.5</v>
      </c>
      <c r="G88" s="6">
        <v>1.27</v>
      </c>
      <c r="H88" s="14">
        <f t="shared" si="1"/>
        <v>-2.7250000000000001</v>
      </c>
      <c r="I88" s="831"/>
      <c r="J88" s="7"/>
      <c r="K88" s="7"/>
      <c r="L88" s="825"/>
      <c r="M88" s="11" t="s">
        <v>194</v>
      </c>
      <c r="V88" s="808"/>
    </row>
    <row r="89" spans="1:22">
      <c r="A89" s="82" t="s">
        <v>195</v>
      </c>
      <c r="B89" s="809">
        <v>-4.29</v>
      </c>
      <c r="C89" s="71"/>
      <c r="D89" s="12">
        <v>0.16127920198135692</v>
      </c>
      <c r="E89" s="10">
        <v>5</v>
      </c>
      <c r="F89" s="10">
        <v>214</v>
      </c>
      <c r="G89" s="6">
        <v>3.83</v>
      </c>
      <c r="H89" s="14">
        <f t="shared" si="1"/>
        <v>-5.2200000000000006</v>
      </c>
      <c r="I89" s="831"/>
      <c r="J89" s="7"/>
      <c r="K89" s="7"/>
      <c r="L89" s="825"/>
      <c r="M89" s="11" t="s">
        <v>196</v>
      </c>
      <c r="V89" s="808"/>
    </row>
    <row r="90" spans="1:22">
      <c r="A90" s="83" t="s">
        <v>197</v>
      </c>
      <c r="B90" s="809">
        <v>-4.05</v>
      </c>
      <c r="C90" s="71"/>
      <c r="D90" s="12">
        <v>0.13869006117838048</v>
      </c>
      <c r="E90" s="10">
        <v>3</v>
      </c>
      <c r="F90" s="10">
        <v>176</v>
      </c>
      <c r="G90" s="6">
        <v>2.88</v>
      </c>
      <c r="H90" s="14">
        <f t="shared" si="1"/>
        <v>-3.8899999999999997</v>
      </c>
      <c r="I90" s="831"/>
      <c r="J90" s="7"/>
      <c r="K90" s="7"/>
      <c r="L90" s="825"/>
      <c r="M90" s="11" t="s">
        <v>198</v>
      </c>
      <c r="V90" s="808"/>
    </row>
    <row r="91" spans="1:22">
      <c r="A91" s="85" t="s">
        <v>199</v>
      </c>
      <c r="B91" s="820">
        <v>-2.96</v>
      </c>
      <c r="C91" s="72"/>
      <c r="D91" s="4">
        <v>0.1259834086188602</v>
      </c>
      <c r="E91" s="2">
        <v>14</v>
      </c>
      <c r="F91" s="10">
        <v>253.5</v>
      </c>
      <c r="G91" s="6">
        <v>1.54</v>
      </c>
      <c r="H91" s="14">
        <f t="shared" si="1"/>
        <v>-3.3250000000000002</v>
      </c>
      <c r="I91" s="831"/>
      <c r="J91" s="7"/>
      <c r="K91" s="7"/>
      <c r="L91" s="825"/>
      <c r="M91" s="11" t="s">
        <v>200</v>
      </c>
      <c r="V91" s="808"/>
    </row>
    <row r="92" spans="1:22">
      <c r="A92" s="82" t="s">
        <v>201</v>
      </c>
      <c r="B92" s="809">
        <v>-3.94</v>
      </c>
      <c r="C92" s="71"/>
      <c r="D92" s="12">
        <v>0.16504944177542516</v>
      </c>
      <c r="E92" s="10">
        <v>5</v>
      </c>
      <c r="F92" s="10">
        <v>205.50000000000003</v>
      </c>
      <c r="G92" s="6">
        <v>2.4500000000000002</v>
      </c>
      <c r="H92" s="14">
        <f t="shared" si="1"/>
        <v>-3.7550000000000008</v>
      </c>
      <c r="I92" s="831"/>
      <c r="J92" s="7"/>
      <c r="K92" s="7"/>
      <c r="L92" s="825"/>
      <c r="M92" s="11" t="s">
        <v>202</v>
      </c>
      <c r="V92" s="808"/>
    </row>
    <row r="93" spans="1:22">
      <c r="A93" s="83" t="s">
        <v>203</v>
      </c>
      <c r="B93" s="809">
        <v>-3.53</v>
      </c>
      <c r="C93" s="71"/>
      <c r="D93" s="12">
        <v>0.19426266518058349</v>
      </c>
      <c r="E93" s="10">
        <v>3</v>
      </c>
      <c r="F93" s="10">
        <v>96</v>
      </c>
      <c r="G93" s="6">
        <v>3.49</v>
      </c>
      <c r="H93" s="14">
        <f t="shared" si="1"/>
        <v>-3.7</v>
      </c>
      <c r="I93" s="831"/>
      <c r="J93" s="7"/>
      <c r="K93" s="7"/>
      <c r="L93" s="825"/>
      <c r="M93" s="11" t="s">
        <v>204</v>
      </c>
      <c r="V93" s="808"/>
    </row>
    <row r="94" spans="1:22">
      <c r="A94" s="82" t="s">
        <v>205</v>
      </c>
      <c r="B94" s="809">
        <v>-4.26</v>
      </c>
      <c r="C94" s="71"/>
      <c r="D94" s="12">
        <v>0.18894337149737056</v>
      </c>
      <c r="E94" s="10">
        <v>12</v>
      </c>
      <c r="F94" s="10">
        <v>147.25</v>
      </c>
      <c r="G94" s="6">
        <v>3.86</v>
      </c>
      <c r="H94" s="14">
        <f t="shared" si="1"/>
        <v>-4.5824999999999996</v>
      </c>
      <c r="I94" s="831"/>
      <c r="J94" s="7"/>
      <c r="K94" s="7"/>
      <c r="L94" s="825"/>
      <c r="M94" s="11" t="s">
        <v>206</v>
      </c>
      <c r="V94" s="808"/>
    </row>
    <row r="95" spans="1:22">
      <c r="A95" s="82" t="s">
        <v>207</v>
      </c>
      <c r="B95" s="809">
        <v>-4.38</v>
      </c>
      <c r="C95" s="71"/>
      <c r="D95" s="12">
        <v>0.17391407185160324</v>
      </c>
      <c r="E95" s="10">
        <v>6</v>
      </c>
      <c r="F95" s="10">
        <v>97</v>
      </c>
      <c r="G95" s="6">
        <v>3.94</v>
      </c>
      <c r="H95" s="14">
        <f t="shared" si="1"/>
        <v>-4.16</v>
      </c>
      <c r="I95" s="831"/>
      <c r="J95" s="7"/>
      <c r="K95" s="7"/>
      <c r="L95" s="825"/>
      <c r="M95" s="11" t="s">
        <v>208</v>
      </c>
      <c r="V95" s="808"/>
    </row>
    <row r="96" spans="1:22">
      <c r="A96" s="81" t="s">
        <v>209</v>
      </c>
      <c r="B96" s="809">
        <v>-2.27</v>
      </c>
      <c r="C96" s="71"/>
      <c r="D96" s="12">
        <v>0.13764369691033657</v>
      </c>
      <c r="E96" s="10">
        <v>10</v>
      </c>
      <c r="F96" s="10">
        <v>134.5</v>
      </c>
      <c r="G96" s="6">
        <v>2.04</v>
      </c>
      <c r="H96" s="14">
        <f t="shared" si="1"/>
        <v>-2.6349999999999998</v>
      </c>
      <c r="I96" s="831"/>
      <c r="J96" s="7"/>
      <c r="K96" s="7"/>
      <c r="L96" s="825"/>
      <c r="M96" s="11" t="s">
        <v>210</v>
      </c>
      <c r="V96" s="808"/>
    </row>
    <row r="97" spans="1:22">
      <c r="A97" s="82" t="s">
        <v>211</v>
      </c>
      <c r="B97" s="809">
        <v>-3.12</v>
      </c>
      <c r="C97" s="71"/>
      <c r="D97" s="12">
        <v>0.16245746888591447</v>
      </c>
      <c r="E97" s="10">
        <v>7</v>
      </c>
      <c r="F97" s="10">
        <v>139</v>
      </c>
      <c r="G97" s="6">
        <v>2.66</v>
      </c>
      <c r="H97" s="14">
        <f t="shared" si="1"/>
        <v>-3.3000000000000003</v>
      </c>
      <c r="I97" s="831"/>
      <c r="J97" s="7"/>
      <c r="K97" s="7"/>
      <c r="L97" s="825"/>
      <c r="M97" s="11" t="s">
        <v>212</v>
      </c>
      <c r="V97" s="808"/>
    </row>
    <row r="98" spans="1:22">
      <c r="A98" s="82" t="s">
        <v>213</v>
      </c>
      <c r="B98" s="809">
        <v>-2.74</v>
      </c>
      <c r="C98" s="71"/>
      <c r="D98" s="12">
        <v>0.15322122505052199</v>
      </c>
      <c r="E98" s="10">
        <v>9</v>
      </c>
      <c r="F98" s="10">
        <v>170</v>
      </c>
      <c r="G98" s="6">
        <v>1.91</v>
      </c>
      <c r="H98" s="14">
        <f t="shared" si="1"/>
        <v>-2.86</v>
      </c>
      <c r="I98" s="831"/>
      <c r="J98" s="7"/>
      <c r="K98" s="7"/>
      <c r="L98" s="825"/>
      <c r="M98" s="11" t="s">
        <v>214</v>
      </c>
      <c r="V98" s="808"/>
    </row>
    <row r="99" spans="1:22">
      <c r="A99" s="81" t="s">
        <v>215</v>
      </c>
      <c r="B99" s="809">
        <v>-3.34</v>
      </c>
      <c r="C99" s="71"/>
      <c r="D99" s="12">
        <v>0.15273607916541068</v>
      </c>
      <c r="E99" s="10">
        <v>10</v>
      </c>
      <c r="F99" s="10">
        <v>326</v>
      </c>
      <c r="G99" s="6">
        <v>2.44</v>
      </c>
      <c r="H99" s="14">
        <f t="shared" si="1"/>
        <v>-4.95</v>
      </c>
      <c r="I99" s="831"/>
      <c r="J99" s="7"/>
      <c r="K99" s="7"/>
      <c r="L99" s="825"/>
      <c r="M99" s="11" t="s">
        <v>216</v>
      </c>
      <c r="V99" s="808"/>
    </row>
    <row r="100" spans="1:22">
      <c r="A100" s="82" t="s">
        <v>217</v>
      </c>
      <c r="B100" s="809">
        <v>-3.48</v>
      </c>
      <c r="C100" s="71"/>
      <c r="D100" s="12">
        <v>0.18404701512102448</v>
      </c>
      <c r="E100" s="10">
        <v>5</v>
      </c>
      <c r="F100" s="10">
        <v>232.50000000000003</v>
      </c>
      <c r="G100" s="6">
        <v>1.8</v>
      </c>
      <c r="H100" s="14">
        <f t="shared" si="1"/>
        <v>-3.375</v>
      </c>
      <c r="I100" s="831"/>
      <c r="J100" s="7"/>
      <c r="K100" s="7"/>
      <c r="L100" s="825"/>
      <c r="M100" s="11" t="s">
        <v>218</v>
      </c>
      <c r="V100" s="808"/>
    </row>
    <row r="101" spans="1:22">
      <c r="A101" s="82" t="s">
        <v>219</v>
      </c>
      <c r="B101" s="809">
        <v>-2.66</v>
      </c>
      <c r="C101" s="71"/>
      <c r="D101" s="12">
        <v>0.13604063752604376</v>
      </c>
      <c r="E101" s="10">
        <v>4</v>
      </c>
      <c r="F101" s="10">
        <v>281.5</v>
      </c>
      <c r="G101" s="6">
        <v>0.54</v>
      </c>
      <c r="H101" s="14">
        <f t="shared" si="1"/>
        <v>-2.605</v>
      </c>
      <c r="I101" s="831"/>
      <c r="J101" s="7"/>
      <c r="K101" s="7"/>
      <c r="L101" s="825"/>
      <c r="M101" s="11" t="s">
        <v>220</v>
      </c>
      <c r="V101" s="808"/>
    </row>
    <row r="102" spans="1:22">
      <c r="A102" s="82" t="s">
        <v>221</v>
      </c>
      <c r="B102" s="809">
        <v>-2.99</v>
      </c>
      <c r="C102" s="71"/>
      <c r="D102" s="12">
        <v>0.19798964803022484</v>
      </c>
      <c r="E102" s="10">
        <v>4</v>
      </c>
      <c r="F102" s="10">
        <v>197.1</v>
      </c>
      <c r="G102" s="6">
        <v>2.2000000000000002</v>
      </c>
      <c r="H102" s="14">
        <f t="shared" si="1"/>
        <v>-3.4210000000000003</v>
      </c>
      <c r="I102" s="831"/>
      <c r="J102" s="7"/>
      <c r="K102" s="7"/>
      <c r="L102" s="825"/>
      <c r="M102" s="11" t="s">
        <v>222</v>
      </c>
      <c r="V102" s="808"/>
    </row>
    <row r="103" spans="1:22">
      <c r="A103" s="83" t="s">
        <v>223</v>
      </c>
      <c r="B103" s="809">
        <v>-4.6900000000000004</v>
      </c>
      <c r="C103" s="71"/>
      <c r="D103" s="12">
        <v>0.13486720020739137</v>
      </c>
      <c r="E103" s="10">
        <v>4</v>
      </c>
      <c r="F103" s="10">
        <v>33</v>
      </c>
      <c r="G103" s="6">
        <v>4.24</v>
      </c>
      <c r="H103" s="14">
        <f t="shared" si="1"/>
        <v>-3.8200000000000003</v>
      </c>
      <c r="I103" s="831"/>
      <c r="J103" s="7"/>
      <c r="K103" s="7"/>
      <c r="L103" s="825"/>
      <c r="M103" s="11" t="s">
        <v>224</v>
      </c>
      <c r="V103" s="808"/>
    </row>
    <row r="104" spans="1:22">
      <c r="A104" s="82" t="s">
        <v>225</v>
      </c>
      <c r="B104" s="809">
        <v>-4.68</v>
      </c>
      <c r="C104" s="71"/>
      <c r="D104" s="12">
        <v>0.18801274760604275</v>
      </c>
      <c r="E104" s="10">
        <v>11</v>
      </c>
      <c r="F104" s="10">
        <v>60</v>
      </c>
      <c r="G104" s="6">
        <v>4.24</v>
      </c>
      <c r="H104" s="14">
        <f t="shared" si="1"/>
        <v>-4.09</v>
      </c>
      <c r="I104" s="831"/>
      <c r="J104" s="7"/>
      <c r="K104" s="7"/>
      <c r="L104" s="825"/>
      <c r="M104" s="11" t="s">
        <v>226</v>
      </c>
      <c r="V104" s="808"/>
    </row>
    <row r="105" spans="1:22">
      <c r="A105" s="82" t="s">
        <v>227</v>
      </c>
      <c r="B105" s="809">
        <v>-4.2699999999999996</v>
      </c>
      <c r="C105" s="71"/>
      <c r="D105" s="12">
        <v>0.1664014074224209</v>
      </c>
      <c r="E105" s="10">
        <v>4</v>
      </c>
      <c r="F105" s="10">
        <v>130.5</v>
      </c>
      <c r="G105" s="6">
        <v>5.22</v>
      </c>
      <c r="H105" s="14">
        <f t="shared" si="1"/>
        <v>-5.7749999999999995</v>
      </c>
      <c r="I105" s="831"/>
      <c r="J105" s="7"/>
      <c r="K105" s="7"/>
      <c r="L105" s="825"/>
      <c r="M105" s="11" t="s">
        <v>228</v>
      </c>
      <c r="V105" s="808"/>
    </row>
    <row r="106" spans="1:22">
      <c r="A106" s="83" t="s">
        <v>103</v>
      </c>
      <c r="B106" s="809">
        <v>-3.47</v>
      </c>
      <c r="C106" s="71"/>
      <c r="D106" s="12">
        <v>0.17506472136100007</v>
      </c>
      <c r="E106" s="10">
        <v>7</v>
      </c>
      <c r="F106" s="10">
        <v>254</v>
      </c>
      <c r="G106" s="6">
        <v>2.97</v>
      </c>
      <c r="H106" s="14">
        <f t="shared" si="1"/>
        <v>-4.76</v>
      </c>
      <c r="I106" s="831"/>
      <c r="J106" s="7"/>
      <c r="K106" s="7"/>
      <c r="L106" s="825"/>
      <c r="M106" s="11" t="s">
        <v>229</v>
      </c>
      <c r="V106" s="808"/>
    </row>
    <row r="107" spans="1:22">
      <c r="A107" s="83" t="s">
        <v>230</v>
      </c>
      <c r="B107" s="809">
        <v>-5.65</v>
      </c>
      <c r="C107" s="71"/>
      <c r="D107" s="12">
        <v>0.1605416460069265</v>
      </c>
      <c r="E107" s="10">
        <v>5</v>
      </c>
      <c r="F107" s="10">
        <v>121</v>
      </c>
      <c r="G107" s="6">
        <v>5.91</v>
      </c>
      <c r="H107" s="14">
        <f t="shared" si="1"/>
        <v>-6.37</v>
      </c>
      <c r="I107" s="831"/>
      <c r="J107" s="7"/>
      <c r="K107" s="7"/>
      <c r="L107" s="825"/>
      <c r="M107" s="11" t="s">
        <v>231</v>
      </c>
      <c r="V107" s="808"/>
    </row>
    <row r="108" spans="1:22">
      <c r="A108" s="82" t="s">
        <v>232</v>
      </c>
      <c r="B108" s="809">
        <v>-4.22</v>
      </c>
      <c r="C108" s="71"/>
      <c r="D108" s="12">
        <v>0.15756984748208766</v>
      </c>
      <c r="E108" s="10">
        <v>5</v>
      </c>
      <c r="F108" s="10">
        <v>206.99999999999997</v>
      </c>
      <c r="G108" s="6">
        <v>2.56</v>
      </c>
      <c r="H108" s="14">
        <f t="shared" si="1"/>
        <v>-3.88</v>
      </c>
      <c r="I108" s="831"/>
      <c r="J108" s="7"/>
      <c r="K108" s="7"/>
      <c r="L108" s="825"/>
      <c r="M108" s="11" t="s">
        <v>233</v>
      </c>
      <c r="V108" s="808"/>
    </row>
    <row r="109" spans="1:22">
      <c r="A109" s="81" t="s">
        <v>234</v>
      </c>
      <c r="B109" s="809">
        <v>-4.2699999999999996</v>
      </c>
      <c r="C109" s="71"/>
      <c r="D109" s="12">
        <v>0.16160362353179636</v>
      </c>
      <c r="E109" s="10">
        <v>6</v>
      </c>
      <c r="F109" s="10">
        <v>134.5</v>
      </c>
      <c r="G109" s="6">
        <v>4.8499999999999996</v>
      </c>
      <c r="H109" s="14">
        <f t="shared" si="1"/>
        <v>-5.4449999999999994</v>
      </c>
      <c r="I109" s="831"/>
      <c r="J109" s="7"/>
      <c r="K109" s="7"/>
      <c r="L109" s="825"/>
      <c r="M109" s="11" t="s">
        <v>235</v>
      </c>
      <c r="V109" s="808"/>
    </row>
    <row r="110" spans="1:22">
      <c r="A110" s="81" t="s">
        <v>236</v>
      </c>
      <c r="B110" s="809">
        <v>-3.69</v>
      </c>
      <c r="C110" s="71"/>
      <c r="D110" s="12">
        <v>0.18685765827673947</v>
      </c>
      <c r="E110" s="10">
        <v>6</v>
      </c>
      <c r="F110" s="10">
        <v>275</v>
      </c>
      <c r="G110" s="6">
        <v>2.09</v>
      </c>
      <c r="H110" s="14">
        <f t="shared" si="1"/>
        <v>-4.09</v>
      </c>
      <c r="I110" s="831"/>
      <c r="J110" s="7"/>
      <c r="K110" s="7"/>
      <c r="L110" s="825"/>
      <c r="M110" s="11" t="s">
        <v>237</v>
      </c>
      <c r="V110" s="808"/>
    </row>
    <row r="111" spans="1:22">
      <c r="A111" s="82" t="s">
        <v>238</v>
      </c>
      <c r="B111" s="809">
        <v>-4.6399999999999997</v>
      </c>
      <c r="C111" s="71"/>
      <c r="D111" s="12">
        <v>0.13950112944748669</v>
      </c>
      <c r="E111" s="10">
        <v>9</v>
      </c>
      <c r="F111" s="10">
        <v>220.00000000000003</v>
      </c>
      <c r="G111" s="6">
        <v>1.8</v>
      </c>
      <c r="H111" s="14">
        <f t="shared" si="1"/>
        <v>-3.2500000000000004</v>
      </c>
      <c r="I111" s="831"/>
      <c r="J111" s="7"/>
      <c r="K111" s="7"/>
      <c r="L111" s="825"/>
      <c r="M111" s="11" t="s">
        <v>239</v>
      </c>
      <c r="V111" s="808"/>
    </row>
    <row r="112" spans="1:22">
      <c r="A112" s="85" t="s">
        <v>240</v>
      </c>
      <c r="B112" s="820">
        <v>-3.06</v>
      </c>
      <c r="C112" s="72"/>
      <c r="D112" s="4">
        <v>0.22014005046870977</v>
      </c>
      <c r="E112" s="2">
        <v>9</v>
      </c>
      <c r="F112" s="10">
        <v>202</v>
      </c>
      <c r="G112" s="6">
        <v>1.53</v>
      </c>
      <c r="H112" s="14">
        <f t="shared" si="1"/>
        <v>-2.8</v>
      </c>
      <c r="I112" s="831"/>
      <c r="J112" s="7"/>
      <c r="K112" s="7"/>
      <c r="L112" s="825"/>
      <c r="M112" s="11" t="s">
        <v>241</v>
      </c>
      <c r="V112" s="808"/>
    </row>
    <row r="113" spans="1:28">
      <c r="A113" s="82" t="s">
        <v>242</v>
      </c>
      <c r="B113" s="809">
        <v>-2.86</v>
      </c>
      <c r="C113" s="71"/>
      <c r="D113" s="12">
        <v>0.14014083879485537</v>
      </c>
      <c r="E113" s="10">
        <v>3</v>
      </c>
      <c r="F113" s="10">
        <v>243.00000000000003</v>
      </c>
      <c r="G113" s="6">
        <v>1.48</v>
      </c>
      <c r="H113" s="14">
        <f t="shared" si="1"/>
        <v>-3.16</v>
      </c>
      <c r="I113" s="831"/>
      <c r="J113" s="7"/>
      <c r="K113" s="7"/>
      <c r="L113" s="825"/>
      <c r="M113" s="11" t="s">
        <v>243</v>
      </c>
      <c r="V113" s="808"/>
    </row>
    <row r="114" spans="1:28">
      <c r="A114" s="83" t="s">
        <v>244</v>
      </c>
      <c r="B114" s="809">
        <v>-3.17</v>
      </c>
      <c r="C114" s="71"/>
      <c r="D114" s="12">
        <v>0.13726989684757951</v>
      </c>
      <c r="E114" s="10">
        <v>3</v>
      </c>
      <c r="F114" s="10">
        <v>191</v>
      </c>
      <c r="G114" s="6">
        <v>1.67</v>
      </c>
      <c r="H114" s="14">
        <f t="shared" si="1"/>
        <v>-2.83</v>
      </c>
      <c r="I114" s="831"/>
      <c r="J114" s="7"/>
      <c r="K114" s="7"/>
      <c r="L114" s="825"/>
      <c r="M114" s="11" t="s">
        <v>245</v>
      </c>
      <c r="V114" s="808"/>
    </row>
    <row r="115" spans="1:28">
      <c r="A115" s="82" t="s">
        <v>246</v>
      </c>
      <c r="B115" s="809">
        <v>-4.4400000000000004</v>
      </c>
      <c r="C115" s="71"/>
      <c r="D115" s="12">
        <v>0.21357402153711522</v>
      </c>
      <c r="E115" s="10">
        <v>7</v>
      </c>
      <c r="F115" s="10">
        <v>183.5</v>
      </c>
      <c r="G115" s="6">
        <v>4.37</v>
      </c>
      <c r="H115" s="14">
        <f t="shared" si="1"/>
        <v>-5.4550000000000001</v>
      </c>
      <c r="I115" s="831"/>
      <c r="J115" s="7"/>
      <c r="K115" s="7"/>
      <c r="L115" s="825"/>
      <c r="M115" s="11" t="s">
        <v>247</v>
      </c>
      <c r="V115" s="808"/>
    </row>
    <row r="116" spans="1:28">
      <c r="A116" s="82" t="s">
        <v>248</v>
      </c>
      <c r="B116" s="809">
        <v>-2.69</v>
      </c>
      <c r="C116" s="71"/>
      <c r="D116" s="12">
        <v>0.10564411177747912</v>
      </c>
      <c r="E116" s="10">
        <v>3</v>
      </c>
      <c r="F116" s="10">
        <v>149</v>
      </c>
      <c r="G116" s="6">
        <v>2.62</v>
      </c>
      <c r="H116" s="14">
        <f t="shared" si="1"/>
        <v>-3.3600000000000003</v>
      </c>
      <c r="I116" s="831"/>
      <c r="J116" s="7"/>
      <c r="K116" s="7"/>
      <c r="L116" s="825"/>
      <c r="M116" s="11" t="s">
        <v>249</v>
      </c>
      <c r="V116" s="808"/>
    </row>
    <row r="117" spans="1:28">
      <c r="A117" s="81" t="s">
        <v>250</v>
      </c>
      <c r="B117" s="809">
        <v>-3.19</v>
      </c>
      <c r="C117" s="71"/>
      <c r="D117" s="12">
        <v>0.14623917640453388</v>
      </c>
      <c r="E117" s="10">
        <v>8</v>
      </c>
      <c r="F117" s="10">
        <v>165</v>
      </c>
      <c r="G117" s="6">
        <v>-0.37</v>
      </c>
      <c r="H117" s="14">
        <f t="shared" si="1"/>
        <v>-0.53000000000000014</v>
      </c>
      <c r="I117" s="831"/>
      <c r="J117" s="7"/>
      <c r="K117" s="7"/>
      <c r="L117" s="825"/>
      <c r="M117" s="11" t="s">
        <v>251</v>
      </c>
      <c r="V117" s="808"/>
    </row>
    <row r="118" spans="1:28">
      <c r="A118" s="82" t="s">
        <v>252</v>
      </c>
      <c r="B118" s="809">
        <v>-2.76</v>
      </c>
      <c r="C118" s="71"/>
      <c r="D118" s="12">
        <v>0.16291639539032501</v>
      </c>
      <c r="E118" s="10">
        <v>10</v>
      </c>
      <c r="F118" s="10">
        <v>225</v>
      </c>
      <c r="G118" s="6">
        <v>0.81</v>
      </c>
      <c r="H118" s="14">
        <f t="shared" si="1"/>
        <v>-2.31</v>
      </c>
      <c r="I118" s="831"/>
      <c r="J118" s="7"/>
      <c r="K118" s="7"/>
      <c r="L118" s="825"/>
      <c r="M118" s="11" t="s">
        <v>253</v>
      </c>
      <c r="V118" s="808"/>
    </row>
    <row r="119" spans="1:28">
      <c r="A119" s="82" t="s">
        <v>254</v>
      </c>
      <c r="B119" s="809">
        <v>-3.36</v>
      </c>
      <c r="C119" s="71"/>
      <c r="D119" s="12">
        <v>0.21166647357477791</v>
      </c>
      <c r="E119" s="10">
        <v>5</v>
      </c>
      <c r="F119" s="10">
        <v>270</v>
      </c>
      <c r="G119" s="6">
        <v>0.62</v>
      </c>
      <c r="H119" s="14">
        <f t="shared" si="1"/>
        <v>-2.5700000000000003</v>
      </c>
      <c r="I119" s="831"/>
      <c r="J119" s="7"/>
      <c r="K119" s="7"/>
      <c r="L119" s="825"/>
      <c r="M119" s="11" t="s">
        <v>255</v>
      </c>
      <c r="V119" s="808"/>
    </row>
    <row r="120" spans="1:28">
      <c r="A120" s="81" t="s">
        <v>256</v>
      </c>
      <c r="B120" s="809">
        <v>-3.4</v>
      </c>
      <c r="C120" s="71"/>
      <c r="D120" s="12">
        <v>0.14175650298978676</v>
      </c>
      <c r="E120" s="10">
        <v>9</v>
      </c>
      <c r="F120" s="10">
        <v>312.66666666666669</v>
      </c>
      <c r="G120" s="6">
        <v>0.83</v>
      </c>
      <c r="H120" s="14">
        <f t="shared" si="1"/>
        <v>-3.206666666666667</v>
      </c>
      <c r="I120" s="831"/>
      <c r="J120" s="7"/>
      <c r="K120" s="7"/>
      <c r="L120" s="825"/>
      <c r="M120" s="11" t="s">
        <v>257</v>
      </c>
      <c r="V120" s="808"/>
    </row>
    <row r="121" spans="1:28">
      <c r="A121" s="82" t="s">
        <v>258</v>
      </c>
      <c r="B121" s="809">
        <v>-4.0199999999999996</v>
      </c>
      <c r="C121" s="71"/>
      <c r="D121" s="12">
        <v>0.2034688635346244</v>
      </c>
      <c r="E121" s="10">
        <v>11</v>
      </c>
      <c r="F121" s="10">
        <v>161</v>
      </c>
      <c r="G121" s="6">
        <v>3.61</v>
      </c>
      <c r="H121" s="14">
        <f t="shared" si="1"/>
        <v>-4.47</v>
      </c>
      <c r="I121" s="831"/>
      <c r="J121" s="7"/>
      <c r="K121" s="7"/>
      <c r="L121" s="825"/>
      <c r="M121" s="11" t="s">
        <v>259</v>
      </c>
      <c r="V121" s="808"/>
    </row>
    <row r="122" spans="1:28">
      <c r="A122" s="81" t="s">
        <v>109</v>
      </c>
      <c r="B122" s="809">
        <v>-3.39</v>
      </c>
      <c r="C122" s="71"/>
      <c r="D122" s="12">
        <v>0.20579636821699754</v>
      </c>
      <c r="E122" s="10">
        <v>3</v>
      </c>
      <c r="F122" s="10">
        <v>300</v>
      </c>
      <c r="G122" s="6">
        <v>-1.06</v>
      </c>
      <c r="H122" s="14">
        <f t="shared" si="1"/>
        <v>-1.19</v>
      </c>
      <c r="I122" s="839"/>
      <c r="J122" s="832"/>
      <c r="K122" s="832"/>
      <c r="L122" s="833"/>
      <c r="M122" s="11" t="s">
        <v>260</v>
      </c>
      <c r="V122" s="808"/>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798" t="s">
        <v>18</v>
      </c>
      <c r="B128" s="799" t="s">
        <v>267</v>
      </c>
      <c r="C128" s="799" t="s">
        <v>20</v>
      </c>
      <c r="D128" s="799" t="s">
        <v>21</v>
      </c>
      <c r="E128" s="799" t="s">
        <v>22</v>
      </c>
      <c r="F128" s="799" t="s">
        <v>23</v>
      </c>
      <c r="G128" s="799" t="s">
        <v>24</v>
      </c>
      <c r="H128" s="799" t="s">
        <v>25</v>
      </c>
      <c r="I128" s="800"/>
      <c r="J128" s="801" t="s">
        <v>27</v>
      </c>
      <c r="K128" s="801"/>
      <c r="L128" s="801"/>
      <c r="M128" s="802" t="s">
        <v>28</v>
      </c>
      <c r="N128" s="803"/>
      <c r="O128" s="803"/>
      <c r="P128" s="803"/>
      <c r="Q128" s="803"/>
      <c r="R128" s="803"/>
      <c r="S128" s="803"/>
      <c r="T128" s="803"/>
      <c r="U128" s="803"/>
      <c r="V128" s="804"/>
      <c r="W128" s="46"/>
      <c r="X128" s="46"/>
      <c r="Y128" s="46"/>
      <c r="Z128" s="46"/>
      <c r="AA128" s="46"/>
      <c r="AB128" s="46"/>
    </row>
    <row r="129" spans="1:22">
      <c r="A129" s="82" t="s">
        <v>268</v>
      </c>
      <c r="B129" s="805">
        <v>-2.17</v>
      </c>
      <c r="C129" s="73" t="s">
        <v>30</v>
      </c>
      <c r="D129" s="12">
        <v>0.50033555401430185</v>
      </c>
      <c r="E129" s="10">
        <v>3</v>
      </c>
      <c r="F129" s="10">
        <v>180</v>
      </c>
      <c r="G129" s="1">
        <v>1.91</v>
      </c>
      <c r="H129" s="14">
        <f t="shared" ref="H129:H160" si="2">0.5-G129-0.01*(F129-25)</f>
        <v>-2.96</v>
      </c>
      <c r="I129" s="806" t="s">
        <v>31</v>
      </c>
      <c r="J129" s="807"/>
      <c r="K129" s="14"/>
      <c r="L129" s="14"/>
      <c r="M129" s="3" t="s">
        <v>269</v>
      </c>
      <c r="V129" s="808"/>
    </row>
    <row r="130" spans="1:22">
      <c r="A130" s="82" t="s">
        <v>270</v>
      </c>
      <c r="B130" s="811">
        <v>-5.09</v>
      </c>
      <c r="C130" s="73" t="s">
        <v>36</v>
      </c>
      <c r="D130" s="12">
        <v>0.5</v>
      </c>
      <c r="E130" s="6">
        <v>5</v>
      </c>
      <c r="F130" s="10">
        <v>156</v>
      </c>
      <c r="G130" s="1">
        <v>6.94</v>
      </c>
      <c r="H130" s="14">
        <f t="shared" si="2"/>
        <v>-7.75</v>
      </c>
      <c r="I130" s="806" t="s">
        <v>37</v>
      </c>
      <c r="J130" s="807"/>
      <c r="K130" s="14"/>
      <c r="L130" s="14"/>
      <c r="M130" s="3" t="s">
        <v>271</v>
      </c>
      <c r="V130" s="808"/>
    </row>
    <row r="131" spans="1:22">
      <c r="A131" s="83" t="s">
        <v>272</v>
      </c>
      <c r="B131" s="809">
        <v>-4.62</v>
      </c>
      <c r="C131" s="73" t="s">
        <v>41</v>
      </c>
      <c r="D131" s="12">
        <v>0.6530957900260097</v>
      </c>
      <c r="E131" s="10">
        <v>3</v>
      </c>
      <c r="F131" s="10">
        <v>208</v>
      </c>
      <c r="G131" s="1">
        <v>5.18</v>
      </c>
      <c r="H131" s="14">
        <f t="shared" si="2"/>
        <v>-6.51</v>
      </c>
      <c r="I131" s="806" t="s">
        <v>42</v>
      </c>
      <c r="J131" s="807"/>
      <c r="K131" s="14"/>
      <c r="L131" s="14"/>
      <c r="M131" s="3" t="s">
        <v>273</v>
      </c>
      <c r="V131" s="808"/>
    </row>
    <row r="132" spans="1:22">
      <c r="A132" s="82" t="s">
        <v>274</v>
      </c>
      <c r="B132" s="809">
        <v>-1.86</v>
      </c>
      <c r="C132" s="73" t="s">
        <v>46</v>
      </c>
      <c r="D132" s="12">
        <v>0.59285217963150294</v>
      </c>
      <c r="E132" s="10">
        <v>3</v>
      </c>
      <c r="F132" s="10">
        <v>100</v>
      </c>
      <c r="G132" s="1">
        <v>2.37</v>
      </c>
      <c r="H132" s="14">
        <f t="shared" si="2"/>
        <v>-2.62</v>
      </c>
      <c r="I132" s="810" t="s">
        <v>47</v>
      </c>
      <c r="J132" s="811"/>
      <c r="K132" s="14"/>
      <c r="L132" s="14"/>
      <c r="M132" s="3" t="s">
        <v>275</v>
      </c>
      <c r="V132" s="808"/>
    </row>
    <row r="133" spans="1:22">
      <c r="A133" s="82" t="s">
        <v>276</v>
      </c>
      <c r="B133" s="809">
        <v>-4.96</v>
      </c>
      <c r="C133" s="73" t="s">
        <v>51</v>
      </c>
      <c r="D133" s="12">
        <v>0.51067901383936642</v>
      </c>
      <c r="E133" s="10">
        <v>5</v>
      </c>
      <c r="F133" s="10">
        <v>217</v>
      </c>
      <c r="G133" s="1">
        <v>3.19</v>
      </c>
      <c r="H133" s="14">
        <f t="shared" si="2"/>
        <v>-4.6099999999999994</v>
      </c>
      <c r="I133" s="810" t="s">
        <v>52</v>
      </c>
      <c r="J133" s="811"/>
      <c r="K133" s="14"/>
      <c r="L133" s="14"/>
      <c r="M133" s="3" t="s">
        <v>277</v>
      </c>
      <c r="V133" s="808"/>
    </row>
    <row r="134" spans="1:22">
      <c r="A134" s="82" t="s">
        <v>278</v>
      </c>
      <c r="B134" s="809">
        <v>-4.51</v>
      </c>
      <c r="C134" s="71"/>
      <c r="D134" s="12">
        <v>0.83065522865171437</v>
      </c>
      <c r="E134" s="10">
        <v>3</v>
      </c>
      <c r="F134" s="10">
        <v>209.50000000000003</v>
      </c>
      <c r="G134" s="1">
        <v>4.41</v>
      </c>
      <c r="H134" s="14">
        <f t="shared" si="2"/>
        <v>-5.7550000000000008</v>
      </c>
      <c r="I134" s="810" t="s">
        <v>56</v>
      </c>
      <c r="J134" s="811"/>
      <c r="K134" s="14"/>
      <c r="L134" s="14"/>
      <c r="M134" s="3" t="s">
        <v>279</v>
      </c>
      <c r="V134" s="808"/>
    </row>
    <row r="135" spans="1:22">
      <c r="A135" s="82" t="s">
        <v>280</v>
      </c>
      <c r="B135" s="809">
        <v>-5.09</v>
      </c>
      <c r="C135" s="71"/>
      <c r="D135" s="12">
        <v>0.51097181417141646</v>
      </c>
      <c r="E135" s="10">
        <v>6</v>
      </c>
      <c r="F135" s="10">
        <v>97.5</v>
      </c>
      <c r="G135" s="1">
        <v>5.19</v>
      </c>
      <c r="H135" s="14">
        <f t="shared" si="2"/>
        <v>-5.415</v>
      </c>
      <c r="I135" s="810" t="s">
        <v>60</v>
      </c>
      <c r="J135" s="812"/>
      <c r="K135" s="14"/>
      <c r="L135" s="14"/>
      <c r="M135" s="3" t="s">
        <v>281</v>
      </c>
      <c r="V135" s="808"/>
    </row>
    <row r="136" spans="1:22">
      <c r="A136" s="81" t="s">
        <v>282</v>
      </c>
      <c r="B136" s="809">
        <v>-6.88</v>
      </c>
      <c r="C136" s="71"/>
      <c r="D136" s="12">
        <v>0.92735432696895004</v>
      </c>
      <c r="E136" s="10">
        <v>5</v>
      </c>
      <c r="F136" s="10">
        <v>211</v>
      </c>
      <c r="G136" s="1">
        <v>7.49</v>
      </c>
      <c r="H136" s="14">
        <f t="shared" si="2"/>
        <v>-8.85</v>
      </c>
      <c r="I136" s="813" t="s">
        <v>64</v>
      </c>
      <c r="J136" s="814" t="s">
        <v>1068</v>
      </c>
      <c r="K136" s="815"/>
      <c r="L136" s="816"/>
      <c r="M136" s="3" t="s">
        <v>283</v>
      </c>
      <c r="V136" s="808"/>
    </row>
    <row r="137" spans="1:22">
      <c r="A137" s="82" t="s">
        <v>112</v>
      </c>
      <c r="B137" s="809">
        <v>-3.85</v>
      </c>
      <c r="C137" s="71"/>
      <c r="D137" s="12">
        <v>0.68239272333923895</v>
      </c>
      <c r="E137" s="10">
        <v>3</v>
      </c>
      <c r="F137" s="10">
        <v>177</v>
      </c>
      <c r="G137" s="1">
        <v>3.37</v>
      </c>
      <c r="H137" s="14">
        <f t="shared" si="2"/>
        <v>-4.3900000000000006</v>
      </c>
      <c r="J137" s="14"/>
      <c r="K137" s="14"/>
      <c r="L137" s="14"/>
      <c r="M137" s="3" t="s">
        <v>284</v>
      </c>
      <c r="V137" s="808"/>
    </row>
    <row r="138" spans="1:22">
      <c r="A138" s="82" t="s">
        <v>285</v>
      </c>
      <c r="B138" s="809">
        <v>-4.37</v>
      </c>
      <c r="C138" s="71"/>
      <c r="D138" s="12">
        <v>0.520951861602862</v>
      </c>
      <c r="E138" s="10">
        <v>10</v>
      </c>
      <c r="F138" s="10">
        <v>228.6</v>
      </c>
      <c r="G138" s="1">
        <v>4.22</v>
      </c>
      <c r="H138" s="14">
        <f t="shared" si="2"/>
        <v>-5.7560000000000002</v>
      </c>
      <c r="I138" s="817" t="s">
        <v>286</v>
      </c>
      <c r="J138" s="818"/>
      <c r="K138" s="818"/>
      <c r="L138" s="819"/>
      <c r="M138" s="3" t="s">
        <v>287</v>
      </c>
      <c r="V138" s="808"/>
    </row>
    <row r="139" spans="1:22">
      <c r="A139" s="81" t="s">
        <v>288</v>
      </c>
      <c r="B139" s="809">
        <v>-2.81</v>
      </c>
      <c r="C139" s="71"/>
      <c r="D139" s="12">
        <v>0.53906642829149898</v>
      </c>
      <c r="E139" s="10">
        <v>3</v>
      </c>
      <c r="F139" s="10">
        <v>161.5</v>
      </c>
      <c r="G139" s="1">
        <v>-0.21</v>
      </c>
      <c r="H139" s="14">
        <f t="shared" si="2"/>
        <v>-0.65500000000000003</v>
      </c>
      <c r="I139" s="821" t="s">
        <v>1061</v>
      </c>
      <c r="J139" s="822"/>
      <c r="K139" s="822"/>
      <c r="L139" s="823"/>
      <c r="M139" s="3" t="s">
        <v>289</v>
      </c>
      <c r="V139" s="808"/>
    </row>
    <row r="140" spans="1:22">
      <c r="A140" s="81" t="s">
        <v>290</v>
      </c>
      <c r="B140" s="809">
        <v>-4.55</v>
      </c>
      <c r="C140" s="71"/>
      <c r="D140" s="12">
        <v>0.56233984781338708</v>
      </c>
      <c r="E140" s="10">
        <v>11</v>
      </c>
      <c r="F140" s="10">
        <v>213.49999999999997</v>
      </c>
      <c r="G140" s="1">
        <v>3.04</v>
      </c>
      <c r="H140" s="14">
        <f t="shared" si="2"/>
        <v>-4.4249999999999998</v>
      </c>
      <c r="I140" s="824" t="s">
        <v>1062</v>
      </c>
      <c r="J140" s="7"/>
      <c r="K140" s="7"/>
      <c r="L140" s="825"/>
      <c r="M140" s="3" t="s">
        <v>291</v>
      </c>
      <c r="V140" s="808"/>
    </row>
    <row r="141" spans="1:22">
      <c r="A141" s="83" t="s">
        <v>292</v>
      </c>
      <c r="B141" s="809">
        <v>-3.39</v>
      </c>
      <c r="C141" s="71"/>
      <c r="D141" s="12">
        <v>0.54710381306524825</v>
      </c>
      <c r="E141" s="10">
        <v>4</v>
      </c>
      <c r="F141" s="10">
        <v>168.5</v>
      </c>
      <c r="G141" s="1">
        <v>3.35</v>
      </c>
      <c r="H141" s="14">
        <f t="shared" si="2"/>
        <v>-4.2850000000000001</v>
      </c>
      <c r="I141" s="826" t="s">
        <v>1063</v>
      </c>
      <c r="J141" s="7"/>
      <c r="K141" s="7"/>
      <c r="L141" s="825"/>
      <c r="M141" s="3" t="s">
        <v>293</v>
      </c>
      <c r="V141" s="808"/>
    </row>
    <row r="142" spans="1:22">
      <c r="A142" s="81" t="s">
        <v>114</v>
      </c>
      <c r="B142" s="809">
        <v>-2.81</v>
      </c>
      <c r="C142" s="71"/>
      <c r="D142" s="12">
        <v>0.54612637818466869</v>
      </c>
      <c r="E142" s="10">
        <v>3</v>
      </c>
      <c r="F142" s="13">
        <v>124.1</v>
      </c>
      <c r="G142" s="1">
        <v>2.81</v>
      </c>
      <c r="H142" s="14">
        <f t="shared" si="2"/>
        <v>-3.3010000000000002</v>
      </c>
      <c r="I142" s="827" t="s">
        <v>1064</v>
      </c>
      <c r="J142" s="7"/>
      <c r="K142" s="7"/>
      <c r="L142" s="825"/>
      <c r="M142" s="3" t="s">
        <v>294</v>
      </c>
      <c r="V142" s="808"/>
    </row>
    <row r="143" spans="1:22">
      <c r="A143" s="81" t="s">
        <v>295</v>
      </c>
      <c r="B143" s="809">
        <v>-5.4</v>
      </c>
      <c r="C143" s="71"/>
      <c r="D143" s="12">
        <v>0.51160213896594608</v>
      </c>
      <c r="E143" s="10">
        <v>4</v>
      </c>
      <c r="F143" s="10">
        <v>165</v>
      </c>
      <c r="G143" s="1">
        <v>4.8899999999999997</v>
      </c>
      <c r="H143" s="14">
        <f t="shared" si="2"/>
        <v>-5.79</v>
      </c>
      <c r="I143" s="827" t="s">
        <v>1065</v>
      </c>
      <c r="J143" s="7"/>
      <c r="K143" s="7"/>
      <c r="L143" s="825"/>
      <c r="M143" s="3" t="s">
        <v>296</v>
      </c>
      <c r="V143" s="808"/>
    </row>
    <row r="144" spans="1:22">
      <c r="A144" s="81" t="s">
        <v>117</v>
      </c>
      <c r="B144" s="809">
        <v>-5.0599999999999996</v>
      </c>
      <c r="C144" s="71"/>
      <c r="D144" s="12">
        <v>0.65141515533308314</v>
      </c>
      <c r="E144" s="10">
        <v>4</v>
      </c>
      <c r="F144" s="10">
        <v>161.1</v>
      </c>
      <c r="G144" s="1">
        <v>4.76</v>
      </c>
      <c r="H144" s="14">
        <f t="shared" si="2"/>
        <v>-5.6209999999999996</v>
      </c>
      <c r="I144" s="830"/>
      <c r="J144" s="7"/>
      <c r="K144" s="7"/>
      <c r="L144" s="825"/>
      <c r="M144" s="3" t="s">
        <v>297</v>
      </c>
      <c r="V144" s="808"/>
    </row>
    <row r="145" spans="1:28">
      <c r="A145" s="83" t="s">
        <v>298</v>
      </c>
      <c r="B145" s="809">
        <v>-3.88</v>
      </c>
      <c r="C145" s="71"/>
      <c r="D145" s="12">
        <v>0.65883215509381909</v>
      </c>
      <c r="E145" s="10">
        <v>3</v>
      </c>
      <c r="F145" s="10">
        <v>155</v>
      </c>
      <c r="G145" s="1">
        <v>3.74</v>
      </c>
      <c r="H145" s="14">
        <f t="shared" si="2"/>
        <v>-4.54</v>
      </c>
      <c r="I145" s="830"/>
      <c r="J145" s="7"/>
      <c r="K145" s="7"/>
      <c r="L145" s="825"/>
      <c r="M145" s="3" t="s">
        <v>299</v>
      </c>
      <c r="V145" s="808"/>
    </row>
    <row r="146" spans="1:28">
      <c r="A146" s="82" t="s">
        <v>300</v>
      </c>
      <c r="B146" s="809">
        <v>-6.34</v>
      </c>
      <c r="C146" s="71"/>
      <c r="D146" s="12">
        <v>0.61400477095750339</v>
      </c>
      <c r="E146" s="10">
        <v>3</v>
      </c>
      <c r="F146" s="10">
        <v>165.4</v>
      </c>
      <c r="G146" s="1">
        <v>5.58</v>
      </c>
      <c r="H146" s="14">
        <f t="shared" si="2"/>
        <v>-6.484</v>
      </c>
      <c r="I146" s="830"/>
      <c r="J146" s="7"/>
      <c r="K146" s="7"/>
      <c r="L146" s="825"/>
      <c r="M146" s="3" t="s">
        <v>301</v>
      </c>
      <c r="V146" s="808"/>
    </row>
    <row r="147" spans="1:28">
      <c r="A147" s="82" t="s">
        <v>302</v>
      </c>
      <c r="B147" s="809">
        <v>-5.07</v>
      </c>
      <c r="C147" s="71"/>
      <c r="D147" s="12">
        <v>0.50406532001413251</v>
      </c>
      <c r="E147" s="10">
        <v>6</v>
      </c>
      <c r="F147" s="10">
        <v>161</v>
      </c>
      <c r="G147" s="1">
        <v>6.45</v>
      </c>
      <c r="H147" s="14">
        <f t="shared" si="2"/>
        <v>-7.3100000000000005</v>
      </c>
      <c r="I147" s="791"/>
      <c r="J147" s="832"/>
      <c r="K147" s="832"/>
      <c r="L147" s="833"/>
      <c r="M147" s="3" t="s">
        <v>303</v>
      </c>
      <c r="V147" s="808"/>
    </row>
    <row r="148" spans="1:28">
      <c r="A148" s="82" t="s">
        <v>304</v>
      </c>
      <c r="B148" s="809">
        <v>-5.03</v>
      </c>
      <c r="C148" s="71"/>
      <c r="D148" s="12">
        <v>0.75493366325441691</v>
      </c>
      <c r="E148" s="10">
        <v>4</v>
      </c>
      <c r="F148" s="10">
        <v>193.5</v>
      </c>
      <c r="G148" s="1">
        <v>5.41</v>
      </c>
      <c r="H148" s="14">
        <f t="shared" si="2"/>
        <v>-6.5950000000000006</v>
      </c>
      <c r="J148" s="14"/>
      <c r="K148" s="14"/>
      <c r="L148" s="14"/>
      <c r="M148" s="3" t="s">
        <v>305</v>
      </c>
      <c r="V148" s="808"/>
    </row>
    <row r="149" spans="1:28">
      <c r="A149" s="82" t="s">
        <v>306</v>
      </c>
      <c r="B149" s="809">
        <v>-3.62</v>
      </c>
      <c r="C149" s="71"/>
      <c r="D149" s="12">
        <v>0.50089358058597189</v>
      </c>
      <c r="E149" s="10">
        <v>3</v>
      </c>
      <c r="F149" s="10">
        <v>156</v>
      </c>
      <c r="G149" s="1">
        <v>2.9</v>
      </c>
      <c r="H149" s="14">
        <f t="shared" si="2"/>
        <v>-3.71</v>
      </c>
      <c r="I149" s="834" t="s">
        <v>133</v>
      </c>
      <c r="J149" s="835">
        <v>117</v>
      </c>
      <c r="K149" s="816"/>
      <c r="L149" s="14"/>
      <c r="M149" s="3" t="s">
        <v>307</v>
      </c>
      <c r="V149" s="808"/>
    </row>
    <row r="150" spans="1:28">
      <c r="A150" s="83" t="s">
        <v>308</v>
      </c>
      <c r="B150" s="809">
        <v>-3.65</v>
      </c>
      <c r="C150" s="71"/>
      <c r="D150" s="12">
        <v>0.6587984329866341</v>
      </c>
      <c r="E150" s="10">
        <v>4</v>
      </c>
      <c r="F150" s="10">
        <v>183.5</v>
      </c>
      <c r="G150" s="1">
        <v>3.16</v>
      </c>
      <c r="H150" s="14">
        <f t="shared" si="2"/>
        <v>-4.2450000000000001</v>
      </c>
      <c r="I150" s="834" t="s">
        <v>136</v>
      </c>
      <c r="J150" s="835">
        <v>36</v>
      </c>
      <c r="K150" s="816"/>
      <c r="L150" s="14"/>
      <c r="M150" s="3" t="s">
        <v>309</v>
      </c>
      <c r="V150" s="808"/>
    </row>
    <row r="151" spans="1:28">
      <c r="A151" s="83" t="s">
        <v>310</v>
      </c>
      <c r="B151" s="809">
        <v>-2.86</v>
      </c>
      <c r="C151" s="71"/>
      <c r="D151" s="12">
        <v>0.59871706042825668</v>
      </c>
      <c r="E151" s="10">
        <v>3</v>
      </c>
      <c r="F151" s="10">
        <v>61</v>
      </c>
      <c r="G151" s="1">
        <v>1.77</v>
      </c>
      <c r="H151" s="14">
        <f t="shared" si="2"/>
        <v>-1.63</v>
      </c>
      <c r="I151" s="834" t="s">
        <v>139</v>
      </c>
      <c r="J151" s="835">
        <f>COUNTA(A129:A160)</f>
        <v>32</v>
      </c>
      <c r="K151" s="816"/>
      <c r="L151" s="14"/>
      <c r="M151" s="3" t="s">
        <v>311</v>
      </c>
      <c r="V151" s="808"/>
    </row>
    <row r="152" spans="1:28">
      <c r="A152" s="82" t="s">
        <v>312</v>
      </c>
      <c r="B152" s="809">
        <v>-2.85</v>
      </c>
      <c r="C152" s="71"/>
      <c r="D152" s="12">
        <v>0.57115657899345518</v>
      </c>
      <c r="E152" s="10">
        <v>7</v>
      </c>
      <c r="F152" s="10">
        <v>177</v>
      </c>
      <c r="G152" s="1">
        <v>3.17</v>
      </c>
      <c r="H152" s="14">
        <f t="shared" si="2"/>
        <v>-4.1899999999999995</v>
      </c>
      <c r="I152" s="14"/>
      <c r="J152" s="14"/>
      <c r="K152" s="14"/>
      <c r="L152" s="14"/>
      <c r="M152" s="3" t="s">
        <v>313</v>
      </c>
      <c r="V152" s="808"/>
    </row>
    <row r="153" spans="1:28">
      <c r="A153" s="81" t="s">
        <v>314</v>
      </c>
      <c r="B153" s="809">
        <v>-6.56</v>
      </c>
      <c r="C153" s="71"/>
      <c r="D153" s="12">
        <v>0.55807775121880254</v>
      </c>
      <c r="E153" s="10">
        <v>6</v>
      </c>
      <c r="F153" s="10">
        <v>145</v>
      </c>
      <c r="G153" s="1">
        <v>6.08</v>
      </c>
      <c r="H153" s="14">
        <f t="shared" si="2"/>
        <v>-6.78</v>
      </c>
      <c r="I153" s="836" t="s">
        <v>144</v>
      </c>
      <c r="J153" s="818"/>
      <c r="K153" s="818"/>
      <c r="L153" s="819"/>
      <c r="M153" s="3" t="s">
        <v>315</v>
      </c>
      <c r="V153" s="808"/>
    </row>
    <row r="154" spans="1:28">
      <c r="A154" s="81" t="s">
        <v>316</v>
      </c>
      <c r="B154" s="809">
        <v>-5.09</v>
      </c>
      <c r="C154" s="71"/>
      <c r="D154" s="12">
        <v>0.66417698790166113</v>
      </c>
      <c r="E154" s="10">
        <v>3</v>
      </c>
      <c r="F154" s="13">
        <v>175.8</v>
      </c>
      <c r="G154" s="1">
        <v>4.62</v>
      </c>
      <c r="H154" s="14">
        <f t="shared" si="2"/>
        <v>-5.6280000000000001</v>
      </c>
      <c r="I154" s="837" t="s">
        <v>1066</v>
      </c>
      <c r="J154" s="822"/>
      <c r="K154" s="822"/>
      <c r="L154" s="823"/>
      <c r="M154" s="3" t="s">
        <v>317</v>
      </c>
      <c r="V154" s="808"/>
    </row>
    <row r="155" spans="1:28">
      <c r="A155" s="82" t="s">
        <v>318</v>
      </c>
      <c r="B155" s="809">
        <v>-4.9400000000000004</v>
      </c>
      <c r="C155" s="71"/>
      <c r="D155" s="12">
        <v>0.57716593661781801</v>
      </c>
      <c r="E155" s="10">
        <v>3</v>
      </c>
      <c r="F155" s="10">
        <v>349.84</v>
      </c>
      <c r="G155" s="1">
        <v>3.09</v>
      </c>
      <c r="H155" s="14">
        <f t="shared" si="2"/>
        <v>-5.8384</v>
      </c>
      <c r="I155" s="838" t="s">
        <v>1067</v>
      </c>
      <c r="J155" s="7"/>
      <c r="K155" s="7"/>
      <c r="L155" s="825"/>
      <c r="M155" s="3" t="s">
        <v>319</v>
      </c>
      <c r="V155" s="808"/>
    </row>
    <row r="156" spans="1:28">
      <c r="A156" s="83" t="s">
        <v>320</v>
      </c>
      <c r="B156" s="809">
        <v>-3.09</v>
      </c>
      <c r="C156" s="71"/>
      <c r="D156" s="12">
        <v>0.70324590282883903</v>
      </c>
      <c r="E156" s="10">
        <v>3</v>
      </c>
      <c r="F156" s="10">
        <v>204</v>
      </c>
      <c r="G156" s="1">
        <v>0.88</v>
      </c>
      <c r="H156" s="14">
        <f t="shared" si="2"/>
        <v>-2.17</v>
      </c>
      <c r="I156" s="831"/>
      <c r="J156" s="7"/>
      <c r="K156" s="7"/>
      <c r="L156" s="825"/>
      <c r="M156" s="3" t="s">
        <v>321</v>
      </c>
      <c r="V156" s="808"/>
    </row>
    <row r="157" spans="1:28">
      <c r="A157" s="82" t="s">
        <v>322</v>
      </c>
      <c r="B157" s="809">
        <v>-5.73</v>
      </c>
      <c r="C157" s="71"/>
      <c r="D157" s="12">
        <v>0.7237903588794764</v>
      </c>
      <c r="E157" s="10">
        <v>7</v>
      </c>
      <c r="F157" s="10">
        <v>97.8</v>
      </c>
      <c r="G157" s="1">
        <v>6</v>
      </c>
      <c r="H157" s="14">
        <f t="shared" si="2"/>
        <v>-6.2279999999999998</v>
      </c>
      <c r="I157" s="831"/>
      <c r="J157" s="7"/>
      <c r="K157" s="7"/>
      <c r="L157" s="825"/>
      <c r="M157" s="3" t="s">
        <v>323</v>
      </c>
      <c r="V157" s="808"/>
    </row>
    <row r="158" spans="1:28">
      <c r="A158" s="82" t="s">
        <v>324</v>
      </c>
      <c r="B158" s="809">
        <v>-6.73</v>
      </c>
      <c r="C158" s="71"/>
      <c r="D158" s="12">
        <v>0.84033450922624497</v>
      </c>
      <c r="E158" s="10">
        <v>5</v>
      </c>
      <c r="F158" s="10">
        <v>262</v>
      </c>
      <c r="G158" s="1">
        <v>7.26</v>
      </c>
      <c r="H158" s="14">
        <f t="shared" si="2"/>
        <v>-9.129999999999999</v>
      </c>
      <c r="I158" s="831"/>
      <c r="J158" s="7"/>
      <c r="K158" s="7"/>
      <c r="L158" s="825"/>
      <c r="M158" s="3" t="s">
        <v>325</v>
      </c>
      <c r="V158" s="808"/>
    </row>
    <row r="159" spans="1:28">
      <c r="A159" s="82" t="s">
        <v>326</v>
      </c>
      <c r="B159" s="809">
        <v>-6.23</v>
      </c>
      <c r="C159" s="71"/>
      <c r="D159" s="12">
        <v>0.70969645885144073</v>
      </c>
      <c r="E159" s="10">
        <v>11</v>
      </c>
      <c r="F159" s="10">
        <v>149.6</v>
      </c>
      <c r="G159" s="1">
        <v>6.45</v>
      </c>
      <c r="H159" s="14">
        <f t="shared" si="2"/>
        <v>-7.1959999999999997</v>
      </c>
      <c r="I159" s="831"/>
      <c r="J159" s="7"/>
      <c r="K159" s="7"/>
      <c r="L159" s="825"/>
      <c r="M159" s="3" t="s">
        <v>327</v>
      </c>
      <c r="V159" s="808"/>
    </row>
    <row r="160" spans="1:28" s="62" customFormat="1">
      <c r="A160" s="81" t="s">
        <v>328</v>
      </c>
      <c r="B160" s="809">
        <v>-2.59</v>
      </c>
      <c r="C160" s="71"/>
      <c r="D160" s="12">
        <v>0.49644864464459931</v>
      </c>
      <c r="E160" s="10">
        <v>4</v>
      </c>
      <c r="F160" s="10">
        <v>304.5</v>
      </c>
      <c r="G160" s="1">
        <v>2.69</v>
      </c>
      <c r="H160" s="14">
        <f t="shared" si="2"/>
        <v>-4.9849999999999994</v>
      </c>
      <c r="I160" s="839"/>
      <c r="J160" s="832"/>
      <c r="K160" s="832"/>
      <c r="L160" s="833"/>
      <c r="M160" s="3" t="s">
        <v>329</v>
      </c>
      <c r="N160"/>
      <c r="O160"/>
      <c r="P160"/>
      <c r="Q160"/>
      <c r="R160"/>
      <c r="S160"/>
      <c r="T160"/>
      <c r="U160"/>
      <c r="V160" s="808"/>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784"/>
      <c r="B194" s="785"/>
      <c r="C194" s="785"/>
      <c r="D194" s="785"/>
      <c r="E194" s="785"/>
      <c r="F194" s="785"/>
      <c r="G194" s="785"/>
      <c r="H194" s="785"/>
      <c r="I194" s="785"/>
      <c r="J194" s="785"/>
      <c r="K194" s="785"/>
      <c r="L194" s="785"/>
      <c r="M194" s="786"/>
      <c r="N194" s="785"/>
      <c r="O194" s="785"/>
      <c r="P194" s="785"/>
      <c r="Q194" s="787"/>
    </row>
  </sheetData>
  <pageMargins left="0" right="0" top="0" bottom="0" header="0.3" footer="0.3"/>
  <pageSetup scale="54"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E3D8-5FA8-4FDD-8DF4-EBF00C6E4D00}">
  <dimension ref="A1:AB194"/>
  <sheetViews>
    <sheetView workbookViewId="0">
      <selection activeCell="B4" sqref="B4:C9"/>
    </sheetView>
  </sheetViews>
  <sheetFormatPr baseColWidth="10" defaultColWidth="9.1640625" defaultRowHeight="15"/>
  <cols>
    <col min="1" max="1" width="18.83203125" customWidth="1"/>
    <col min="2" max="3" width="11.33203125" customWidth="1"/>
    <col min="4" max="4" width="7.6640625" customWidth="1"/>
    <col min="5" max="5" width="7.83203125" customWidth="1"/>
    <col min="6" max="6" width="10.1640625" customWidth="1"/>
    <col min="7" max="7" width="11.5" customWidth="1"/>
    <col min="9" max="9" width="13.1640625" customWidth="1"/>
    <col min="10" max="10" width="6.164062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783" t="s">
        <v>3</v>
      </c>
      <c r="B4" s="784"/>
      <c r="C4" s="785"/>
      <c r="D4" s="785"/>
      <c r="E4" s="785"/>
      <c r="F4" s="785"/>
      <c r="G4" s="785"/>
      <c r="H4" s="785"/>
      <c r="I4" s="785"/>
      <c r="J4" s="785"/>
      <c r="K4" s="785"/>
      <c r="L4" s="785"/>
      <c r="M4" s="786"/>
      <c r="N4" s="785"/>
      <c r="O4" s="785"/>
      <c r="P4" s="785"/>
      <c r="Q4" s="785"/>
      <c r="R4" s="787"/>
    </row>
    <row r="5" spans="1:25">
      <c r="A5" s="783" t="s">
        <v>4</v>
      </c>
      <c r="B5" s="39"/>
      <c r="C5" s="39"/>
      <c r="D5" s="39"/>
      <c r="E5" s="39"/>
      <c r="F5" s="39"/>
      <c r="G5" s="39"/>
      <c r="H5" s="39"/>
      <c r="I5" s="39"/>
      <c r="J5" s="39"/>
      <c r="K5" s="39"/>
      <c r="L5" s="39"/>
      <c r="M5" s="49"/>
      <c r="N5" s="39"/>
      <c r="O5" s="39"/>
      <c r="P5" s="39"/>
      <c r="Q5" s="39"/>
      <c r="R5" s="788"/>
    </row>
    <row r="6" spans="1:25">
      <c r="A6" s="789" t="s">
        <v>5</v>
      </c>
      <c r="B6" s="784"/>
      <c r="C6" s="785"/>
      <c r="D6" s="785"/>
      <c r="E6" s="785"/>
      <c r="F6" s="785"/>
      <c r="G6" s="785"/>
      <c r="H6" s="785"/>
      <c r="I6" s="785"/>
      <c r="J6" s="785"/>
      <c r="K6" s="785"/>
      <c r="L6" s="785"/>
      <c r="M6" s="786"/>
      <c r="N6" s="785"/>
      <c r="O6" s="785"/>
      <c r="P6" s="785"/>
      <c r="Q6" s="785"/>
      <c r="R6" s="787"/>
    </row>
    <row r="7" spans="1:25">
      <c r="A7" s="790"/>
      <c r="B7" s="791"/>
      <c r="C7" s="39"/>
      <c r="D7" s="39"/>
      <c r="E7" s="39"/>
      <c r="F7" s="39"/>
      <c r="G7" s="39"/>
      <c r="H7" s="39"/>
      <c r="I7" s="39"/>
      <c r="J7" s="39"/>
      <c r="K7" s="39"/>
      <c r="L7" s="39"/>
      <c r="M7" s="49"/>
      <c r="N7" s="39"/>
      <c r="O7" s="39"/>
      <c r="P7" s="39"/>
      <c r="Q7" s="39"/>
      <c r="R7" s="788"/>
    </row>
    <row r="8" spans="1:25">
      <c r="A8" s="789" t="s">
        <v>6</v>
      </c>
      <c r="B8" s="792"/>
      <c r="C8" s="785"/>
      <c r="D8" s="785"/>
      <c r="E8" s="785"/>
      <c r="F8" s="785"/>
      <c r="G8" s="785"/>
      <c r="H8" s="785"/>
      <c r="I8" s="785"/>
      <c r="J8" s="785"/>
      <c r="K8" s="785"/>
      <c r="L8" s="785"/>
      <c r="M8" s="786"/>
      <c r="N8" s="785"/>
      <c r="O8" s="785"/>
      <c r="P8" s="785"/>
      <c r="Q8" s="785"/>
      <c r="R8" s="787"/>
    </row>
    <row r="9" spans="1:25">
      <c r="A9" s="793" t="s">
        <v>7</v>
      </c>
      <c r="B9" s="794"/>
      <c r="C9" s="794"/>
      <c r="D9" s="794"/>
      <c r="E9" s="794"/>
      <c r="F9" s="794"/>
      <c r="G9" s="794"/>
      <c r="H9" s="794"/>
      <c r="I9" s="794"/>
      <c r="J9" s="794"/>
      <c r="K9" s="794"/>
      <c r="L9" s="794"/>
      <c r="M9" s="795"/>
      <c r="N9" s="794"/>
      <c r="O9" s="794"/>
      <c r="P9" s="794"/>
      <c r="Q9" s="794"/>
      <c r="R9" s="796"/>
    </row>
    <row r="10" spans="1:25">
      <c r="A10" s="88"/>
    </row>
    <row r="11" spans="1:25" s="86" customFormat="1" ht="26">
      <c r="A11" s="86" t="s">
        <v>8</v>
      </c>
    </row>
    <row r="12" spans="1:25">
      <c r="B12" s="94" t="s">
        <v>9</v>
      </c>
    </row>
    <row r="13" spans="1:25" s="90" customFormat="1">
      <c r="A13" s="89" t="s">
        <v>10</v>
      </c>
    </row>
    <row r="14" spans="1:25">
      <c r="B14" s="797" t="s">
        <v>32</v>
      </c>
      <c r="C14" t="s">
        <v>11</v>
      </c>
    </row>
    <row r="15" spans="1:25" s="90" customFormat="1">
      <c r="A15" s="89" t="s">
        <v>12</v>
      </c>
    </row>
    <row r="16" spans="1:25">
      <c r="B16" s="797"/>
      <c r="C16" t="s">
        <v>11</v>
      </c>
    </row>
    <row r="17" spans="1:28" s="90" customFormat="1">
      <c r="A17" s="89" t="s">
        <v>13</v>
      </c>
    </row>
    <row r="18" spans="1:28">
      <c r="B18" s="784"/>
      <c r="C18" s="785"/>
      <c r="D18" s="785"/>
      <c r="E18" s="785"/>
      <c r="F18" s="785"/>
      <c r="G18" s="785"/>
      <c r="H18" s="785"/>
      <c r="I18" s="785"/>
      <c r="J18" s="785"/>
      <c r="K18" s="785"/>
      <c r="L18" s="785"/>
      <c r="M18" s="786"/>
      <c r="N18" s="785"/>
      <c r="O18" s="785"/>
      <c r="P18" s="785"/>
      <c r="Q18" s="785"/>
      <c r="R18" s="787"/>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798" t="s">
        <v>18</v>
      </c>
      <c r="B22" s="799" t="s">
        <v>19</v>
      </c>
      <c r="C22" s="799" t="s">
        <v>20</v>
      </c>
      <c r="D22" s="799" t="s">
        <v>21</v>
      </c>
      <c r="E22" s="799" t="s">
        <v>22</v>
      </c>
      <c r="F22" s="799" t="s">
        <v>23</v>
      </c>
      <c r="G22" s="799" t="s">
        <v>24</v>
      </c>
      <c r="H22" s="799" t="s">
        <v>25</v>
      </c>
      <c r="I22" s="800"/>
      <c r="J22" s="801" t="s">
        <v>27</v>
      </c>
      <c r="K22" s="801"/>
      <c r="L22" s="801"/>
      <c r="M22" s="802" t="s">
        <v>28</v>
      </c>
      <c r="N22" s="803"/>
      <c r="O22" s="803"/>
      <c r="P22" s="803"/>
      <c r="Q22" s="803"/>
      <c r="R22" s="803"/>
      <c r="S22" s="803"/>
      <c r="T22" s="804"/>
      <c r="U22" s="46"/>
      <c r="V22" s="46"/>
      <c r="W22" s="46"/>
      <c r="X22" s="46"/>
      <c r="Y22" s="46"/>
      <c r="Z22" s="46"/>
      <c r="AA22" s="46"/>
      <c r="AB22" s="46"/>
    </row>
    <row r="23" spans="1:28">
      <c r="A23" s="81" t="s">
        <v>29</v>
      </c>
      <c r="B23" s="805">
        <v>-2.36</v>
      </c>
      <c r="C23" s="73" t="s">
        <v>30</v>
      </c>
      <c r="D23" s="12">
        <v>0.17592262140645501</v>
      </c>
      <c r="E23" s="10">
        <v>11</v>
      </c>
      <c r="F23" s="10">
        <v>258.5</v>
      </c>
      <c r="G23" s="6">
        <v>-0.86</v>
      </c>
      <c r="H23" s="14">
        <f t="shared" ref="H23:H86" si="0">0.5-G23-0.01*(F23-25)</f>
        <v>-0.97500000000000009</v>
      </c>
      <c r="I23" s="806" t="s">
        <v>31</v>
      </c>
      <c r="J23" s="807"/>
      <c r="K23" s="14"/>
      <c r="L23" s="14"/>
      <c r="M23" s="11" t="s">
        <v>33</v>
      </c>
      <c r="V23" s="808"/>
    </row>
    <row r="24" spans="1:28">
      <c r="A24" s="82" t="s">
        <v>35</v>
      </c>
      <c r="B24" s="809">
        <v>-2.2000000000000002</v>
      </c>
      <c r="C24" s="73" t="s">
        <v>36</v>
      </c>
      <c r="D24" s="12">
        <v>0.14701293131372209</v>
      </c>
      <c r="E24" s="10">
        <v>16</v>
      </c>
      <c r="F24" s="10">
        <v>142.4</v>
      </c>
      <c r="G24" s="6">
        <v>1.31</v>
      </c>
      <c r="H24" s="14">
        <f t="shared" si="0"/>
        <v>-1.9840000000000002</v>
      </c>
      <c r="I24" s="806" t="s">
        <v>37</v>
      </c>
      <c r="J24" s="807"/>
      <c r="K24" s="14"/>
      <c r="L24" s="14"/>
      <c r="M24" s="11" t="s">
        <v>38</v>
      </c>
      <c r="V24" s="808"/>
    </row>
    <row r="25" spans="1:28">
      <c r="A25" s="81" t="s">
        <v>40</v>
      </c>
      <c r="B25" s="809">
        <v>-3</v>
      </c>
      <c r="C25" s="73" t="s">
        <v>41</v>
      </c>
      <c r="D25" s="12">
        <v>0.15746026945991629</v>
      </c>
      <c r="E25" s="10">
        <v>4</v>
      </c>
      <c r="F25" s="10">
        <v>92</v>
      </c>
      <c r="G25" s="6">
        <v>2.5299999999999998</v>
      </c>
      <c r="H25" s="14">
        <f t="shared" si="0"/>
        <v>-2.6999999999999997</v>
      </c>
      <c r="I25" s="806" t="s">
        <v>42</v>
      </c>
      <c r="J25" s="807"/>
      <c r="K25" s="14"/>
      <c r="L25" s="14"/>
      <c r="M25" s="11" t="s">
        <v>43</v>
      </c>
      <c r="V25" s="808"/>
    </row>
    <row r="26" spans="1:28">
      <c r="A26" s="82" t="s">
        <v>45</v>
      </c>
      <c r="B26" s="809">
        <v>-3.06</v>
      </c>
      <c r="C26" s="73" t="s">
        <v>46</v>
      </c>
      <c r="D26" s="12">
        <v>0.16999222507469616</v>
      </c>
      <c r="E26" s="10">
        <v>3</v>
      </c>
      <c r="F26" s="10">
        <v>234</v>
      </c>
      <c r="G26" s="6">
        <v>3.19</v>
      </c>
      <c r="H26" s="14">
        <f t="shared" si="0"/>
        <v>-4.7799999999999994</v>
      </c>
      <c r="I26" s="810" t="s">
        <v>47</v>
      </c>
      <c r="J26" s="811"/>
      <c r="K26" s="14"/>
      <c r="L26" s="14"/>
      <c r="M26" s="11" t="s">
        <v>48</v>
      </c>
      <c r="V26" s="808"/>
    </row>
    <row r="27" spans="1:28">
      <c r="A27" s="82" t="s">
        <v>50</v>
      </c>
      <c r="B27" s="809">
        <v>-4.99</v>
      </c>
      <c r="C27" s="73" t="s">
        <v>51</v>
      </c>
      <c r="D27" s="12">
        <v>0.21168830858587184</v>
      </c>
      <c r="E27" s="10">
        <v>3</v>
      </c>
      <c r="F27" s="10">
        <v>139.25</v>
      </c>
      <c r="G27" s="6">
        <v>4.8600000000000003</v>
      </c>
      <c r="H27" s="14">
        <f t="shared" si="0"/>
        <v>-5.5025000000000004</v>
      </c>
      <c r="I27" s="810" t="s">
        <v>52</v>
      </c>
      <c r="J27" s="811"/>
      <c r="K27" s="14"/>
      <c r="L27" s="14"/>
      <c r="M27" s="11" t="s">
        <v>53</v>
      </c>
      <c r="V27" s="808"/>
    </row>
    <row r="28" spans="1:28">
      <c r="A28" s="81" t="s">
        <v>55</v>
      </c>
      <c r="B28" s="809">
        <v>-5.83</v>
      </c>
      <c r="C28" s="71"/>
      <c r="D28" s="12">
        <v>0.18412396392404196</v>
      </c>
      <c r="E28" s="10">
        <v>3</v>
      </c>
      <c r="F28" s="10">
        <v>224.00000000000003</v>
      </c>
      <c r="G28" s="6">
        <v>5.51</v>
      </c>
      <c r="H28" s="14">
        <f t="shared" si="0"/>
        <v>-7</v>
      </c>
      <c r="I28" s="810" t="s">
        <v>56</v>
      </c>
      <c r="J28" s="811"/>
      <c r="K28" s="14"/>
      <c r="L28" s="14"/>
      <c r="M28" s="11" t="s">
        <v>57</v>
      </c>
      <c r="V28" s="808"/>
    </row>
    <row r="29" spans="1:28">
      <c r="A29" s="81" t="s">
        <v>59</v>
      </c>
      <c r="B29" s="809">
        <v>-2.5299999999999998</v>
      </c>
      <c r="C29" s="71"/>
      <c r="D29" s="12">
        <v>0.14933733874523175</v>
      </c>
      <c r="E29" s="10">
        <v>6</v>
      </c>
      <c r="F29" s="10">
        <v>172.5</v>
      </c>
      <c r="G29" s="6">
        <v>1.78</v>
      </c>
      <c r="H29" s="14">
        <f t="shared" si="0"/>
        <v>-2.7549999999999999</v>
      </c>
      <c r="I29" s="810" t="s">
        <v>60</v>
      </c>
      <c r="J29" s="812" t="s">
        <v>32</v>
      </c>
      <c r="K29" s="14"/>
      <c r="L29" s="14"/>
      <c r="M29" s="11" t="s">
        <v>61</v>
      </c>
      <c r="V29" s="808"/>
    </row>
    <row r="30" spans="1:28">
      <c r="A30" s="81" t="s">
        <v>63</v>
      </c>
      <c r="B30" s="809">
        <v>-2.37</v>
      </c>
      <c r="C30" s="71"/>
      <c r="D30" s="12">
        <v>0.14842266063120066</v>
      </c>
      <c r="E30" s="10">
        <v>4</v>
      </c>
      <c r="F30" s="10">
        <v>207.50000000000003</v>
      </c>
      <c r="G30" s="6">
        <v>1.86</v>
      </c>
      <c r="H30" s="14">
        <f t="shared" si="0"/>
        <v>-3.1850000000000005</v>
      </c>
      <c r="I30" s="813" t="s">
        <v>64</v>
      </c>
      <c r="J30" s="840"/>
      <c r="K30" s="815"/>
      <c r="L30" s="816"/>
      <c r="M30" s="11" t="s">
        <v>65</v>
      </c>
      <c r="V30" s="808"/>
    </row>
    <row r="31" spans="1:28">
      <c r="A31" s="83" t="s">
        <v>66</v>
      </c>
      <c r="B31" s="809">
        <v>-2.48</v>
      </c>
      <c r="C31" s="71"/>
      <c r="D31" s="12">
        <v>0.1617973106900604</v>
      </c>
      <c r="E31" s="10">
        <v>10</v>
      </c>
      <c r="F31" s="10">
        <v>166.5</v>
      </c>
      <c r="G31" s="6">
        <v>0.79</v>
      </c>
      <c r="H31" s="14">
        <f t="shared" si="0"/>
        <v>-1.7050000000000001</v>
      </c>
      <c r="J31" s="14"/>
      <c r="K31" s="14"/>
      <c r="L31" s="14"/>
      <c r="M31" s="11" t="s">
        <v>67</v>
      </c>
      <c r="V31" s="808"/>
    </row>
    <row r="32" spans="1:28">
      <c r="A32" s="82" t="s">
        <v>68</v>
      </c>
      <c r="B32" s="809">
        <v>-3.88</v>
      </c>
      <c r="C32" s="71"/>
      <c r="D32" s="12">
        <v>0.21543706061278237</v>
      </c>
      <c r="E32" s="10">
        <v>6</v>
      </c>
      <c r="F32" s="10">
        <v>231.5</v>
      </c>
      <c r="G32" s="6">
        <v>2.4300000000000002</v>
      </c>
      <c r="H32" s="14">
        <f t="shared" si="0"/>
        <v>-3.9950000000000001</v>
      </c>
      <c r="I32" s="817" t="s">
        <v>69</v>
      </c>
      <c r="J32" s="818"/>
      <c r="K32" s="818"/>
      <c r="L32" s="819"/>
      <c r="M32" s="11" t="s">
        <v>70</v>
      </c>
      <c r="V32" s="808"/>
    </row>
    <row r="33" spans="1:22">
      <c r="A33" s="84" t="s">
        <v>71</v>
      </c>
      <c r="B33" s="820">
        <v>-3.72</v>
      </c>
      <c r="C33" s="72"/>
      <c r="D33" s="4">
        <v>0.12912520605069597</v>
      </c>
      <c r="E33" s="2">
        <v>3</v>
      </c>
      <c r="F33" s="13">
        <v>192.7</v>
      </c>
      <c r="G33" s="6">
        <v>2.63</v>
      </c>
      <c r="H33" s="14">
        <f t="shared" si="0"/>
        <v>-3.8069999999999995</v>
      </c>
      <c r="I33" s="821" t="s">
        <v>1061</v>
      </c>
      <c r="J33" s="822"/>
      <c r="K33" s="822"/>
      <c r="L33" s="823"/>
      <c r="M33" s="11" t="s">
        <v>72</v>
      </c>
      <c r="V33" s="808"/>
    </row>
    <row r="34" spans="1:22">
      <c r="A34" s="81" t="s">
        <v>74</v>
      </c>
      <c r="B34" s="809">
        <v>-6.43</v>
      </c>
      <c r="C34" s="71"/>
      <c r="D34" s="12">
        <v>0.14911462098310888</v>
      </c>
      <c r="E34" s="10">
        <v>6</v>
      </c>
      <c r="F34" s="10">
        <v>167</v>
      </c>
      <c r="G34" s="6">
        <v>6.32</v>
      </c>
      <c r="H34" s="14">
        <f t="shared" si="0"/>
        <v>-7.24</v>
      </c>
      <c r="I34" s="824" t="s">
        <v>1062</v>
      </c>
      <c r="J34" s="7"/>
      <c r="K34" s="7"/>
      <c r="L34" s="825"/>
      <c r="M34" s="11" t="s">
        <v>75</v>
      </c>
      <c r="V34" s="808"/>
    </row>
    <row r="35" spans="1:22">
      <c r="A35" s="82" t="s">
        <v>77</v>
      </c>
      <c r="B35" s="809">
        <v>-3.99</v>
      </c>
      <c r="C35" s="71"/>
      <c r="D35" s="12">
        <v>0.15809078703524676</v>
      </c>
      <c r="E35" s="10">
        <v>15</v>
      </c>
      <c r="F35" s="10">
        <v>191.5</v>
      </c>
      <c r="G35" s="6">
        <v>3.39</v>
      </c>
      <c r="H35" s="14">
        <f t="shared" si="0"/>
        <v>-4.5549999999999997</v>
      </c>
      <c r="I35" s="826" t="s">
        <v>1063</v>
      </c>
      <c r="J35" s="7"/>
      <c r="K35" s="7"/>
      <c r="L35" s="825"/>
      <c r="M35" s="11" t="s">
        <v>78</v>
      </c>
      <c r="V35" s="808"/>
    </row>
    <row r="36" spans="1:22">
      <c r="A36" s="83" t="s">
        <v>80</v>
      </c>
      <c r="B36" s="809">
        <v>-3.03</v>
      </c>
      <c r="C36" s="71"/>
      <c r="D36" s="12">
        <v>0.1911503089068218</v>
      </c>
      <c r="E36" s="10">
        <v>3</v>
      </c>
      <c r="F36" s="10">
        <v>246.2</v>
      </c>
      <c r="G36" s="6">
        <v>3.32</v>
      </c>
      <c r="H36" s="14">
        <f t="shared" si="0"/>
        <v>-5.032</v>
      </c>
      <c r="I36" s="827" t="s">
        <v>1064</v>
      </c>
      <c r="J36" s="7"/>
      <c r="K36" s="7"/>
      <c r="L36" s="825"/>
      <c r="M36" s="11" t="s">
        <v>81</v>
      </c>
      <c r="V36" s="808"/>
    </row>
    <row r="37" spans="1:22">
      <c r="A37" s="83" t="s">
        <v>73</v>
      </c>
      <c r="B37" s="809">
        <v>-2.63</v>
      </c>
      <c r="C37" s="71"/>
      <c r="D37" s="12">
        <v>0.19050575600734274</v>
      </c>
      <c r="E37" s="10">
        <v>4</v>
      </c>
      <c r="F37" s="10">
        <v>304</v>
      </c>
      <c r="G37" s="6">
        <v>1.74</v>
      </c>
      <c r="H37" s="14">
        <f t="shared" si="0"/>
        <v>-4.03</v>
      </c>
      <c r="I37" s="827" t="s">
        <v>1065</v>
      </c>
      <c r="J37" s="7"/>
      <c r="K37" s="7"/>
      <c r="L37" s="825"/>
      <c r="M37" s="11" t="s">
        <v>83</v>
      </c>
      <c r="V37" s="808"/>
    </row>
    <row r="38" spans="1:22">
      <c r="A38" s="81" t="s">
        <v>76</v>
      </c>
      <c r="B38" s="809">
        <v>-3.06</v>
      </c>
      <c r="C38" s="71"/>
      <c r="D38" s="12">
        <v>0.13682393527498057</v>
      </c>
      <c r="E38" s="10">
        <v>7</v>
      </c>
      <c r="F38" s="10">
        <v>187</v>
      </c>
      <c r="G38" s="6">
        <v>-0.87</v>
      </c>
      <c r="H38" s="14">
        <f t="shared" si="0"/>
        <v>-0.25</v>
      </c>
      <c r="I38" s="828"/>
      <c r="J38" s="7"/>
      <c r="K38" s="7"/>
      <c r="L38" s="825"/>
      <c r="M38" s="829" t="s">
        <v>85</v>
      </c>
      <c r="V38" s="808"/>
    </row>
    <row r="39" spans="1:22">
      <c r="A39" s="81" t="s">
        <v>87</v>
      </c>
      <c r="B39" s="809">
        <v>-2.84</v>
      </c>
      <c r="C39" s="71"/>
      <c r="D39" s="12">
        <v>0.20462356367492032</v>
      </c>
      <c r="E39" s="10">
        <v>4</v>
      </c>
      <c r="F39" s="10">
        <v>221.5</v>
      </c>
      <c r="G39" s="6">
        <v>0.71</v>
      </c>
      <c r="H39" s="14">
        <f t="shared" si="0"/>
        <v>-2.1749999999999998</v>
      </c>
      <c r="I39" s="830"/>
      <c r="J39" s="7"/>
      <c r="K39" s="7"/>
      <c r="L39" s="825"/>
      <c r="M39" s="11" t="s">
        <v>88</v>
      </c>
      <c r="V39" s="808"/>
    </row>
    <row r="40" spans="1:22">
      <c r="A40" s="81" t="s">
        <v>90</v>
      </c>
      <c r="B40" s="809">
        <v>-4.8600000000000003</v>
      </c>
      <c r="C40" s="71"/>
      <c r="D40" s="12">
        <v>0.18274602564465547</v>
      </c>
      <c r="E40" s="10">
        <v>6</v>
      </c>
      <c r="F40" s="10">
        <v>157.83333333333334</v>
      </c>
      <c r="G40" s="6">
        <v>3.51</v>
      </c>
      <c r="H40" s="14">
        <f t="shared" si="0"/>
        <v>-4.3383333333333329</v>
      </c>
      <c r="I40" s="830"/>
      <c r="J40" s="39"/>
      <c r="K40" s="39"/>
      <c r="L40" s="788"/>
      <c r="M40" s="11" t="s">
        <v>91</v>
      </c>
      <c r="V40" s="808"/>
    </row>
    <row r="41" spans="1:22">
      <c r="A41" s="84" t="s">
        <v>93</v>
      </c>
      <c r="B41" s="820">
        <v>-2.79</v>
      </c>
      <c r="C41" s="72"/>
      <c r="D41" s="4">
        <v>0.12610247911779729</v>
      </c>
      <c r="E41" s="2">
        <v>8</v>
      </c>
      <c r="F41" s="10">
        <v>140</v>
      </c>
      <c r="G41" s="6">
        <v>0.35</v>
      </c>
      <c r="H41" s="14">
        <f t="shared" si="0"/>
        <v>-1</v>
      </c>
      <c r="I41" s="830"/>
      <c r="J41" s="39"/>
      <c r="K41" s="39"/>
      <c r="L41" s="788"/>
      <c r="M41" s="11" t="s">
        <v>94</v>
      </c>
      <c r="V41" s="808"/>
    </row>
    <row r="42" spans="1:22">
      <c r="A42" s="82" t="s">
        <v>96</v>
      </c>
      <c r="B42" s="809">
        <v>-3.14</v>
      </c>
      <c r="C42" s="71"/>
      <c r="D42" s="12">
        <v>0.14493441954543959</v>
      </c>
      <c r="E42" s="10">
        <v>7</v>
      </c>
      <c r="F42" s="10">
        <v>127.93333333333334</v>
      </c>
      <c r="G42" s="6">
        <v>1.74</v>
      </c>
      <c r="H42" s="14">
        <f t="shared" si="0"/>
        <v>-2.2693333333333334</v>
      </c>
      <c r="I42" s="830"/>
      <c r="J42" s="39"/>
      <c r="K42" s="39"/>
      <c r="L42" s="788"/>
      <c r="M42" s="11" t="s">
        <v>97</v>
      </c>
      <c r="V42" s="808"/>
    </row>
    <row r="43" spans="1:22">
      <c r="A43" s="82" t="s">
        <v>79</v>
      </c>
      <c r="B43" s="809">
        <v>-4.53</v>
      </c>
      <c r="C43" s="71"/>
      <c r="D43" s="12">
        <v>0.14861388626870758</v>
      </c>
      <c r="E43" s="10">
        <v>7</v>
      </c>
      <c r="F43" s="10">
        <v>176</v>
      </c>
      <c r="G43" s="6">
        <v>4.4800000000000004</v>
      </c>
      <c r="H43" s="14">
        <f t="shared" si="0"/>
        <v>-5.49</v>
      </c>
      <c r="I43" s="830"/>
      <c r="J43" s="39"/>
      <c r="K43" s="39"/>
      <c r="L43" s="788"/>
      <c r="M43" s="11" t="s">
        <v>99</v>
      </c>
      <c r="V43" s="808"/>
    </row>
    <row r="44" spans="1:22">
      <c r="A44" s="85" t="s">
        <v>101</v>
      </c>
      <c r="B44" s="820">
        <v>-3.52</v>
      </c>
      <c r="C44" s="72"/>
      <c r="D44" s="4">
        <v>0.1280711495400205</v>
      </c>
      <c r="E44" s="2">
        <v>3</v>
      </c>
      <c r="F44" s="10">
        <v>159.69999999999999</v>
      </c>
      <c r="G44" s="6">
        <v>3.46</v>
      </c>
      <c r="H44" s="14">
        <f t="shared" si="0"/>
        <v>-4.3070000000000004</v>
      </c>
      <c r="I44" s="830"/>
      <c r="J44" s="39"/>
      <c r="K44" s="39"/>
      <c r="L44" s="788"/>
      <c r="M44" s="11" t="s">
        <v>102</v>
      </c>
      <c r="V44" s="808"/>
    </row>
    <row r="45" spans="1:22">
      <c r="A45" s="84" t="s">
        <v>104</v>
      </c>
      <c r="B45" s="820">
        <v>-2.39</v>
      </c>
      <c r="C45" s="72"/>
      <c r="D45" s="4">
        <v>0.21683500301481054</v>
      </c>
      <c r="E45" s="2">
        <v>8</v>
      </c>
      <c r="F45" s="10">
        <v>142</v>
      </c>
      <c r="G45" s="6">
        <v>0.6</v>
      </c>
      <c r="H45" s="14">
        <f t="shared" si="0"/>
        <v>-1.27</v>
      </c>
      <c r="I45" s="830"/>
      <c r="J45" s="39"/>
      <c r="K45" s="39"/>
      <c r="L45" s="788"/>
      <c r="M45" s="11" t="s">
        <v>105</v>
      </c>
      <c r="V45" s="808"/>
    </row>
    <row r="46" spans="1:22">
      <c r="A46" s="82" t="s">
        <v>107</v>
      </c>
      <c r="B46" s="809">
        <v>-3.19</v>
      </c>
      <c r="C46" s="71"/>
      <c r="D46" s="12">
        <v>0.18255878892749886</v>
      </c>
      <c r="E46" s="10">
        <v>20</v>
      </c>
      <c r="F46" s="10">
        <v>267</v>
      </c>
      <c r="G46" s="6">
        <v>1.58</v>
      </c>
      <c r="H46" s="14">
        <f t="shared" si="0"/>
        <v>-3.5</v>
      </c>
      <c r="I46" s="830"/>
      <c r="J46" s="39"/>
      <c r="K46" s="39"/>
      <c r="L46" s="788"/>
      <c r="M46" s="11" t="s">
        <v>108</v>
      </c>
      <c r="V46" s="808"/>
    </row>
    <row r="47" spans="1:22">
      <c r="A47" s="81" t="s">
        <v>110</v>
      </c>
      <c r="B47" s="809">
        <v>-3.61</v>
      </c>
      <c r="C47" s="71"/>
      <c r="D47" s="12">
        <v>0.16704647063532602</v>
      </c>
      <c r="E47" s="10">
        <v>6</v>
      </c>
      <c r="F47" s="10">
        <v>110.00000000000001</v>
      </c>
      <c r="G47" s="6">
        <v>3.36</v>
      </c>
      <c r="H47" s="14">
        <f t="shared" si="0"/>
        <v>-3.71</v>
      </c>
      <c r="I47" s="830"/>
      <c r="J47" s="39"/>
      <c r="K47" s="39"/>
      <c r="L47" s="788"/>
      <c r="M47" s="11" t="s">
        <v>111</v>
      </c>
      <c r="V47" s="808"/>
    </row>
    <row r="48" spans="1:22">
      <c r="A48" s="82" t="s">
        <v>82</v>
      </c>
      <c r="B48" s="809">
        <v>-3.22</v>
      </c>
      <c r="C48" s="71"/>
      <c r="D48" s="12">
        <v>0.17164501312359953</v>
      </c>
      <c r="E48" s="10">
        <v>7</v>
      </c>
      <c r="F48" s="10">
        <v>182</v>
      </c>
      <c r="G48" s="6">
        <v>2.67</v>
      </c>
      <c r="H48" s="14">
        <f t="shared" si="0"/>
        <v>-3.74</v>
      </c>
      <c r="I48" s="830"/>
      <c r="J48" s="39"/>
      <c r="K48" s="39"/>
      <c r="L48" s="788"/>
      <c r="M48" s="11" t="s">
        <v>113</v>
      </c>
      <c r="V48" s="808"/>
    </row>
    <row r="49" spans="1:22">
      <c r="A49" s="84" t="s">
        <v>115</v>
      </c>
      <c r="B49" s="820">
        <v>-3.09</v>
      </c>
      <c r="C49" s="72"/>
      <c r="D49" s="4">
        <v>0.12558353028546052</v>
      </c>
      <c r="E49" s="2">
        <v>4</v>
      </c>
      <c r="F49" s="10">
        <v>222.00000000000003</v>
      </c>
      <c r="G49" s="6">
        <v>2.56</v>
      </c>
      <c r="H49" s="14">
        <f t="shared" si="0"/>
        <v>-4.03</v>
      </c>
      <c r="I49" s="830"/>
      <c r="J49" s="39"/>
      <c r="K49" s="39"/>
      <c r="L49" s="788"/>
      <c r="M49" s="11" t="s">
        <v>116</v>
      </c>
      <c r="V49" s="808"/>
    </row>
    <row r="50" spans="1:22">
      <c r="A50" s="82" t="s">
        <v>118</v>
      </c>
      <c r="B50" s="809">
        <v>-4.53</v>
      </c>
      <c r="C50" s="71"/>
      <c r="D50" s="12">
        <v>0.1568133990664792</v>
      </c>
      <c r="E50" s="10">
        <v>6</v>
      </c>
      <c r="F50" s="10">
        <v>151</v>
      </c>
      <c r="G50" s="6">
        <v>3.27</v>
      </c>
      <c r="H50" s="14">
        <f t="shared" si="0"/>
        <v>-4.03</v>
      </c>
      <c r="I50" s="830"/>
      <c r="J50" s="39"/>
      <c r="K50" s="39"/>
      <c r="L50" s="788"/>
      <c r="M50" s="11" t="s">
        <v>119</v>
      </c>
      <c r="V50" s="808"/>
    </row>
    <row r="51" spans="1:22">
      <c r="A51" s="85" t="s">
        <v>84</v>
      </c>
      <c r="B51" s="820">
        <v>-3.97</v>
      </c>
      <c r="C51" s="72"/>
      <c r="D51" s="4">
        <v>0.12789394574374285</v>
      </c>
      <c r="E51" s="2">
        <v>5</v>
      </c>
      <c r="F51" s="10">
        <v>330</v>
      </c>
      <c r="G51" s="6">
        <v>2.87</v>
      </c>
      <c r="H51" s="14">
        <f t="shared" si="0"/>
        <v>-5.42</v>
      </c>
      <c r="I51" s="830"/>
      <c r="J51" s="39"/>
      <c r="K51" s="39"/>
      <c r="L51" s="788"/>
      <c r="M51" s="11" t="s">
        <v>120</v>
      </c>
      <c r="V51" s="808"/>
    </row>
    <row r="52" spans="1:22">
      <c r="A52" s="82" t="s">
        <v>121</v>
      </c>
      <c r="B52" s="809">
        <v>-3.92</v>
      </c>
      <c r="C52" s="71"/>
      <c r="D52" s="12">
        <v>0.18012800124370357</v>
      </c>
      <c r="E52" s="10">
        <v>3</v>
      </c>
      <c r="F52" s="10">
        <v>100</v>
      </c>
      <c r="G52" s="6">
        <v>3.53</v>
      </c>
      <c r="H52" s="14">
        <f t="shared" si="0"/>
        <v>-3.78</v>
      </c>
      <c r="I52" s="831"/>
      <c r="J52" s="7"/>
      <c r="K52" s="7"/>
      <c r="L52" s="825"/>
      <c r="M52" s="11" t="s">
        <v>122</v>
      </c>
      <c r="V52" s="808"/>
    </row>
    <row r="53" spans="1:22">
      <c r="A53" s="81" t="s">
        <v>123</v>
      </c>
      <c r="B53" s="809">
        <v>-3.14</v>
      </c>
      <c r="C53" s="71"/>
      <c r="D53" s="12">
        <v>0.18062104750721683</v>
      </c>
      <c r="E53" s="10">
        <v>16</v>
      </c>
      <c r="F53" s="10">
        <v>262.5</v>
      </c>
      <c r="G53" s="6">
        <v>1.9</v>
      </c>
      <c r="H53" s="14">
        <f t="shared" si="0"/>
        <v>-3.7749999999999999</v>
      </c>
      <c r="I53" s="831"/>
      <c r="J53" s="7"/>
      <c r="K53" s="7"/>
      <c r="L53" s="825"/>
      <c r="M53" s="11" t="s">
        <v>124</v>
      </c>
      <c r="V53" s="808"/>
    </row>
    <row r="54" spans="1:22">
      <c r="A54" s="84" t="s">
        <v>125</v>
      </c>
      <c r="B54" s="820">
        <v>-3.03</v>
      </c>
      <c r="C54" s="72"/>
      <c r="D54" s="4">
        <v>0.22156244268660033</v>
      </c>
      <c r="E54" s="2">
        <v>4</v>
      </c>
      <c r="F54" s="10">
        <v>328.85</v>
      </c>
      <c r="G54" s="6">
        <v>1.87</v>
      </c>
      <c r="H54" s="14">
        <f t="shared" si="0"/>
        <v>-4.4085000000000001</v>
      </c>
      <c r="I54" s="831"/>
      <c r="J54" s="7"/>
      <c r="K54" s="7"/>
      <c r="L54" s="825"/>
      <c r="M54" s="11" t="s">
        <v>126</v>
      </c>
      <c r="V54" s="808"/>
    </row>
    <row r="55" spans="1:22">
      <c r="A55" s="82" t="s">
        <v>127</v>
      </c>
      <c r="B55" s="809">
        <v>-4.91</v>
      </c>
      <c r="C55" s="71"/>
      <c r="D55" s="12">
        <v>0.18450811780713378</v>
      </c>
      <c r="E55" s="10">
        <v>33</v>
      </c>
      <c r="F55" s="10">
        <v>167.5</v>
      </c>
      <c r="G55" s="6">
        <v>4.3600000000000003</v>
      </c>
      <c r="H55" s="14">
        <f t="shared" si="0"/>
        <v>-5.2850000000000001</v>
      </c>
      <c r="I55" s="831"/>
      <c r="J55" s="7"/>
      <c r="K55" s="7"/>
      <c r="L55" s="825"/>
      <c r="M55" s="11" t="s">
        <v>128</v>
      </c>
      <c r="V55" s="808"/>
    </row>
    <row r="56" spans="1:22">
      <c r="A56" s="82" t="s">
        <v>86</v>
      </c>
      <c r="B56" s="809">
        <v>-3.37</v>
      </c>
      <c r="C56" s="71"/>
      <c r="D56" s="12">
        <v>0.15609203233531485</v>
      </c>
      <c r="E56" s="10">
        <v>3</v>
      </c>
      <c r="F56" s="10">
        <v>223</v>
      </c>
      <c r="G56" s="6">
        <v>2.99</v>
      </c>
      <c r="H56" s="14">
        <f t="shared" si="0"/>
        <v>-4.4700000000000006</v>
      </c>
      <c r="I56" s="831"/>
      <c r="J56" s="7"/>
      <c r="K56" s="7"/>
      <c r="L56" s="825"/>
      <c r="M56" s="11" t="s">
        <v>129</v>
      </c>
      <c r="V56" s="808"/>
    </row>
    <row r="57" spans="1:22">
      <c r="A57" s="82" t="s">
        <v>89</v>
      </c>
      <c r="B57" s="809">
        <v>-5.0599999999999996</v>
      </c>
      <c r="C57" s="71"/>
      <c r="D57" s="12">
        <v>0.20872343532408041</v>
      </c>
      <c r="E57" s="10">
        <v>3</v>
      </c>
      <c r="F57" s="10">
        <v>210.5</v>
      </c>
      <c r="G57" s="6">
        <v>2.72</v>
      </c>
      <c r="H57" s="14">
        <f t="shared" si="0"/>
        <v>-4.0750000000000002</v>
      </c>
      <c r="I57" s="791"/>
      <c r="J57" s="832"/>
      <c r="K57" s="832"/>
      <c r="L57" s="833"/>
      <c r="M57" s="11" t="s">
        <v>130</v>
      </c>
      <c r="V57" s="808"/>
    </row>
    <row r="58" spans="1:22">
      <c r="A58" s="84" t="s">
        <v>131</v>
      </c>
      <c r="B58" s="820">
        <v>-3.87</v>
      </c>
      <c r="C58" s="72"/>
      <c r="D58" s="4">
        <v>0.1297319013416561</v>
      </c>
      <c r="E58" s="2">
        <v>3</v>
      </c>
      <c r="F58" s="10">
        <v>209.75</v>
      </c>
      <c r="G58" s="6">
        <v>3.37</v>
      </c>
      <c r="H58" s="14">
        <f t="shared" si="0"/>
        <v>-4.7175000000000002</v>
      </c>
      <c r="J58" s="14"/>
      <c r="K58" s="14"/>
      <c r="L58" s="14"/>
      <c r="M58" s="11" t="s">
        <v>132</v>
      </c>
      <c r="V58" s="808"/>
    </row>
    <row r="59" spans="1:22">
      <c r="A59" s="81" t="s">
        <v>92</v>
      </c>
      <c r="B59" s="809">
        <v>-2.6</v>
      </c>
      <c r="C59" s="71"/>
      <c r="D59" s="12">
        <v>0.14124198841117766</v>
      </c>
      <c r="E59" s="10">
        <v>3</v>
      </c>
      <c r="F59" s="10">
        <v>53.5</v>
      </c>
      <c r="G59" s="6">
        <v>3.43</v>
      </c>
      <c r="H59" s="14">
        <f t="shared" si="0"/>
        <v>-3.2150000000000003</v>
      </c>
      <c r="I59" s="834" t="s">
        <v>133</v>
      </c>
      <c r="J59" s="835">
        <v>117</v>
      </c>
      <c r="K59" s="816"/>
      <c r="L59" s="14"/>
      <c r="M59" s="11" t="s">
        <v>134</v>
      </c>
      <c r="V59" s="808"/>
    </row>
    <row r="60" spans="1:22">
      <c r="A60" s="81" t="s">
        <v>135</v>
      </c>
      <c r="B60" s="809">
        <v>-2.17</v>
      </c>
      <c r="C60" s="71"/>
      <c r="D60" s="12">
        <v>0.17069281866408892</v>
      </c>
      <c r="E60" s="10">
        <v>6</v>
      </c>
      <c r="F60" s="10">
        <v>270</v>
      </c>
      <c r="G60" s="6">
        <v>0.05</v>
      </c>
      <c r="H60" s="14">
        <f t="shared" si="0"/>
        <v>-2</v>
      </c>
      <c r="I60" s="834" t="s">
        <v>136</v>
      </c>
      <c r="J60" s="835">
        <v>36</v>
      </c>
      <c r="K60" s="816"/>
      <c r="L60" s="14"/>
      <c r="M60" s="11" t="s">
        <v>137</v>
      </c>
      <c r="V60" s="808"/>
    </row>
    <row r="61" spans="1:22">
      <c r="A61" s="82" t="s">
        <v>138</v>
      </c>
      <c r="B61" s="809">
        <v>-3</v>
      </c>
      <c r="C61" s="71"/>
      <c r="D61" s="12">
        <v>0.2061475968316322</v>
      </c>
      <c r="E61" s="10">
        <v>3</v>
      </c>
      <c r="F61" s="10">
        <v>143.75</v>
      </c>
      <c r="G61" s="6">
        <v>1.6</v>
      </c>
      <c r="H61" s="14">
        <f t="shared" si="0"/>
        <v>-2.2875000000000001</v>
      </c>
      <c r="I61" s="834" t="s">
        <v>139</v>
      </c>
      <c r="J61" s="835">
        <f>COUNTA(A23:A122)</f>
        <v>100</v>
      </c>
      <c r="K61" s="816"/>
      <c r="L61" s="14"/>
      <c r="M61" s="11" t="s">
        <v>140</v>
      </c>
      <c r="V61" s="808"/>
    </row>
    <row r="62" spans="1:22">
      <c r="A62" s="81" t="s">
        <v>141</v>
      </c>
      <c r="B62" s="809">
        <v>-4.29</v>
      </c>
      <c r="C62" s="71"/>
      <c r="D62" s="12">
        <v>0.18021422622763517</v>
      </c>
      <c r="E62" s="10">
        <v>5</v>
      </c>
      <c r="F62" s="10">
        <v>214.5</v>
      </c>
      <c r="G62" s="6">
        <v>3.61</v>
      </c>
      <c r="H62" s="14">
        <f t="shared" si="0"/>
        <v>-5.0049999999999999</v>
      </c>
      <c r="I62" s="14"/>
      <c r="J62" s="14"/>
      <c r="K62" s="14"/>
      <c r="L62" s="14"/>
      <c r="M62" s="11" t="s">
        <v>142</v>
      </c>
      <c r="V62" s="808"/>
    </row>
    <row r="63" spans="1:22">
      <c r="A63" s="82" t="s">
        <v>143</v>
      </c>
      <c r="B63" s="809">
        <v>-4.1399999999999997</v>
      </c>
      <c r="C63" s="71"/>
      <c r="D63" s="12">
        <v>0.19225415374507382</v>
      </c>
      <c r="E63" s="10">
        <v>8</v>
      </c>
      <c r="F63" s="10">
        <v>255.29999999999998</v>
      </c>
      <c r="G63" s="6">
        <v>3.82</v>
      </c>
      <c r="H63" s="14">
        <f t="shared" si="0"/>
        <v>-5.6229999999999993</v>
      </c>
      <c r="I63" s="836" t="s">
        <v>144</v>
      </c>
      <c r="J63" s="818"/>
      <c r="K63" s="818"/>
      <c r="L63" s="819"/>
      <c r="M63" s="11" t="s">
        <v>145</v>
      </c>
      <c r="V63" s="808"/>
    </row>
    <row r="64" spans="1:22">
      <c r="A64" s="82" t="s">
        <v>146</v>
      </c>
      <c r="B64" s="809">
        <v>-2.8</v>
      </c>
      <c r="C64" s="71"/>
      <c r="D64" s="12">
        <v>0.17</v>
      </c>
      <c r="E64" s="10">
        <v>3</v>
      </c>
      <c r="F64" s="10">
        <v>189</v>
      </c>
      <c r="G64" s="6">
        <v>1.34</v>
      </c>
      <c r="H64" s="14">
        <f t="shared" si="0"/>
        <v>-2.4800000000000004</v>
      </c>
      <c r="I64" s="837" t="s">
        <v>1066</v>
      </c>
      <c r="J64" s="822"/>
      <c r="K64" s="822"/>
      <c r="L64" s="823"/>
      <c r="M64" s="11" t="s">
        <v>148</v>
      </c>
      <c r="V64" s="808"/>
    </row>
    <row r="65" spans="1:22">
      <c r="A65" s="82" t="s">
        <v>149</v>
      </c>
      <c r="B65" s="809">
        <v>-3.65</v>
      </c>
      <c r="C65" s="71"/>
      <c r="D65" s="12">
        <v>0.19794493160510693</v>
      </c>
      <c r="E65" s="10">
        <v>4</v>
      </c>
      <c r="F65" s="10">
        <v>243.5</v>
      </c>
      <c r="G65" s="6">
        <v>1.34</v>
      </c>
      <c r="H65" s="14">
        <f t="shared" si="0"/>
        <v>-3.0250000000000004</v>
      </c>
      <c r="I65" s="838" t="s">
        <v>1067</v>
      </c>
      <c r="J65" s="7"/>
      <c r="K65" s="7"/>
      <c r="L65" s="825"/>
      <c r="M65" s="11" t="s">
        <v>151</v>
      </c>
      <c r="V65" s="808"/>
    </row>
    <row r="66" spans="1:22">
      <c r="A66" s="81" t="s">
        <v>95</v>
      </c>
      <c r="B66" s="809">
        <v>-2.25</v>
      </c>
      <c r="C66" s="71"/>
      <c r="D66" s="12">
        <v>0.21056099074293383</v>
      </c>
      <c r="E66" s="10">
        <v>3</v>
      </c>
      <c r="F66" s="10">
        <v>36.5</v>
      </c>
      <c r="G66" s="6">
        <v>2.74</v>
      </c>
      <c r="H66" s="14">
        <f t="shared" si="0"/>
        <v>-2.3550000000000004</v>
      </c>
      <c r="I66" s="831"/>
      <c r="J66" s="7"/>
      <c r="K66" s="7"/>
      <c r="L66" s="825"/>
      <c r="M66" s="11" t="s">
        <v>152</v>
      </c>
      <c r="V66" s="808"/>
    </row>
    <row r="67" spans="1:22">
      <c r="A67" s="83" t="s">
        <v>153</v>
      </c>
      <c r="B67" s="809">
        <v>-3.56</v>
      </c>
      <c r="C67" s="71"/>
      <c r="D67" s="12">
        <v>0.21092434073951916</v>
      </c>
      <c r="E67" s="10">
        <v>10</v>
      </c>
      <c r="F67" s="10">
        <v>186</v>
      </c>
      <c r="G67" s="6">
        <v>3.4</v>
      </c>
      <c r="H67" s="14">
        <f t="shared" si="0"/>
        <v>-4.51</v>
      </c>
      <c r="I67" s="831"/>
      <c r="J67" s="7"/>
      <c r="K67" s="7"/>
      <c r="L67" s="825"/>
      <c r="M67" s="11" t="s">
        <v>154</v>
      </c>
      <c r="V67" s="808"/>
    </row>
    <row r="68" spans="1:22">
      <c r="A68" s="81" t="s">
        <v>98</v>
      </c>
      <c r="B68" s="809">
        <v>-3.55</v>
      </c>
      <c r="C68" s="71"/>
      <c r="D68" s="12">
        <v>0.18695478693957188</v>
      </c>
      <c r="E68" s="10">
        <v>3</v>
      </c>
      <c r="F68" s="10">
        <v>252.99999999999997</v>
      </c>
      <c r="G68" s="6">
        <v>2.35</v>
      </c>
      <c r="H68" s="14">
        <f t="shared" si="0"/>
        <v>-4.13</v>
      </c>
      <c r="I68" s="831"/>
      <c r="J68" s="7"/>
      <c r="K68" s="7"/>
      <c r="L68" s="825"/>
      <c r="M68" s="11" t="s">
        <v>155</v>
      </c>
      <c r="V68" s="808"/>
    </row>
    <row r="69" spans="1:22">
      <c r="A69" s="83" t="s">
        <v>156</v>
      </c>
      <c r="B69" s="809">
        <v>-4.13</v>
      </c>
      <c r="C69" s="71"/>
      <c r="D69" s="12">
        <v>0.20491085989689112</v>
      </c>
      <c r="E69" s="10">
        <v>23</v>
      </c>
      <c r="F69" s="10">
        <v>111.00000000000001</v>
      </c>
      <c r="G69" s="6">
        <v>3.68</v>
      </c>
      <c r="H69" s="14">
        <f t="shared" si="0"/>
        <v>-4.04</v>
      </c>
      <c r="I69" s="831"/>
      <c r="J69" s="7"/>
      <c r="K69" s="7"/>
      <c r="L69" s="825"/>
      <c r="M69" s="11" t="s">
        <v>157</v>
      </c>
      <c r="V69" s="808"/>
    </row>
    <row r="70" spans="1:22">
      <c r="A70" s="81" t="s">
        <v>158</v>
      </c>
      <c r="B70" s="809">
        <v>-3.08</v>
      </c>
      <c r="C70" s="71"/>
      <c r="D70" s="12">
        <v>0.15545016183846921</v>
      </c>
      <c r="E70" s="10">
        <v>6</v>
      </c>
      <c r="F70" s="10">
        <v>250</v>
      </c>
      <c r="G70" s="6">
        <v>-0.04</v>
      </c>
      <c r="H70" s="14">
        <f t="shared" si="0"/>
        <v>-1.71</v>
      </c>
      <c r="I70" s="831"/>
      <c r="J70" s="7"/>
      <c r="K70" s="7"/>
      <c r="L70" s="825"/>
      <c r="M70" s="11" t="s">
        <v>159</v>
      </c>
      <c r="V70" s="808"/>
    </row>
    <row r="71" spans="1:22">
      <c r="A71" s="82" t="s">
        <v>160</v>
      </c>
      <c r="B71" s="809">
        <v>-2.75</v>
      </c>
      <c r="C71" s="71"/>
      <c r="D71" s="12">
        <v>0.13261436390895148</v>
      </c>
      <c r="E71" s="10">
        <v>3</v>
      </c>
      <c r="F71" s="10">
        <v>250</v>
      </c>
      <c r="G71" s="6">
        <v>-1.97</v>
      </c>
      <c r="H71" s="14">
        <f t="shared" si="0"/>
        <v>0.21999999999999975</v>
      </c>
      <c r="I71" s="831"/>
      <c r="J71" s="7"/>
      <c r="K71" s="7"/>
      <c r="L71" s="825"/>
      <c r="M71" s="11" t="s">
        <v>161</v>
      </c>
      <c r="V71" s="808"/>
    </row>
    <row r="72" spans="1:22">
      <c r="A72" s="82" t="s">
        <v>162</v>
      </c>
      <c r="B72" s="809">
        <v>-3.67</v>
      </c>
      <c r="C72" s="71"/>
      <c r="D72" s="12">
        <v>0.21159815676624968</v>
      </c>
      <c r="E72" s="10">
        <v>9</v>
      </c>
      <c r="F72" s="10">
        <v>208.5</v>
      </c>
      <c r="G72" s="6">
        <v>2.08</v>
      </c>
      <c r="H72" s="14">
        <f t="shared" si="0"/>
        <v>-3.415</v>
      </c>
      <c r="I72" s="831"/>
      <c r="J72" s="7"/>
      <c r="K72" s="7"/>
      <c r="L72" s="825"/>
      <c r="M72" s="11" t="s">
        <v>163</v>
      </c>
      <c r="V72" s="808"/>
    </row>
    <row r="73" spans="1:22">
      <c r="A73" s="82" t="s">
        <v>164</v>
      </c>
      <c r="B73" s="809">
        <v>-3.05</v>
      </c>
      <c r="C73" s="71"/>
      <c r="D73" s="12">
        <v>0.1900151243705871</v>
      </c>
      <c r="E73" s="10">
        <v>15</v>
      </c>
      <c r="F73" s="10">
        <v>220.00000000000003</v>
      </c>
      <c r="G73" s="6">
        <v>2.69</v>
      </c>
      <c r="H73" s="14">
        <f t="shared" si="0"/>
        <v>-4.1400000000000006</v>
      </c>
      <c r="I73" s="831"/>
      <c r="J73" s="7"/>
      <c r="K73" s="7"/>
      <c r="L73" s="825"/>
      <c r="M73" s="11" t="s">
        <v>165</v>
      </c>
      <c r="V73" s="808"/>
    </row>
    <row r="74" spans="1:22">
      <c r="A74" s="82" t="s">
        <v>166</v>
      </c>
      <c r="B74" s="809">
        <v>-3.93</v>
      </c>
      <c r="C74" s="71"/>
      <c r="D74" s="12">
        <v>0.16978183023026608</v>
      </c>
      <c r="E74" s="10">
        <v>10</v>
      </c>
      <c r="F74" s="10">
        <v>151</v>
      </c>
      <c r="G74" s="6">
        <v>4.43</v>
      </c>
      <c r="H74" s="14">
        <f t="shared" si="0"/>
        <v>-5.1899999999999995</v>
      </c>
      <c r="I74" s="831"/>
      <c r="J74" s="7"/>
      <c r="K74" s="7"/>
      <c r="L74" s="825"/>
      <c r="M74" s="11" t="s">
        <v>167</v>
      </c>
      <c r="V74" s="808"/>
    </row>
    <row r="75" spans="1:22">
      <c r="A75" s="83" t="s">
        <v>100</v>
      </c>
      <c r="B75" s="809">
        <v>-4.75</v>
      </c>
      <c r="C75" s="71"/>
      <c r="D75" s="12">
        <v>0.19416214604145643</v>
      </c>
      <c r="E75" s="10">
        <v>7</v>
      </c>
      <c r="F75" s="10">
        <v>154.5</v>
      </c>
      <c r="G75" s="6">
        <v>4.22</v>
      </c>
      <c r="H75" s="14">
        <f t="shared" si="0"/>
        <v>-5.0149999999999997</v>
      </c>
      <c r="I75" s="831"/>
      <c r="J75" s="7"/>
      <c r="K75" s="7"/>
      <c r="L75" s="825"/>
      <c r="M75" s="11" t="s">
        <v>168</v>
      </c>
      <c r="V75" s="808"/>
    </row>
    <row r="76" spans="1:22">
      <c r="A76" s="82" t="s">
        <v>169</v>
      </c>
      <c r="B76" s="809">
        <v>-4.66</v>
      </c>
      <c r="C76" s="71"/>
      <c r="D76" s="12">
        <v>0.16048013551961601</v>
      </c>
      <c r="E76" s="10">
        <v>5</v>
      </c>
      <c r="F76" s="10">
        <v>167.75</v>
      </c>
      <c r="G76" s="6">
        <v>2.87</v>
      </c>
      <c r="H76" s="14">
        <f t="shared" si="0"/>
        <v>-3.7975000000000003</v>
      </c>
      <c r="I76" s="831"/>
      <c r="J76" s="7"/>
      <c r="K76" s="7"/>
      <c r="L76" s="825"/>
      <c r="M76" s="11" t="s">
        <v>170</v>
      </c>
      <c r="V76" s="808"/>
    </row>
    <row r="77" spans="1:22">
      <c r="A77" s="84" t="s">
        <v>171</v>
      </c>
      <c r="B77" s="820">
        <v>-4.75</v>
      </c>
      <c r="C77" s="72"/>
      <c r="D77" s="4">
        <v>0.22239504833634874</v>
      </c>
      <c r="E77" s="2">
        <v>21</v>
      </c>
      <c r="F77" s="10">
        <v>159</v>
      </c>
      <c r="G77" s="6">
        <v>3.93</v>
      </c>
      <c r="H77" s="14">
        <f t="shared" si="0"/>
        <v>-4.7700000000000005</v>
      </c>
      <c r="I77" s="831"/>
      <c r="J77" s="7"/>
      <c r="K77" s="7"/>
      <c r="L77" s="825"/>
      <c r="M77" s="11" t="s">
        <v>172</v>
      </c>
      <c r="V77" s="808"/>
    </row>
    <row r="78" spans="1:22">
      <c r="A78" s="82" t="s">
        <v>173</v>
      </c>
      <c r="B78" s="809">
        <v>-3.98</v>
      </c>
      <c r="C78" s="71"/>
      <c r="D78" s="12">
        <v>0.21209434799218393</v>
      </c>
      <c r="E78" s="10">
        <v>5</v>
      </c>
      <c r="F78" s="10">
        <v>213.49999999999997</v>
      </c>
      <c r="G78" s="6">
        <v>3.04</v>
      </c>
      <c r="H78" s="14">
        <f t="shared" si="0"/>
        <v>-4.4249999999999998</v>
      </c>
      <c r="I78" s="831"/>
      <c r="J78" s="7"/>
      <c r="K78" s="7"/>
      <c r="L78" s="825"/>
      <c r="M78" s="11" t="s">
        <v>174</v>
      </c>
      <c r="V78" s="808"/>
    </row>
    <row r="79" spans="1:22">
      <c r="A79" s="82" t="s">
        <v>175</v>
      </c>
      <c r="B79" s="809">
        <v>-4.93</v>
      </c>
      <c r="C79" s="71"/>
      <c r="D79" s="12">
        <v>0.1407224156406931</v>
      </c>
      <c r="E79" s="10">
        <v>11</v>
      </c>
      <c r="F79" s="10">
        <v>146</v>
      </c>
      <c r="G79" s="6">
        <v>4.21</v>
      </c>
      <c r="H79" s="14">
        <f t="shared" si="0"/>
        <v>-4.92</v>
      </c>
      <c r="I79" s="831"/>
      <c r="J79" s="7"/>
      <c r="K79" s="7"/>
      <c r="L79" s="825"/>
      <c r="M79" s="11" t="s">
        <v>176</v>
      </c>
      <c r="V79" s="808"/>
    </row>
    <row r="80" spans="1:22">
      <c r="A80" s="82" t="s">
        <v>177</v>
      </c>
      <c r="B80" s="809">
        <v>-4.9000000000000004</v>
      </c>
      <c r="C80" s="71"/>
      <c r="D80" s="12">
        <v>0.21748916450754371</v>
      </c>
      <c r="E80" s="10">
        <v>5</v>
      </c>
      <c r="F80" s="10">
        <v>92.333333333333329</v>
      </c>
      <c r="G80" s="6">
        <v>4.21</v>
      </c>
      <c r="H80" s="14">
        <f t="shared" si="0"/>
        <v>-4.3833333333333329</v>
      </c>
      <c r="I80" s="831"/>
      <c r="J80" s="7"/>
      <c r="K80" s="7"/>
      <c r="L80" s="825"/>
      <c r="M80" s="11" t="s">
        <v>178</v>
      </c>
      <c r="V80" s="808"/>
    </row>
    <row r="81" spans="1:22">
      <c r="A81" s="81" t="s">
        <v>179</v>
      </c>
      <c r="B81" s="809">
        <v>-3.93</v>
      </c>
      <c r="C81" s="71"/>
      <c r="D81" s="12">
        <v>0.20531013145176411</v>
      </c>
      <c r="E81" s="10">
        <v>8</v>
      </c>
      <c r="F81" s="10">
        <v>256</v>
      </c>
      <c r="G81" s="6">
        <v>2.71</v>
      </c>
      <c r="H81" s="14">
        <f t="shared" si="0"/>
        <v>-4.5199999999999996</v>
      </c>
      <c r="I81" s="831"/>
      <c r="J81" s="7"/>
      <c r="K81" s="7"/>
      <c r="L81" s="825"/>
      <c r="M81" s="11" t="s">
        <v>180</v>
      </c>
      <c r="V81" s="808"/>
    </row>
    <row r="82" spans="1:22">
      <c r="A82" s="81" t="s">
        <v>181</v>
      </c>
      <c r="B82" s="809">
        <v>-3.38</v>
      </c>
      <c r="C82" s="71"/>
      <c r="D82" s="12">
        <v>0.21176785142223761</v>
      </c>
      <c r="E82" s="10">
        <v>3</v>
      </c>
      <c r="F82" s="10">
        <v>80</v>
      </c>
      <c r="G82" s="6">
        <v>3.37</v>
      </c>
      <c r="H82" s="14">
        <f t="shared" si="0"/>
        <v>-3.42</v>
      </c>
      <c r="I82" s="831"/>
      <c r="J82" s="7"/>
      <c r="K82" s="7"/>
      <c r="L82" s="825"/>
      <c r="M82" s="11" t="s">
        <v>182</v>
      </c>
      <c r="V82" s="808"/>
    </row>
    <row r="83" spans="1:22">
      <c r="A83" s="81" t="s">
        <v>183</v>
      </c>
      <c r="B83" s="809">
        <v>-3.53</v>
      </c>
      <c r="C83" s="71"/>
      <c r="D83" s="12">
        <v>0.16217657762412213</v>
      </c>
      <c r="E83" s="10">
        <v>17</v>
      </c>
      <c r="F83" s="10">
        <v>153</v>
      </c>
      <c r="G83" s="6">
        <v>3.04</v>
      </c>
      <c r="H83" s="14">
        <f t="shared" si="0"/>
        <v>-3.8200000000000003</v>
      </c>
      <c r="I83" s="831"/>
      <c r="J83" s="7"/>
      <c r="K83" s="7"/>
      <c r="L83" s="825"/>
      <c r="M83" s="11" t="s">
        <v>184</v>
      </c>
      <c r="V83" s="808"/>
    </row>
    <row r="84" spans="1:22">
      <c r="A84" s="82" t="s">
        <v>185</v>
      </c>
      <c r="B84" s="809">
        <v>-5.1100000000000003</v>
      </c>
      <c r="C84" s="71"/>
      <c r="D84" s="12">
        <v>0.20448827496623867</v>
      </c>
      <c r="E84" s="10">
        <v>3</v>
      </c>
      <c r="F84" s="10">
        <v>349.84</v>
      </c>
      <c r="G84" s="6">
        <v>4.75</v>
      </c>
      <c r="H84" s="14">
        <f t="shared" si="0"/>
        <v>-7.4984000000000002</v>
      </c>
      <c r="I84" s="831"/>
      <c r="J84" s="7"/>
      <c r="K84" s="7"/>
      <c r="L84" s="825"/>
      <c r="M84" s="11" t="s">
        <v>186</v>
      </c>
      <c r="V84" s="808"/>
    </row>
    <row r="85" spans="1:22">
      <c r="A85" s="82" t="s">
        <v>187</v>
      </c>
      <c r="B85" s="809">
        <v>-3.68</v>
      </c>
      <c r="C85" s="71"/>
      <c r="D85" s="12">
        <v>0.14358294446577732</v>
      </c>
      <c r="E85" s="10">
        <v>6</v>
      </c>
      <c r="F85" s="10">
        <v>248</v>
      </c>
      <c r="G85" s="6">
        <v>2.65</v>
      </c>
      <c r="H85" s="14">
        <f t="shared" si="0"/>
        <v>-4.38</v>
      </c>
      <c r="I85" s="831"/>
      <c r="J85" s="7"/>
      <c r="K85" s="7"/>
      <c r="L85" s="825"/>
      <c r="M85" s="11" t="s">
        <v>188</v>
      </c>
      <c r="V85" s="808"/>
    </row>
    <row r="86" spans="1:22">
      <c r="A86" s="82" t="s">
        <v>189</v>
      </c>
      <c r="B86" s="809">
        <v>-3.56</v>
      </c>
      <c r="C86" s="71"/>
      <c r="D86" s="12">
        <v>0.15384096988991314</v>
      </c>
      <c r="E86" s="10">
        <v>11</v>
      </c>
      <c r="F86" s="10">
        <v>173</v>
      </c>
      <c r="G86" s="6">
        <v>2.1800000000000002</v>
      </c>
      <c r="H86" s="14">
        <f t="shared" si="0"/>
        <v>-3.16</v>
      </c>
      <c r="I86" s="831"/>
      <c r="J86" s="7"/>
      <c r="K86" s="7"/>
      <c r="L86" s="825"/>
      <c r="M86" s="11" t="s">
        <v>190</v>
      </c>
      <c r="V86" s="808"/>
    </row>
    <row r="87" spans="1:22">
      <c r="A87" s="82" t="s">
        <v>191</v>
      </c>
      <c r="B87" s="809">
        <v>-3.7</v>
      </c>
      <c r="C87" s="71"/>
      <c r="D87" s="12">
        <v>0.14176528631434945</v>
      </c>
      <c r="E87" s="10">
        <v>5</v>
      </c>
      <c r="F87" s="10">
        <v>143.75</v>
      </c>
      <c r="G87" s="6">
        <v>2.76</v>
      </c>
      <c r="H87" s="14">
        <f t="shared" ref="H87:H122" si="1">0.5-G87-0.01*(F87-25)</f>
        <v>-3.4474999999999998</v>
      </c>
      <c r="I87" s="831"/>
      <c r="J87" s="7"/>
      <c r="K87" s="7"/>
      <c r="L87" s="825"/>
      <c r="M87" s="11" t="s">
        <v>192</v>
      </c>
      <c r="V87" s="808"/>
    </row>
    <row r="88" spans="1:22">
      <c r="A88" s="82" t="s">
        <v>193</v>
      </c>
      <c r="B88" s="809">
        <v>-3.28</v>
      </c>
      <c r="C88" s="71"/>
      <c r="D88" s="12">
        <v>0.16213928191469343</v>
      </c>
      <c r="E88" s="10">
        <v>19</v>
      </c>
      <c r="F88" s="10">
        <v>220.5</v>
      </c>
      <c r="G88" s="6">
        <v>1.27</v>
      </c>
      <c r="H88" s="14">
        <f t="shared" si="1"/>
        <v>-2.7250000000000001</v>
      </c>
      <c r="I88" s="831"/>
      <c r="J88" s="7"/>
      <c r="K88" s="7"/>
      <c r="L88" s="825"/>
      <c r="M88" s="11" t="s">
        <v>194</v>
      </c>
      <c r="V88" s="808"/>
    </row>
    <row r="89" spans="1:22">
      <c r="A89" s="82" t="s">
        <v>195</v>
      </c>
      <c r="B89" s="809">
        <v>-4.21</v>
      </c>
      <c r="C89" s="71"/>
      <c r="D89" s="12">
        <v>0.16127920198135692</v>
      </c>
      <c r="E89" s="10">
        <v>5</v>
      </c>
      <c r="F89" s="10">
        <v>214</v>
      </c>
      <c r="G89" s="6">
        <v>3.83</v>
      </c>
      <c r="H89" s="14">
        <f t="shared" si="1"/>
        <v>-5.2200000000000006</v>
      </c>
      <c r="I89" s="831"/>
      <c r="J89" s="7"/>
      <c r="K89" s="7"/>
      <c r="L89" s="825"/>
      <c r="M89" s="11" t="s">
        <v>196</v>
      </c>
      <c r="V89" s="808"/>
    </row>
    <row r="90" spans="1:22">
      <c r="A90" s="83" t="s">
        <v>197</v>
      </c>
      <c r="B90" s="809">
        <v>-4.18</v>
      </c>
      <c r="C90" s="71"/>
      <c r="D90" s="12">
        <v>0.13869006117838048</v>
      </c>
      <c r="E90" s="10">
        <v>3</v>
      </c>
      <c r="F90" s="10">
        <v>176</v>
      </c>
      <c r="G90" s="6">
        <v>2.88</v>
      </c>
      <c r="H90" s="14">
        <f t="shared" si="1"/>
        <v>-3.8899999999999997</v>
      </c>
      <c r="I90" s="831"/>
      <c r="J90" s="7"/>
      <c r="K90" s="7"/>
      <c r="L90" s="825"/>
      <c r="M90" s="11" t="s">
        <v>198</v>
      </c>
      <c r="V90" s="808"/>
    </row>
    <row r="91" spans="1:22">
      <c r="A91" s="85" t="s">
        <v>199</v>
      </c>
      <c r="B91" s="820">
        <v>-3.14</v>
      </c>
      <c r="C91" s="72"/>
      <c r="D91" s="4">
        <v>0.1259834086188602</v>
      </c>
      <c r="E91" s="2">
        <v>14</v>
      </c>
      <c r="F91" s="10">
        <v>253.5</v>
      </c>
      <c r="G91" s="6">
        <v>1.54</v>
      </c>
      <c r="H91" s="14">
        <f t="shared" si="1"/>
        <v>-3.3250000000000002</v>
      </c>
      <c r="I91" s="831"/>
      <c r="J91" s="7"/>
      <c r="K91" s="7"/>
      <c r="L91" s="825"/>
      <c r="M91" s="11" t="s">
        <v>200</v>
      </c>
      <c r="V91" s="808"/>
    </row>
    <row r="92" spans="1:22">
      <c r="A92" s="82" t="s">
        <v>201</v>
      </c>
      <c r="B92" s="809">
        <v>-3.8</v>
      </c>
      <c r="C92" s="71"/>
      <c r="D92" s="12">
        <v>0.16504944177542516</v>
      </c>
      <c r="E92" s="10">
        <v>5</v>
      </c>
      <c r="F92" s="10">
        <v>205.50000000000003</v>
      </c>
      <c r="G92" s="6">
        <v>2.4500000000000002</v>
      </c>
      <c r="H92" s="14">
        <f t="shared" si="1"/>
        <v>-3.7550000000000008</v>
      </c>
      <c r="I92" s="831"/>
      <c r="J92" s="7"/>
      <c r="K92" s="7"/>
      <c r="L92" s="825"/>
      <c r="M92" s="11" t="s">
        <v>202</v>
      </c>
      <c r="V92" s="808"/>
    </row>
    <row r="93" spans="1:22">
      <c r="A93" s="83" t="s">
        <v>203</v>
      </c>
      <c r="B93" s="809">
        <v>-3.41</v>
      </c>
      <c r="C93" s="71"/>
      <c r="D93" s="12">
        <v>0.19426266518058349</v>
      </c>
      <c r="E93" s="10">
        <v>3</v>
      </c>
      <c r="F93" s="10">
        <v>96</v>
      </c>
      <c r="G93" s="6">
        <v>3.49</v>
      </c>
      <c r="H93" s="14">
        <f t="shared" si="1"/>
        <v>-3.7</v>
      </c>
      <c r="I93" s="831"/>
      <c r="J93" s="7"/>
      <c r="K93" s="7"/>
      <c r="L93" s="825"/>
      <c r="M93" s="11" t="s">
        <v>204</v>
      </c>
      <c r="V93" s="808"/>
    </row>
    <row r="94" spans="1:22">
      <c r="A94" s="82" t="s">
        <v>205</v>
      </c>
      <c r="B94" s="809">
        <v>-4.32</v>
      </c>
      <c r="C94" s="71"/>
      <c r="D94" s="12">
        <v>0.18894337149737056</v>
      </c>
      <c r="E94" s="10">
        <v>12</v>
      </c>
      <c r="F94" s="10">
        <v>147.25</v>
      </c>
      <c r="G94" s="6">
        <v>3.86</v>
      </c>
      <c r="H94" s="14">
        <f t="shared" si="1"/>
        <v>-4.5824999999999996</v>
      </c>
      <c r="I94" s="831"/>
      <c r="J94" s="7"/>
      <c r="K94" s="7"/>
      <c r="L94" s="825"/>
      <c r="M94" s="11" t="s">
        <v>206</v>
      </c>
      <c r="V94" s="808"/>
    </row>
    <row r="95" spans="1:22">
      <c r="A95" s="82" t="s">
        <v>207</v>
      </c>
      <c r="B95" s="809">
        <v>-4.8</v>
      </c>
      <c r="C95" s="71"/>
      <c r="D95" s="12">
        <v>0.17391407185160324</v>
      </c>
      <c r="E95" s="10">
        <v>6</v>
      </c>
      <c r="F95" s="10">
        <v>97</v>
      </c>
      <c r="G95" s="6">
        <v>3.94</v>
      </c>
      <c r="H95" s="14">
        <f t="shared" si="1"/>
        <v>-4.16</v>
      </c>
      <c r="I95" s="831"/>
      <c r="J95" s="7"/>
      <c r="K95" s="7"/>
      <c r="L95" s="825"/>
      <c r="M95" s="11" t="s">
        <v>208</v>
      </c>
      <c r="V95" s="808"/>
    </row>
    <row r="96" spans="1:22">
      <c r="A96" s="81" t="s">
        <v>209</v>
      </c>
      <c r="B96" s="809">
        <v>-2.02</v>
      </c>
      <c r="C96" s="71"/>
      <c r="D96" s="12">
        <v>0.13764369691033657</v>
      </c>
      <c r="E96" s="10">
        <v>10</v>
      </c>
      <c r="F96" s="10">
        <v>134.5</v>
      </c>
      <c r="G96" s="6">
        <v>2.04</v>
      </c>
      <c r="H96" s="14">
        <f t="shared" si="1"/>
        <v>-2.6349999999999998</v>
      </c>
      <c r="I96" s="831"/>
      <c r="J96" s="7"/>
      <c r="K96" s="7"/>
      <c r="L96" s="825"/>
      <c r="M96" s="11" t="s">
        <v>210</v>
      </c>
      <c r="V96" s="808"/>
    </row>
    <row r="97" spans="1:22">
      <c r="A97" s="82" t="s">
        <v>211</v>
      </c>
      <c r="B97" s="809">
        <v>-3.08</v>
      </c>
      <c r="C97" s="71"/>
      <c r="D97" s="12">
        <v>0.16245746888591447</v>
      </c>
      <c r="E97" s="10">
        <v>7</v>
      </c>
      <c r="F97" s="10">
        <v>139</v>
      </c>
      <c r="G97" s="6">
        <v>2.66</v>
      </c>
      <c r="H97" s="14">
        <f t="shared" si="1"/>
        <v>-3.3000000000000003</v>
      </c>
      <c r="I97" s="831"/>
      <c r="J97" s="7"/>
      <c r="K97" s="7"/>
      <c r="L97" s="825"/>
      <c r="M97" s="11" t="s">
        <v>212</v>
      </c>
      <c r="V97" s="808"/>
    </row>
    <row r="98" spans="1:22">
      <c r="A98" s="82" t="s">
        <v>213</v>
      </c>
      <c r="B98" s="809">
        <v>-2.81</v>
      </c>
      <c r="C98" s="71"/>
      <c r="D98" s="12">
        <v>0.15322122505052199</v>
      </c>
      <c r="E98" s="10">
        <v>9</v>
      </c>
      <c r="F98" s="10">
        <v>170</v>
      </c>
      <c r="G98" s="6">
        <v>1.91</v>
      </c>
      <c r="H98" s="14">
        <f t="shared" si="1"/>
        <v>-2.86</v>
      </c>
      <c r="I98" s="831"/>
      <c r="J98" s="7"/>
      <c r="K98" s="7"/>
      <c r="L98" s="825"/>
      <c r="M98" s="11" t="s">
        <v>214</v>
      </c>
      <c r="V98" s="808"/>
    </row>
    <row r="99" spans="1:22">
      <c r="A99" s="81" t="s">
        <v>215</v>
      </c>
      <c r="B99" s="809">
        <v>-3.42</v>
      </c>
      <c r="C99" s="71"/>
      <c r="D99" s="12">
        <v>0.15273607916541068</v>
      </c>
      <c r="E99" s="10">
        <v>10</v>
      </c>
      <c r="F99" s="10">
        <v>326</v>
      </c>
      <c r="G99" s="6">
        <v>2.44</v>
      </c>
      <c r="H99" s="14">
        <f t="shared" si="1"/>
        <v>-4.95</v>
      </c>
      <c r="I99" s="831"/>
      <c r="J99" s="7"/>
      <c r="K99" s="7"/>
      <c r="L99" s="825"/>
      <c r="M99" s="11" t="s">
        <v>216</v>
      </c>
      <c r="V99" s="808"/>
    </row>
    <row r="100" spans="1:22">
      <c r="A100" s="82" t="s">
        <v>217</v>
      </c>
      <c r="B100" s="809">
        <v>-3.2</v>
      </c>
      <c r="C100" s="71"/>
      <c r="D100" s="12">
        <v>0.18404701512102448</v>
      </c>
      <c r="E100" s="10">
        <v>5</v>
      </c>
      <c r="F100" s="10">
        <v>232.50000000000003</v>
      </c>
      <c r="G100" s="6">
        <v>1.8</v>
      </c>
      <c r="H100" s="14">
        <f t="shared" si="1"/>
        <v>-3.375</v>
      </c>
      <c r="I100" s="831"/>
      <c r="J100" s="7"/>
      <c r="K100" s="7"/>
      <c r="L100" s="825"/>
      <c r="M100" s="11" t="s">
        <v>218</v>
      </c>
      <c r="V100" s="808"/>
    </row>
    <row r="101" spans="1:22">
      <c r="A101" s="82" t="s">
        <v>219</v>
      </c>
      <c r="B101" s="809">
        <v>-2.81</v>
      </c>
      <c r="C101" s="71"/>
      <c r="D101" s="12">
        <v>0.13604063752604376</v>
      </c>
      <c r="E101" s="10">
        <v>4</v>
      </c>
      <c r="F101" s="10">
        <v>281.5</v>
      </c>
      <c r="G101" s="6">
        <v>0.54</v>
      </c>
      <c r="H101" s="14">
        <f t="shared" si="1"/>
        <v>-2.605</v>
      </c>
      <c r="I101" s="831"/>
      <c r="J101" s="7"/>
      <c r="K101" s="7"/>
      <c r="L101" s="825"/>
      <c r="M101" s="11" t="s">
        <v>220</v>
      </c>
      <c r="V101" s="808"/>
    </row>
    <row r="102" spans="1:22">
      <c r="A102" s="82" t="s">
        <v>221</v>
      </c>
      <c r="B102" s="809">
        <v>-2.86</v>
      </c>
      <c r="C102" s="71"/>
      <c r="D102" s="12">
        <v>0.19798964803022484</v>
      </c>
      <c r="E102" s="10">
        <v>4</v>
      </c>
      <c r="F102" s="10">
        <v>197.1</v>
      </c>
      <c r="G102" s="6">
        <v>2.2000000000000002</v>
      </c>
      <c r="H102" s="14">
        <f t="shared" si="1"/>
        <v>-3.4210000000000003</v>
      </c>
      <c r="I102" s="831"/>
      <c r="J102" s="7"/>
      <c r="K102" s="7"/>
      <c r="L102" s="825"/>
      <c r="M102" s="11" t="s">
        <v>222</v>
      </c>
      <c r="V102" s="808"/>
    </row>
    <row r="103" spans="1:22">
      <c r="A103" s="83" t="s">
        <v>223</v>
      </c>
      <c r="B103" s="809">
        <v>-4.7699999999999996</v>
      </c>
      <c r="C103" s="71"/>
      <c r="D103" s="12">
        <v>0.13486720020739137</v>
      </c>
      <c r="E103" s="10">
        <v>4</v>
      </c>
      <c r="F103" s="10">
        <v>33</v>
      </c>
      <c r="G103" s="6">
        <v>4.24</v>
      </c>
      <c r="H103" s="14">
        <f t="shared" si="1"/>
        <v>-3.8200000000000003</v>
      </c>
      <c r="I103" s="831"/>
      <c r="J103" s="7"/>
      <c r="K103" s="7"/>
      <c r="L103" s="825"/>
      <c r="M103" s="11" t="s">
        <v>224</v>
      </c>
      <c r="V103" s="808"/>
    </row>
    <row r="104" spans="1:22">
      <c r="A104" s="82" t="s">
        <v>225</v>
      </c>
      <c r="B104" s="809">
        <v>-4.9400000000000004</v>
      </c>
      <c r="C104" s="71"/>
      <c r="D104" s="12">
        <v>0.18801274760604275</v>
      </c>
      <c r="E104" s="10">
        <v>11</v>
      </c>
      <c r="F104" s="10">
        <v>60</v>
      </c>
      <c r="G104" s="6">
        <v>4.24</v>
      </c>
      <c r="H104" s="14">
        <f t="shared" si="1"/>
        <v>-4.09</v>
      </c>
      <c r="I104" s="831"/>
      <c r="J104" s="7"/>
      <c r="K104" s="7"/>
      <c r="L104" s="825"/>
      <c r="M104" s="11" t="s">
        <v>226</v>
      </c>
      <c r="V104" s="808"/>
    </row>
    <row r="105" spans="1:22">
      <c r="A105" s="82" t="s">
        <v>227</v>
      </c>
      <c r="B105" s="809">
        <v>-4.67</v>
      </c>
      <c r="C105" s="71"/>
      <c r="D105" s="12">
        <v>0.1664014074224209</v>
      </c>
      <c r="E105" s="10">
        <v>4</v>
      </c>
      <c r="F105" s="10">
        <v>130.5</v>
      </c>
      <c r="G105" s="6">
        <v>5.22</v>
      </c>
      <c r="H105" s="14">
        <f t="shared" si="1"/>
        <v>-5.7749999999999995</v>
      </c>
      <c r="I105" s="831"/>
      <c r="J105" s="7"/>
      <c r="K105" s="7"/>
      <c r="L105" s="825"/>
      <c r="M105" s="11" t="s">
        <v>228</v>
      </c>
      <c r="V105" s="808"/>
    </row>
    <row r="106" spans="1:22">
      <c r="A106" s="83" t="s">
        <v>103</v>
      </c>
      <c r="B106" s="809">
        <v>-3.39</v>
      </c>
      <c r="C106" s="71"/>
      <c r="D106" s="12">
        <v>0.17506472136100007</v>
      </c>
      <c r="E106" s="10">
        <v>7</v>
      </c>
      <c r="F106" s="10">
        <v>254</v>
      </c>
      <c r="G106" s="6">
        <v>2.97</v>
      </c>
      <c r="H106" s="14">
        <f t="shared" si="1"/>
        <v>-4.76</v>
      </c>
      <c r="I106" s="831"/>
      <c r="J106" s="7"/>
      <c r="K106" s="7"/>
      <c r="L106" s="825"/>
      <c r="M106" s="11" t="s">
        <v>229</v>
      </c>
      <c r="V106" s="808"/>
    </row>
    <row r="107" spans="1:22">
      <c r="A107" s="83" t="s">
        <v>230</v>
      </c>
      <c r="B107" s="809">
        <v>-5.46</v>
      </c>
      <c r="C107" s="71"/>
      <c r="D107" s="12">
        <v>0.1605416460069265</v>
      </c>
      <c r="E107" s="10">
        <v>5</v>
      </c>
      <c r="F107" s="10">
        <v>121</v>
      </c>
      <c r="G107" s="6">
        <v>5.91</v>
      </c>
      <c r="H107" s="14">
        <f t="shared" si="1"/>
        <v>-6.37</v>
      </c>
      <c r="I107" s="831"/>
      <c r="J107" s="7"/>
      <c r="K107" s="7"/>
      <c r="L107" s="825"/>
      <c r="M107" s="11" t="s">
        <v>231</v>
      </c>
      <c r="V107" s="808"/>
    </row>
    <row r="108" spans="1:22">
      <c r="A108" s="82" t="s">
        <v>232</v>
      </c>
      <c r="B108" s="809">
        <v>-4.18</v>
      </c>
      <c r="C108" s="71"/>
      <c r="D108" s="12">
        <v>0.15756984748208766</v>
      </c>
      <c r="E108" s="10">
        <v>5</v>
      </c>
      <c r="F108" s="10">
        <v>206.99999999999997</v>
      </c>
      <c r="G108" s="6">
        <v>2.56</v>
      </c>
      <c r="H108" s="14">
        <f t="shared" si="1"/>
        <v>-3.88</v>
      </c>
      <c r="I108" s="831"/>
      <c r="J108" s="7"/>
      <c r="K108" s="7"/>
      <c r="L108" s="825"/>
      <c r="M108" s="11" t="s">
        <v>233</v>
      </c>
      <c r="V108" s="808"/>
    </row>
    <row r="109" spans="1:22">
      <c r="A109" s="81" t="s">
        <v>234</v>
      </c>
      <c r="B109" s="809">
        <v>-3.98</v>
      </c>
      <c r="C109" s="71"/>
      <c r="D109" s="12">
        <v>0.16160362353179636</v>
      </c>
      <c r="E109" s="10">
        <v>6</v>
      </c>
      <c r="F109" s="10">
        <v>134.5</v>
      </c>
      <c r="G109" s="6">
        <v>4.8499999999999996</v>
      </c>
      <c r="H109" s="14">
        <f t="shared" si="1"/>
        <v>-5.4449999999999994</v>
      </c>
      <c r="I109" s="831"/>
      <c r="J109" s="7"/>
      <c r="K109" s="7"/>
      <c r="L109" s="825"/>
      <c r="M109" s="11" t="s">
        <v>235</v>
      </c>
      <c r="V109" s="808"/>
    </row>
    <row r="110" spans="1:22">
      <c r="A110" s="81" t="s">
        <v>236</v>
      </c>
      <c r="B110" s="809">
        <v>-3.67</v>
      </c>
      <c r="C110" s="71"/>
      <c r="D110" s="12">
        <v>0.18685765827673947</v>
      </c>
      <c r="E110" s="10">
        <v>6</v>
      </c>
      <c r="F110" s="10">
        <v>275</v>
      </c>
      <c r="G110" s="6">
        <v>2.09</v>
      </c>
      <c r="H110" s="14">
        <f t="shared" si="1"/>
        <v>-4.09</v>
      </c>
      <c r="I110" s="831"/>
      <c r="J110" s="7"/>
      <c r="K110" s="7"/>
      <c r="L110" s="825"/>
      <c r="M110" s="11" t="s">
        <v>237</v>
      </c>
      <c r="V110" s="808"/>
    </row>
    <row r="111" spans="1:22">
      <c r="A111" s="82" t="s">
        <v>238</v>
      </c>
      <c r="B111" s="809">
        <v>-4.41</v>
      </c>
      <c r="C111" s="71"/>
      <c r="D111" s="12">
        <v>0.13950112944748669</v>
      </c>
      <c r="E111" s="10">
        <v>9</v>
      </c>
      <c r="F111" s="10">
        <v>220.00000000000003</v>
      </c>
      <c r="G111" s="6">
        <v>1.8</v>
      </c>
      <c r="H111" s="14">
        <f t="shared" si="1"/>
        <v>-3.2500000000000004</v>
      </c>
      <c r="I111" s="831"/>
      <c r="J111" s="7"/>
      <c r="K111" s="7"/>
      <c r="L111" s="825"/>
      <c r="M111" s="11" t="s">
        <v>239</v>
      </c>
      <c r="V111" s="808"/>
    </row>
    <row r="112" spans="1:22">
      <c r="A112" s="85" t="s">
        <v>240</v>
      </c>
      <c r="B112" s="820">
        <v>-3.06</v>
      </c>
      <c r="C112" s="72"/>
      <c r="D112" s="4">
        <v>0.22014005046870977</v>
      </c>
      <c r="E112" s="2">
        <v>9</v>
      </c>
      <c r="F112" s="10">
        <v>202</v>
      </c>
      <c r="G112" s="6">
        <v>1.53</v>
      </c>
      <c r="H112" s="14">
        <f t="shared" si="1"/>
        <v>-2.8</v>
      </c>
      <c r="I112" s="831"/>
      <c r="J112" s="7"/>
      <c r="K112" s="7"/>
      <c r="L112" s="825"/>
      <c r="M112" s="11" t="s">
        <v>241</v>
      </c>
      <c r="V112" s="808"/>
    </row>
    <row r="113" spans="1:28">
      <c r="A113" s="82" t="s">
        <v>242</v>
      </c>
      <c r="B113" s="809">
        <v>-2.94</v>
      </c>
      <c r="C113" s="71"/>
      <c r="D113" s="12">
        <v>0.14014083879485537</v>
      </c>
      <c r="E113" s="10">
        <v>3</v>
      </c>
      <c r="F113" s="10">
        <v>243.00000000000003</v>
      </c>
      <c r="G113" s="6">
        <v>1.48</v>
      </c>
      <c r="H113" s="14">
        <f t="shared" si="1"/>
        <v>-3.16</v>
      </c>
      <c r="I113" s="831"/>
      <c r="J113" s="7"/>
      <c r="K113" s="7"/>
      <c r="L113" s="825"/>
      <c r="M113" s="11" t="s">
        <v>243</v>
      </c>
      <c r="V113" s="808"/>
    </row>
    <row r="114" spans="1:28">
      <c r="A114" s="83" t="s">
        <v>244</v>
      </c>
      <c r="B114" s="809">
        <v>-3.04</v>
      </c>
      <c r="C114" s="71"/>
      <c r="D114" s="12">
        <v>0.13726989684757951</v>
      </c>
      <c r="E114" s="10">
        <v>3</v>
      </c>
      <c r="F114" s="10">
        <v>191</v>
      </c>
      <c r="G114" s="6">
        <v>1.67</v>
      </c>
      <c r="H114" s="14">
        <f t="shared" si="1"/>
        <v>-2.83</v>
      </c>
      <c r="I114" s="831"/>
      <c r="J114" s="7"/>
      <c r="K114" s="7"/>
      <c r="L114" s="825"/>
      <c r="M114" s="11" t="s">
        <v>245</v>
      </c>
      <c r="V114" s="808"/>
    </row>
    <row r="115" spans="1:28">
      <c r="A115" s="82" t="s">
        <v>246</v>
      </c>
      <c r="B115" s="809">
        <v>-4.5999999999999996</v>
      </c>
      <c r="C115" s="71"/>
      <c r="D115" s="12">
        <v>0.21357402153711522</v>
      </c>
      <c r="E115" s="10">
        <v>7</v>
      </c>
      <c r="F115" s="10">
        <v>183.5</v>
      </c>
      <c r="G115" s="6">
        <v>4.37</v>
      </c>
      <c r="H115" s="14">
        <f t="shared" si="1"/>
        <v>-5.4550000000000001</v>
      </c>
      <c r="I115" s="831"/>
      <c r="J115" s="7"/>
      <c r="K115" s="7"/>
      <c r="L115" s="825"/>
      <c r="M115" s="11" t="s">
        <v>247</v>
      </c>
      <c r="V115" s="808"/>
    </row>
    <row r="116" spans="1:28">
      <c r="A116" s="82" t="s">
        <v>248</v>
      </c>
      <c r="B116" s="809">
        <v>-2.5299999999999998</v>
      </c>
      <c r="C116" s="71"/>
      <c r="D116" s="12">
        <v>0.10564411177747912</v>
      </c>
      <c r="E116" s="10">
        <v>3</v>
      </c>
      <c r="F116" s="10">
        <v>149</v>
      </c>
      <c r="G116" s="6">
        <v>2.62</v>
      </c>
      <c r="H116" s="14">
        <f t="shared" si="1"/>
        <v>-3.3600000000000003</v>
      </c>
      <c r="I116" s="831"/>
      <c r="J116" s="7"/>
      <c r="K116" s="7"/>
      <c r="L116" s="825"/>
      <c r="M116" s="11" t="s">
        <v>249</v>
      </c>
      <c r="V116" s="808"/>
    </row>
    <row r="117" spans="1:28">
      <c r="A117" s="81" t="s">
        <v>250</v>
      </c>
      <c r="B117" s="809">
        <v>-3.23</v>
      </c>
      <c r="C117" s="71"/>
      <c r="D117" s="12">
        <v>0.14623917640453388</v>
      </c>
      <c r="E117" s="10">
        <v>8</v>
      </c>
      <c r="F117" s="10">
        <v>165</v>
      </c>
      <c r="G117" s="6">
        <v>-0.37</v>
      </c>
      <c r="H117" s="14">
        <f t="shared" si="1"/>
        <v>-0.53000000000000014</v>
      </c>
      <c r="I117" s="831"/>
      <c r="J117" s="7"/>
      <c r="K117" s="7"/>
      <c r="L117" s="825"/>
      <c r="M117" s="11" t="s">
        <v>251</v>
      </c>
      <c r="V117" s="808"/>
    </row>
    <row r="118" spans="1:28">
      <c r="A118" s="82" t="s">
        <v>252</v>
      </c>
      <c r="B118" s="809">
        <v>-2.37</v>
      </c>
      <c r="C118" s="71"/>
      <c r="D118" s="12">
        <v>0.16291639539032501</v>
      </c>
      <c r="E118" s="10">
        <v>10</v>
      </c>
      <c r="F118" s="10">
        <v>225</v>
      </c>
      <c r="G118" s="6">
        <v>0.81</v>
      </c>
      <c r="H118" s="14">
        <f t="shared" si="1"/>
        <v>-2.31</v>
      </c>
      <c r="I118" s="831"/>
      <c r="J118" s="7"/>
      <c r="K118" s="7"/>
      <c r="L118" s="825"/>
      <c r="M118" s="11" t="s">
        <v>253</v>
      </c>
      <c r="V118" s="808"/>
    </row>
    <row r="119" spans="1:28">
      <c r="A119" s="82" t="s">
        <v>254</v>
      </c>
      <c r="B119" s="809">
        <v>-3.08</v>
      </c>
      <c r="C119" s="71"/>
      <c r="D119" s="12">
        <v>0.21166647357477791</v>
      </c>
      <c r="E119" s="10">
        <v>5</v>
      </c>
      <c r="F119" s="10">
        <v>270</v>
      </c>
      <c r="G119" s="6">
        <v>0.62</v>
      </c>
      <c r="H119" s="14">
        <f t="shared" si="1"/>
        <v>-2.5700000000000003</v>
      </c>
      <c r="I119" s="831"/>
      <c r="J119" s="7"/>
      <c r="K119" s="7"/>
      <c r="L119" s="825"/>
      <c r="M119" s="11" t="s">
        <v>255</v>
      </c>
      <c r="V119" s="808"/>
    </row>
    <row r="120" spans="1:28">
      <c r="A120" s="81" t="s">
        <v>256</v>
      </c>
      <c r="B120" s="809">
        <v>-3.24</v>
      </c>
      <c r="C120" s="71"/>
      <c r="D120" s="12">
        <v>0.14175650298978676</v>
      </c>
      <c r="E120" s="10">
        <v>9</v>
      </c>
      <c r="F120" s="10">
        <v>312.66666666666669</v>
      </c>
      <c r="G120" s="6">
        <v>0.83</v>
      </c>
      <c r="H120" s="14">
        <f t="shared" si="1"/>
        <v>-3.206666666666667</v>
      </c>
      <c r="I120" s="831"/>
      <c r="J120" s="7"/>
      <c r="K120" s="7"/>
      <c r="L120" s="825"/>
      <c r="M120" s="11" t="s">
        <v>257</v>
      </c>
      <c r="V120" s="808"/>
    </row>
    <row r="121" spans="1:28">
      <c r="A121" s="82" t="s">
        <v>258</v>
      </c>
      <c r="B121" s="809">
        <v>-3.94</v>
      </c>
      <c r="C121" s="71"/>
      <c r="D121" s="12">
        <v>0.2034688635346244</v>
      </c>
      <c r="E121" s="10">
        <v>11</v>
      </c>
      <c r="F121" s="10">
        <v>161</v>
      </c>
      <c r="G121" s="6">
        <v>3.61</v>
      </c>
      <c r="H121" s="14">
        <f t="shared" si="1"/>
        <v>-4.47</v>
      </c>
      <c r="I121" s="831"/>
      <c r="J121" s="7"/>
      <c r="K121" s="7"/>
      <c r="L121" s="825"/>
      <c r="M121" s="11" t="s">
        <v>259</v>
      </c>
      <c r="V121" s="808"/>
    </row>
    <row r="122" spans="1:28">
      <c r="A122" s="81" t="s">
        <v>109</v>
      </c>
      <c r="B122" s="809">
        <v>-2.9</v>
      </c>
      <c r="C122" s="71"/>
      <c r="D122" s="12">
        <v>0.20579636821699754</v>
      </c>
      <c r="E122" s="10">
        <v>3</v>
      </c>
      <c r="F122" s="10">
        <v>300</v>
      </c>
      <c r="G122" s="6">
        <v>-1.06</v>
      </c>
      <c r="H122" s="14">
        <f t="shared" si="1"/>
        <v>-1.19</v>
      </c>
      <c r="I122" s="839"/>
      <c r="J122" s="832"/>
      <c r="K122" s="832"/>
      <c r="L122" s="833"/>
      <c r="M122" s="11" t="s">
        <v>260</v>
      </c>
      <c r="V122" s="808"/>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798" t="s">
        <v>18</v>
      </c>
      <c r="B128" s="799" t="s">
        <v>267</v>
      </c>
      <c r="C128" s="799" t="s">
        <v>20</v>
      </c>
      <c r="D128" s="799" t="s">
        <v>21</v>
      </c>
      <c r="E128" s="799" t="s">
        <v>22</v>
      </c>
      <c r="F128" s="799" t="s">
        <v>23</v>
      </c>
      <c r="G128" s="799" t="s">
        <v>24</v>
      </c>
      <c r="H128" s="799" t="s">
        <v>25</v>
      </c>
      <c r="I128" s="800"/>
      <c r="J128" s="801" t="s">
        <v>27</v>
      </c>
      <c r="K128" s="801"/>
      <c r="L128" s="801"/>
      <c r="M128" s="802" t="s">
        <v>28</v>
      </c>
      <c r="N128" s="803"/>
      <c r="O128" s="803"/>
      <c r="P128" s="803"/>
      <c r="Q128" s="803"/>
      <c r="R128" s="803"/>
      <c r="S128" s="803"/>
      <c r="T128" s="803"/>
      <c r="U128" s="803"/>
      <c r="V128" s="804"/>
      <c r="W128" s="46"/>
      <c r="X128" s="46"/>
      <c r="Y128" s="46"/>
      <c r="Z128" s="46"/>
      <c r="AA128" s="46"/>
      <c r="AB128" s="46"/>
    </row>
    <row r="129" spans="1:22">
      <c r="A129" s="82" t="s">
        <v>268</v>
      </c>
      <c r="B129" s="805">
        <v>-2.54</v>
      </c>
      <c r="C129" s="73" t="s">
        <v>30</v>
      </c>
      <c r="D129" s="12">
        <v>0.50033555401430185</v>
      </c>
      <c r="E129" s="10">
        <v>3</v>
      </c>
      <c r="F129" s="10">
        <v>180</v>
      </c>
      <c r="G129" s="1">
        <v>1.91</v>
      </c>
      <c r="H129" s="14">
        <f t="shared" ref="H129:H160" si="2">0.5-G129-0.01*(F129-25)</f>
        <v>-2.96</v>
      </c>
      <c r="I129" s="806" t="s">
        <v>31</v>
      </c>
      <c r="J129" s="807"/>
      <c r="K129" s="14"/>
      <c r="L129" s="14"/>
      <c r="M129" s="3" t="s">
        <v>269</v>
      </c>
      <c r="V129" s="808"/>
    </row>
    <row r="130" spans="1:22">
      <c r="A130" s="82" t="s">
        <v>270</v>
      </c>
      <c r="B130" s="811">
        <v>-5.6</v>
      </c>
      <c r="C130" s="73" t="s">
        <v>36</v>
      </c>
      <c r="D130" s="12">
        <v>0.5</v>
      </c>
      <c r="E130" s="6">
        <v>5</v>
      </c>
      <c r="F130" s="10">
        <v>156</v>
      </c>
      <c r="G130" s="1">
        <v>6.94</v>
      </c>
      <c r="H130" s="14">
        <f t="shared" si="2"/>
        <v>-7.75</v>
      </c>
      <c r="I130" s="806" t="s">
        <v>37</v>
      </c>
      <c r="J130" s="807"/>
      <c r="K130" s="14"/>
      <c r="L130" s="14"/>
      <c r="M130" s="3" t="s">
        <v>271</v>
      </c>
      <c r="V130" s="808"/>
    </row>
    <row r="131" spans="1:22">
      <c r="A131" s="83" t="s">
        <v>272</v>
      </c>
      <c r="B131" s="809">
        <v>-4.9000000000000004</v>
      </c>
      <c r="C131" s="73" t="s">
        <v>41</v>
      </c>
      <c r="D131" s="12">
        <v>0.6530957900260097</v>
      </c>
      <c r="E131" s="10">
        <v>3</v>
      </c>
      <c r="F131" s="10">
        <v>208</v>
      </c>
      <c r="G131" s="1">
        <v>5.18</v>
      </c>
      <c r="H131" s="14">
        <f t="shared" si="2"/>
        <v>-6.51</v>
      </c>
      <c r="I131" s="806" t="s">
        <v>42</v>
      </c>
      <c r="J131" s="807"/>
      <c r="K131" s="14"/>
      <c r="L131" s="14"/>
      <c r="M131" s="3" t="s">
        <v>273</v>
      </c>
      <c r="V131" s="808"/>
    </row>
    <row r="132" spans="1:22">
      <c r="A132" s="82" t="s">
        <v>274</v>
      </c>
      <c r="B132" s="809">
        <v>-2.09</v>
      </c>
      <c r="C132" s="73" t="s">
        <v>46</v>
      </c>
      <c r="D132" s="12">
        <v>0.59285217963150294</v>
      </c>
      <c r="E132" s="10">
        <v>3</v>
      </c>
      <c r="F132" s="10">
        <v>100</v>
      </c>
      <c r="G132" s="1">
        <v>2.37</v>
      </c>
      <c r="H132" s="14">
        <f t="shared" si="2"/>
        <v>-2.62</v>
      </c>
      <c r="I132" s="810" t="s">
        <v>47</v>
      </c>
      <c r="J132" s="811"/>
      <c r="K132" s="14"/>
      <c r="L132" s="14"/>
      <c r="M132" s="3" t="s">
        <v>275</v>
      </c>
      <c r="V132" s="808"/>
    </row>
    <row r="133" spans="1:22">
      <c r="A133" s="82" t="s">
        <v>276</v>
      </c>
      <c r="B133" s="809">
        <v>-4.6500000000000004</v>
      </c>
      <c r="C133" s="73" t="s">
        <v>51</v>
      </c>
      <c r="D133" s="12">
        <v>0.51067901383936642</v>
      </c>
      <c r="E133" s="10">
        <v>5</v>
      </c>
      <c r="F133" s="10">
        <v>217</v>
      </c>
      <c r="G133" s="1">
        <v>3.19</v>
      </c>
      <c r="H133" s="14">
        <f t="shared" si="2"/>
        <v>-4.6099999999999994</v>
      </c>
      <c r="I133" s="810" t="s">
        <v>52</v>
      </c>
      <c r="J133" s="811"/>
      <c r="K133" s="14"/>
      <c r="L133" s="14"/>
      <c r="M133" s="3" t="s">
        <v>277</v>
      </c>
      <c r="V133" s="808"/>
    </row>
    <row r="134" spans="1:22">
      <c r="A134" s="82" t="s">
        <v>278</v>
      </c>
      <c r="B134" s="809">
        <v>-4.29</v>
      </c>
      <c r="C134" s="71"/>
      <c r="D134" s="12">
        <v>0.83065522865171437</v>
      </c>
      <c r="E134" s="10">
        <v>3</v>
      </c>
      <c r="F134" s="10">
        <v>209.50000000000003</v>
      </c>
      <c r="G134" s="1">
        <v>4.41</v>
      </c>
      <c r="H134" s="14">
        <f t="shared" si="2"/>
        <v>-5.7550000000000008</v>
      </c>
      <c r="I134" s="810" t="s">
        <v>56</v>
      </c>
      <c r="J134" s="811"/>
      <c r="K134" s="14"/>
      <c r="L134" s="14"/>
      <c r="M134" s="3" t="s">
        <v>279</v>
      </c>
      <c r="V134" s="808"/>
    </row>
    <row r="135" spans="1:22">
      <c r="A135" s="82" t="s">
        <v>280</v>
      </c>
      <c r="B135" s="809">
        <v>-5.32</v>
      </c>
      <c r="C135" s="71"/>
      <c r="D135" s="12">
        <v>0.51097181417141646</v>
      </c>
      <c r="E135" s="10">
        <v>6</v>
      </c>
      <c r="F135" s="10">
        <v>97.5</v>
      </c>
      <c r="G135" s="1">
        <v>5.19</v>
      </c>
      <c r="H135" s="14">
        <f t="shared" si="2"/>
        <v>-5.415</v>
      </c>
      <c r="I135" s="810" t="s">
        <v>60</v>
      </c>
      <c r="J135" s="812" t="s">
        <v>32</v>
      </c>
      <c r="K135" s="14"/>
      <c r="L135" s="14"/>
      <c r="M135" s="3" t="s">
        <v>281</v>
      </c>
      <c r="V135" s="808"/>
    </row>
    <row r="136" spans="1:22">
      <c r="A136" s="81" t="s">
        <v>282</v>
      </c>
      <c r="B136" s="809">
        <v>-6.61</v>
      </c>
      <c r="C136" s="71"/>
      <c r="D136" s="12">
        <v>0.92735432696895004</v>
      </c>
      <c r="E136" s="10">
        <v>5</v>
      </c>
      <c r="F136" s="10">
        <v>211</v>
      </c>
      <c r="G136" s="1">
        <v>7.49</v>
      </c>
      <c r="H136" s="14">
        <f t="shared" si="2"/>
        <v>-8.85</v>
      </c>
      <c r="I136" s="813" t="s">
        <v>64</v>
      </c>
      <c r="J136" s="840"/>
      <c r="K136" s="815"/>
      <c r="L136" s="816"/>
      <c r="M136" s="3" t="s">
        <v>283</v>
      </c>
      <c r="V136" s="808"/>
    </row>
    <row r="137" spans="1:22">
      <c r="A137" s="82" t="s">
        <v>112</v>
      </c>
      <c r="B137" s="809">
        <v>-3.59</v>
      </c>
      <c r="C137" s="71"/>
      <c r="D137" s="12">
        <v>0.68239272333923895</v>
      </c>
      <c r="E137" s="10">
        <v>3</v>
      </c>
      <c r="F137" s="10">
        <v>177</v>
      </c>
      <c r="G137" s="1">
        <v>3.37</v>
      </c>
      <c r="H137" s="14">
        <f t="shared" si="2"/>
        <v>-4.3900000000000006</v>
      </c>
      <c r="J137" s="14"/>
      <c r="K137" s="14"/>
      <c r="L137" s="14"/>
      <c r="M137" s="3" t="s">
        <v>284</v>
      </c>
      <c r="V137" s="808"/>
    </row>
    <row r="138" spans="1:22">
      <c r="A138" s="82" t="s">
        <v>285</v>
      </c>
      <c r="B138" s="809">
        <v>-4.38</v>
      </c>
      <c r="C138" s="71"/>
      <c r="D138" s="12">
        <v>0.520951861602862</v>
      </c>
      <c r="E138" s="10">
        <v>10</v>
      </c>
      <c r="F138" s="10">
        <v>228.6</v>
      </c>
      <c r="G138" s="1">
        <v>4.22</v>
      </c>
      <c r="H138" s="14">
        <f t="shared" si="2"/>
        <v>-5.7560000000000002</v>
      </c>
      <c r="I138" s="817" t="s">
        <v>286</v>
      </c>
      <c r="J138" s="818"/>
      <c r="K138" s="818"/>
      <c r="L138" s="819"/>
      <c r="M138" s="3" t="s">
        <v>287</v>
      </c>
      <c r="V138" s="808"/>
    </row>
    <row r="139" spans="1:22">
      <c r="A139" s="81" t="s">
        <v>288</v>
      </c>
      <c r="B139" s="809">
        <v>-2.71</v>
      </c>
      <c r="C139" s="71"/>
      <c r="D139" s="12">
        <v>0.53906642829149898</v>
      </c>
      <c r="E139" s="10">
        <v>3</v>
      </c>
      <c r="F139" s="10">
        <v>161.5</v>
      </c>
      <c r="G139" s="1">
        <v>-0.21</v>
      </c>
      <c r="H139" s="14">
        <f t="shared" si="2"/>
        <v>-0.65500000000000003</v>
      </c>
      <c r="I139" s="821" t="s">
        <v>1061</v>
      </c>
      <c r="J139" s="822"/>
      <c r="K139" s="822"/>
      <c r="L139" s="823"/>
      <c r="M139" s="3" t="s">
        <v>289</v>
      </c>
      <c r="V139" s="808"/>
    </row>
    <row r="140" spans="1:22">
      <c r="A140" s="81" t="s">
        <v>290</v>
      </c>
      <c r="B140" s="809">
        <v>-4.33</v>
      </c>
      <c r="C140" s="71"/>
      <c r="D140" s="12">
        <v>0.56233984781338708</v>
      </c>
      <c r="E140" s="10">
        <v>11</v>
      </c>
      <c r="F140" s="10">
        <v>213.49999999999997</v>
      </c>
      <c r="G140" s="1">
        <v>3.04</v>
      </c>
      <c r="H140" s="14">
        <f t="shared" si="2"/>
        <v>-4.4249999999999998</v>
      </c>
      <c r="I140" s="824" t="s">
        <v>1062</v>
      </c>
      <c r="J140" s="7"/>
      <c r="K140" s="7"/>
      <c r="L140" s="825"/>
      <c r="M140" s="3" t="s">
        <v>291</v>
      </c>
      <c r="V140" s="808"/>
    </row>
    <row r="141" spans="1:22">
      <c r="A141" s="83" t="s">
        <v>292</v>
      </c>
      <c r="B141" s="809">
        <v>-3.2</v>
      </c>
      <c r="C141" s="71"/>
      <c r="D141" s="12">
        <v>0.54710381306524825</v>
      </c>
      <c r="E141" s="10">
        <v>4</v>
      </c>
      <c r="F141" s="10">
        <v>168.5</v>
      </c>
      <c r="G141" s="1">
        <v>3.35</v>
      </c>
      <c r="H141" s="14">
        <f t="shared" si="2"/>
        <v>-4.2850000000000001</v>
      </c>
      <c r="I141" s="826" t="s">
        <v>1063</v>
      </c>
      <c r="J141" s="7"/>
      <c r="K141" s="7"/>
      <c r="L141" s="825"/>
      <c r="M141" s="3" t="s">
        <v>293</v>
      </c>
      <c r="V141" s="808"/>
    </row>
    <row r="142" spans="1:22">
      <c r="A142" s="81" t="s">
        <v>114</v>
      </c>
      <c r="B142" s="809">
        <v>-2.99</v>
      </c>
      <c r="C142" s="71"/>
      <c r="D142" s="12">
        <v>0.54612637818466869</v>
      </c>
      <c r="E142" s="10">
        <v>3</v>
      </c>
      <c r="F142" s="13">
        <v>124.1</v>
      </c>
      <c r="G142" s="1">
        <v>2.81</v>
      </c>
      <c r="H142" s="14">
        <f t="shared" si="2"/>
        <v>-3.3010000000000002</v>
      </c>
      <c r="I142" s="827" t="s">
        <v>1064</v>
      </c>
      <c r="J142" s="7"/>
      <c r="K142" s="7"/>
      <c r="L142" s="825"/>
      <c r="M142" s="3" t="s">
        <v>294</v>
      </c>
      <c r="V142" s="808"/>
    </row>
    <row r="143" spans="1:22">
      <c r="A143" s="81" t="s">
        <v>295</v>
      </c>
      <c r="B143" s="809">
        <v>-5.6</v>
      </c>
      <c r="C143" s="71"/>
      <c r="D143" s="12">
        <v>0.51160213896594608</v>
      </c>
      <c r="E143" s="10">
        <v>4</v>
      </c>
      <c r="F143" s="10">
        <v>165</v>
      </c>
      <c r="G143" s="1">
        <v>4.8899999999999997</v>
      </c>
      <c r="H143" s="14">
        <f t="shared" si="2"/>
        <v>-5.79</v>
      </c>
      <c r="I143" s="827" t="s">
        <v>1065</v>
      </c>
      <c r="J143" s="7"/>
      <c r="K143" s="7"/>
      <c r="L143" s="825"/>
      <c r="M143" s="3" t="s">
        <v>296</v>
      </c>
      <c r="V143" s="808"/>
    </row>
    <row r="144" spans="1:22">
      <c r="A144" s="81" t="s">
        <v>117</v>
      </c>
      <c r="B144" s="809">
        <v>-5.15</v>
      </c>
      <c r="C144" s="71"/>
      <c r="D144" s="12">
        <v>0.65141515533308314</v>
      </c>
      <c r="E144" s="10">
        <v>4</v>
      </c>
      <c r="F144" s="10">
        <v>161.1</v>
      </c>
      <c r="G144" s="1">
        <v>4.76</v>
      </c>
      <c r="H144" s="14">
        <f t="shared" si="2"/>
        <v>-5.6209999999999996</v>
      </c>
      <c r="I144" s="830"/>
      <c r="J144" s="7"/>
      <c r="K144" s="7"/>
      <c r="L144" s="825"/>
      <c r="M144" s="3" t="s">
        <v>297</v>
      </c>
      <c r="V144" s="808"/>
    </row>
    <row r="145" spans="1:28">
      <c r="A145" s="83" t="s">
        <v>298</v>
      </c>
      <c r="B145" s="809">
        <v>-4.07</v>
      </c>
      <c r="C145" s="71"/>
      <c r="D145" s="12">
        <v>0.65883215509381909</v>
      </c>
      <c r="E145" s="10">
        <v>3</v>
      </c>
      <c r="F145" s="10">
        <v>155</v>
      </c>
      <c r="G145" s="1">
        <v>3.74</v>
      </c>
      <c r="H145" s="14">
        <f t="shared" si="2"/>
        <v>-4.54</v>
      </c>
      <c r="I145" s="830"/>
      <c r="J145" s="7"/>
      <c r="K145" s="7"/>
      <c r="L145" s="825"/>
      <c r="M145" s="3" t="s">
        <v>299</v>
      </c>
      <c r="V145" s="808"/>
    </row>
    <row r="146" spans="1:28">
      <c r="A146" s="82" t="s">
        <v>300</v>
      </c>
      <c r="B146" s="809">
        <v>-6.39</v>
      </c>
      <c r="C146" s="71"/>
      <c r="D146" s="12">
        <v>0.61400477095750339</v>
      </c>
      <c r="E146" s="10">
        <v>3</v>
      </c>
      <c r="F146" s="10">
        <v>165.4</v>
      </c>
      <c r="G146" s="1">
        <v>5.58</v>
      </c>
      <c r="H146" s="14">
        <f t="shared" si="2"/>
        <v>-6.484</v>
      </c>
      <c r="I146" s="830"/>
      <c r="J146" s="7"/>
      <c r="K146" s="7"/>
      <c r="L146" s="825"/>
      <c r="M146" s="3" t="s">
        <v>301</v>
      </c>
      <c r="V146" s="808"/>
    </row>
    <row r="147" spans="1:28">
      <c r="A147" s="82" t="s">
        <v>302</v>
      </c>
      <c r="B147" s="809">
        <v>-5.33</v>
      </c>
      <c r="C147" s="71"/>
      <c r="D147" s="12">
        <v>0.50406532001413251</v>
      </c>
      <c r="E147" s="10">
        <v>6</v>
      </c>
      <c r="F147" s="10">
        <v>161</v>
      </c>
      <c r="G147" s="1">
        <v>6.45</v>
      </c>
      <c r="H147" s="14">
        <f t="shared" si="2"/>
        <v>-7.3100000000000005</v>
      </c>
      <c r="I147" s="791"/>
      <c r="J147" s="832"/>
      <c r="K147" s="832"/>
      <c r="L147" s="833"/>
      <c r="M147" s="3" t="s">
        <v>303</v>
      </c>
      <c r="V147" s="808"/>
    </row>
    <row r="148" spans="1:28">
      <c r="A148" s="82" t="s">
        <v>304</v>
      </c>
      <c r="B148" s="809">
        <v>-5.35</v>
      </c>
      <c r="C148" s="71"/>
      <c r="D148" s="12">
        <v>0.75493366325441691</v>
      </c>
      <c r="E148" s="10">
        <v>4</v>
      </c>
      <c r="F148" s="10">
        <v>193.5</v>
      </c>
      <c r="G148" s="1">
        <v>5.41</v>
      </c>
      <c r="H148" s="14">
        <f t="shared" si="2"/>
        <v>-6.5950000000000006</v>
      </c>
      <c r="J148" s="14"/>
      <c r="K148" s="14"/>
      <c r="L148" s="14"/>
      <c r="M148" s="3" t="s">
        <v>305</v>
      </c>
      <c r="V148" s="808"/>
    </row>
    <row r="149" spans="1:28">
      <c r="A149" s="82" t="s">
        <v>306</v>
      </c>
      <c r="B149" s="809">
        <v>-3.31</v>
      </c>
      <c r="C149" s="71"/>
      <c r="D149" s="12">
        <v>0.50089358058597189</v>
      </c>
      <c r="E149" s="10">
        <v>3</v>
      </c>
      <c r="F149" s="10">
        <v>156</v>
      </c>
      <c r="G149" s="1">
        <v>2.9</v>
      </c>
      <c r="H149" s="14">
        <f t="shared" si="2"/>
        <v>-3.71</v>
      </c>
      <c r="I149" s="834" t="s">
        <v>133</v>
      </c>
      <c r="J149" s="835">
        <v>117</v>
      </c>
      <c r="K149" s="816"/>
      <c r="L149" s="14"/>
      <c r="M149" s="3" t="s">
        <v>307</v>
      </c>
      <c r="V149" s="808"/>
    </row>
    <row r="150" spans="1:28">
      <c r="A150" s="83" t="s">
        <v>308</v>
      </c>
      <c r="B150" s="809">
        <v>-3.54</v>
      </c>
      <c r="C150" s="71"/>
      <c r="D150" s="12">
        <v>0.6587984329866341</v>
      </c>
      <c r="E150" s="10">
        <v>4</v>
      </c>
      <c r="F150" s="10">
        <v>183.5</v>
      </c>
      <c r="G150" s="1">
        <v>3.16</v>
      </c>
      <c r="H150" s="14">
        <f t="shared" si="2"/>
        <v>-4.2450000000000001</v>
      </c>
      <c r="I150" s="834" t="s">
        <v>136</v>
      </c>
      <c r="J150" s="835">
        <v>36</v>
      </c>
      <c r="K150" s="816"/>
      <c r="L150" s="14"/>
      <c r="M150" s="3" t="s">
        <v>309</v>
      </c>
      <c r="V150" s="808"/>
    </row>
    <row r="151" spans="1:28">
      <c r="A151" s="83" t="s">
        <v>310</v>
      </c>
      <c r="B151" s="809">
        <v>-2.59</v>
      </c>
      <c r="C151" s="71"/>
      <c r="D151" s="12">
        <v>0.59871706042825668</v>
      </c>
      <c r="E151" s="10">
        <v>3</v>
      </c>
      <c r="F151" s="10">
        <v>61</v>
      </c>
      <c r="G151" s="1">
        <v>1.77</v>
      </c>
      <c r="H151" s="14">
        <f t="shared" si="2"/>
        <v>-1.63</v>
      </c>
      <c r="I151" s="834" t="s">
        <v>139</v>
      </c>
      <c r="J151" s="835">
        <f>COUNTA(A129:A160)</f>
        <v>32</v>
      </c>
      <c r="K151" s="816"/>
      <c r="L151" s="14"/>
      <c r="M151" s="3" t="s">
        <v>311</v>
      </c>
      <c r="V151" s="808"/>
    </row>
    <row r="152" spans="1:28">
      <c r="A152" s="82" t="s">
        <v>312</v>
      </c>
      <c r="B152" s="809">
        <v>-3.1</v>
      </c>
      <c r="C152" s="71"/>
      <c r="D152" s="12">
        <v>0.57115657899345518</v>
      </c>
      <c r="E152" s="10">
        <v>7</v>
      </c>
      <c r="F152" s="10">
        <v>177</v>
      </c>
      <c r="G152" s="1">
        <v>3.17</v>
      </c>
      <c r="H152" s="14">
        <f t="shared" si="2"/>
        <v>-4.1899999999999995</v>
      </c>
      <c r="I152" s="14"/>
      <c r="J152" s="14"/>
      <c r="K152" s="14"/>
      <c r="L152" s="14"/>
      <c r="M152" s="3" t="s">
        <v>313</v>
      </c>
      <c r="V152" s="808"/>
    </row>
    <row r="153" spans="1:28">
      <c r="A153" s="81" t="s">
        <v>314</v>
      </c>
      <c r="B153" s="809">
        <v>-6.5</v>
      </c>
      <c r="C153" s="71"/>
      <c r="D153" s="12">
        <v>0.55807775121880254</v>
      </c>
      <c r="E153" s="10">
        <v>6</v>
      </c>
      <c r="F153" s="10">
        <v>145</v>
      </c>
      <c r="G153" s="1">
        <v>6.08</v>
      </c>
      <c r="H153" s="14">
        <f t="shared" si="2"/>
        <v>-6.78</v>
      </c>
      <c r="I153" s="836" t="s">
        <v>144</v>
      </c>
      <c r="J153" s="818"/>
      <c r="K153" s="818"/>
      <c r="L153" s="819"/>
      <c r="M153" s="3" t="s">
        <v>315</v>
      </c>
      <c r="V153" s="808"/>
    </row>
    <row r="154" spans="1:28">
      <c r="A154" s="81" t="s">
        <v>316</v>
      </c>
      <c r="B154" s="809">
        <v>-4.82</v>
      </c>
      <c r="C154" s="71"/>
      <c r="D154" s="12">
        <v>0.66417698790166113</v>
      </c>
      <c r="E154" s="10">
        <v>3</v>
      </c>
      <c r="F154" s="13">
        <v>175.8</v>
      </c>
      <c r="G154" s="1">
        <v>4.62</v>
      </c>
      <c r="H154" s="14">
        <f t="shared" si="2"/>
        <v>-5.6280000000000001</v>
      </c>
      <c r="I154" s="837" t="s">
        <v>1066</v>
      </c>
      <c r="J154" s="822"/>
      <c r="K154" s="822"/>
      <c r="L154" s="823"/>
      <c r="M154" s="3" t="s">
        <v>317</v>
      </c>
      <c r="V154" s="808"/>
    </row>
    <row r="155" spans="1:28">
      <c r="A155" s="82" t="s">
        <v>318</v>
      </c>
      <c r="B155" s="809">
        <v>-4.49</v>
      </c>
      <c r="C155" s="71"/>
      <c r="D155" s="12">
        <v>0.57716593661781801</v>
      </c>
      <c r="E155" s="10">
        <v>3</v>
      </c>
      <c r="F155" s="10">
        <v>349.84</v>
      </c>
      <c r="G155" s="1">
        <v>3.09</v>
      </c>
      <c r="H155" s="14">
        <f t="shared" si="2"/>
        <v>-5.8384</v>
      </c>
      <c r="I155" s="838" t="s">
        <v>1067</v>
      </c>
      <c r="J155" s="7"/>
      <c r="K155" s="7"/>
      <c r="L155" s="825"/>
      <c r="M155" s="3" t="s">
        <v>319</v>
      </c>
      <c r="V155" s="808"/>
    </row>
    <row r="156" spans="1:28">
      <c r="A156" s="83" t="s">
        <v>320</v>
      </c>
      <c r="B156" s="809">
        <v>-3</v>
      </c>
      <c r="C156" s="71"/>
      <c r="D156" s="12">
        <v>0.70324590282883903</v>
      </c>
      <c r="E156" s="10">
        <v>3</v>
      </c>
      <c r="F156" s="10">
        <v>204</v>
      </c>
      <c r="G156" s="1">
        <v>0.88</v>
      </c>
      <c r="H156" s="14">
        <f t="shared" si="2"/>
        <v>-2.17</v>
      </c>
      <c r="I156" s="831"/>
      <c r="J156" s="7"/>
      <c r="K156" s="7"/>
      <c r="L156" s="825"/>
      <c r="M156" s="3" t="s">
        <v>321</v>
      </c>
      <c r="V156" s="808"/>
    </row>
    <row r="157" spans="1:28">
      <c r="A157" s="82" t="s">
        <v>322</v>
      </c>
      <c r="B157" s="809">
        <v>-5.79</v>
      </c>
      <c r="C157" s="71"/>
      <c r="D157" s="12">
        <v>0.7237903588794764</v>
      </c>
      <c r="E157" s="10">
        <v>7</v>
      </c>
      <c r="F157" s="10">
        <v>97.8</v>
      </c>
      <c r="G157" s="1">
        <v>6</v>
      </c>
      <c r="H157" s="14">
        <f t="shared" si="2"/>
        <v>-6.2279999999999998</v>
      </c>
      <c r="I157" s="831"/>
      <c r="J157" s="7"/>
      <c r="K157" s="7"/>
      <c r="L157" s="825"/>
      <c r="M157" s="3" t="s">
        <v>323</v>
      </c>
      <c r="V157" s="808"/>
    </row>
    <row r="158" spans="1:28">
      <c r="A158" s="82" t="s">
        <v>324</v>
      </c>
      <c r="B158" s="809">
        <v>-6.82</v>
      </c>
      <c r="C158" s="71"/>
      <c r="D158" s="12">
        <v>0.84033450922624497</v>
      </c>
      <c r="E158" s="10">
        <v>5</v>
      </c>
      <c r="F158" s="10">
        <v>262</v>
      </c>
      <c r="G158" s="1">
        <v>7.26</v>
      </c>
      <c r="H158" s="14">
        <f t="shared" si="2"/>
        <v>-9.129999999999999</v>
      </c>
      <c r="I158" s="831"/>
      <c r="J158" s="7"/>
      <c r="K158" s="7"/>
      <c r="L158" s="825"/>
      <c r="M158" s="3" t="s">
        <v>325</v>
      </c>
      <c r="V158" s="808"/>
    </row>
    <row r="159" spans="1:28">
      <c r="A159" s="82" t="s">
        <v>326</v>
      </c>
      <c r="B159" s="809">
        <v>-6.02</v>
      </c>
      <c r="C159" s="71"/>
      <c r="D159" s="12">
        <v>0.70969645885144073</v>
      </c>
      <c r="E159" s="10">
        <v>11</v>
      </c>
      <c r="F159" s="10">
        <v>149.6</v>
      </c>
      <c r="G159" s="1">
        <v>6.45</v>
      </c>
      <c r="H159" s="14">
        <f t="shared" si="2"/>
        <v>-7.1959999999999997</v>
      </c>
      <c r="I159" s="831"/>
      <c r="J159" s="7"/>
      <c r="K159" s="7"/>
      <c r="L159" s="825"/>
      <c r="M159" s="3" t="s">
        <v>327</v>
      </c>
      <c r="V159" s="808"/>
    </row>
    <row r="160" spans="1:28" s="62" customFormat="1">
      <c r="A160" s="81" t="s">
        <v>328</v>
      </c>
      <c r="B160" s="809">
        <v>-2.73</v>
      </c>
      <c r="C160" s="71"/>
      <c r="D160" s="12">
        <v>0.49644864464459931</v>
      </c>
      <c r="E160" s="10">
        <v>4</v>
      </c>
      <c r="F160" s="10">
        <v>304.5</v>
      </c>
      <c r="G160" s="1">
        <v>2.69</v>
      </c>
      <c r="H160" s="14">
        <f t="shared" si="2"/>
        <v>-4.9849999999999994</v>
      </c>
      <c r="I160" s="839"/>
      <c r="J160" s="832"/>
      <c r="K160" s="832"/>
      <c r="L160" s="833"/>
      <c r="M160" s="3" t="s">
        <v>329</v>
      </c>
      <c r="N160"/>
      <c r="O160"/>
      <c r="P160"/>
      <c r="Q160"/>
      <c r="R160"/>
      <c r="S160"/>
      <c r="T160"/>
      <c r="U160"/>
      <c r="V160" s="808"/>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784"/>
      <c r="B194" s="785"/>
      <c r="C194" s="785"/>
      <c r="D194" s="785"/>
      <c r="E194" s="785"/>
      <c r="F194" s="785"/>
      <c r="G194" s="785"/>
      <c r="H194" s="785"/>
      <c r="I194" s="785"/>
      <c r="J194" s="785"/>
      <c r="K194" s="785"/>
      <c r="L194" s="785"/>
      <c r="M194" s="786"/>
      <c r="N194" s="785"/>
      <c r="O194" s="785"/>
      <c r="P194" s="785"/>
      <c r="Q194" s="787"/>
    </row>
  </sheetData>
  <pageMargins left="0" right="0" top="0" bottom="0" header="0.3" footer="0.3"/>
  <pageSetup scale="54"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0C7DE-B689-4C42-91C5-24092B17116B}">
  <dimension ref="A1:AB194"/>
  <sheetViews>
    <sheetView zoomScale="89" zoomScaleNormal="89" workbookViewId="0">
      <selection activeCell="B4" sqref="B4:B9"/>
    </sheetView>
  </sheetViews>
  <sheetFormatPr baseColWidth="10" defaultColWidth="9.1640625" defaultRowHeight="15"/>
  <cols>
    <col min="1" max="1" width="18.6640625" customWidth="1"/>
    <col min="2" max="3" width="11.1640625" customWidth="1"/>
    <col min="4" max="5" width="7.6640625" customWidth="1"/>
    <col min="6" max="6" width="10.1640625" customWidth="1"/>
    <col min="7" max="7" width="11.33203125" customWidth="1"/>
    <col min="9" max="9" width="13.1640625" customWidth="1"/>
    <col min="10" max="10" width="4.3320312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41"/>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t="s">
        <v>391</v>
      </c>
      <c r="C14" t="s">
        <v>11</v>
      </c>
    </row>
    <row r="15" spans="1:25" s="90" customFormat="1">
      <c r="A15" s="89" t="s">
        <v>12</v>
      </c>
    </row>
    <row r="16" spans="1:25">
      <c r="B16" s="117" t="s">
        <v>391</v>
      </c>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s="120">
        <v>-2.2996627250000001</v>
      </c>
      <c r="C23" s="73" t="s">
        <v>30</v>
      </c>
      <c r="D23" s="12">
        <v>0.17592262140645501</v>
      </c>
      <c r="E23" s="10">
        <v>11</v>
      </c>
      <c r="F23" s="10">
        <v>258.5</v>
      </c>
      <c r="G23" s="6">
        <v>-0.86</v>
      </c>
      <c r="H23" s="14">
        <f t="shared" ref="H23:H86" si="0">0.5-G23-0.01*(F23-25)</f>
        <v>-0.97500000000000009</v>
      </c>
      <c r="I23" s="53" t="s">
        <v>31</v>
      </c>
      <c r="J23" s="54"/>
      <c r="K23" s="14"/>
      <c r="L23" s="14"/>
      <c r="M23" s="11" t="s">
        <v>33</v>
      </c>
    </row>
    <row r="24" spans="1:28">
      <c r="A24" s="82" t="s">
        <v>35</v>
      </c>
      <c r="B24" s="121">
        <v>-1.785019857</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s="121">
        <v>-2.939808711</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s="121">
        <v>-3.550832996</v>
      </c>
      <c r="C26" s="73" t="s">
        <v>46</v>
      </c>
      <c r="D26" s="12">
        <v>0.16999222507469616</v>
      </c>
      <c r="E26" s="10">
        <v>3</v>
      </c>
      <c r="F26" s="10">
        <v>234</v>
      </c>
      <c r="G26" s="6">
        <v>3.19</v>
      </c>
      <c r="H26" s="14">
        <f t="shared" si="0"/>
        <v>-4.7799999999999994</v>
      </c>
      <c r="I26" s="15" t="s">
        <v>47</v>
      </c>
      <c r="J26" s="29"/>
      <c r="K26" s="14"/>
      <c r="L26" s="14"/>
      <c r="M26" s="11" t="s">
        <v>48</v>
      </c>
    </row>
    <row r="27" spans="1:28">
      <c r="A27" s="82" t="s">
        <v>50</v>
      </c>
      <c r="B27" s="121">
        <v>-6.2093033240000004</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s="121">
        <v>-5.9980603480000001</v>
      </c>
      <c r="C28" s="71"/>
      <c r="D28" s="12">
        <v>0.18412396392404196</v>
      </c>
      <c r="E28" s="10">
        <v>3</v>
      </c>
      <c r="F28" s="10">
        <v>224.00000000000003</v>
      </c>
      <c r="G28" s="6">
        <v>5.51</v>
      </c>
      <c r="H28" s="14">
        <f t="shared" si="0"/>
        <v>-7</v>
      </c>
      <c r="I28" s="15" t="s">
        <v>56</v>
      </c>
      <c r="J28" s="29"/>
      <c r="K28" s="14"/>
      <c r="L28" s="14"/>
      <c r="M28" s="11" t="s">
        <v>57</v>
      </c>
    </row>
    <row r="29" spans="1:28">
      <c r="A29" s="81" t="s">
        <v>59</v>
      </c>
      <c r="B29" s="121">
        <v>-3.9441990740000001</v>
      </c>
      <c r="C29" s="71"/>
      <c r="D29" s="12">
        <v>0.14933733874523175</v>
      </c>
      <c r="E29" s="10">
        <v>6</v>
      </c>
      <c r="F29" s="10">
        <v>172.5</v>
      </c>
      <c r="G29" s="6">
        <v>1.78</v>
      </c>
      <c r="H29" s="14">
        <f t="shared" si="0"/>
        <v>-2.7549999999999999</v>
      </c>
      <c r="I29" s="15" t="s">
        <v>60</v>
      </c>
      <c r="J29" s="31"/>
      <c r="K29" s="14"/>
      <c r="L29" s="14"/>
      <c r="M29" s="11" t="s">
        <v>61</v>
      </c>
    </row>
    <row r="30" spans="1:28">
      <c r="A30" s="81" t="s">
        <v>63</v>
      </c>
      <c r="B30" s="121">
        <v>-1.797743162</v>
      </c>
      <c r="C30" s="71"/>
      <c r="D30" s="12">
        <v>0.14842266063120066</v>
      </c>
      <c r="E30" s="10">
        <v>4</v>
      </c>
      <c r="F30" s="10">
        <v>207.50000000000003</v>
      </c>
      <c r="G30" s="6">
        <v>1.86</v>
      </c>
      <c r="H30" s="14">
        <f t="shared" si="0"/>
        <v>-3.1850000000000005</v>
      </c>
      <c r="I30" s="30" t="s">
        <v>64</v>
      </c>
      <c r="J30" s="123" t="s">
        <v>392</v>
      </c>
      <c r="K30" s="33"/>
      <c r="L30" s="34"/>
      <c r="M30" s="11" t="s">
        <v>65</v>
      </c>
    </row>
    <row r="31" spans="1:28">
      <c r="A31" s="83" t="s">
        <v>66</v>
      </c>
      <c r="B31" s="121">
        <v>-2.7195761799999998</v>
      </c>
      <c r="C31" s="71"/>
      <c r="D31" s="12">
        <v>0.1617973106900604</v>
      </c>
      <c r="E31" s="10">
        <v>10</v>
      </c>
      <c r="F31" s="10">
        <v>166.5</v>
      </c>
      <c r="G31" s="6">
        <v>0.79</v>
      </c>
      <c r="H31" s="14">
        <f t="shared" si="0"/>
        <v>-1.7050000000000001</v>
      </c>
      <c r="J31" s="14"/>
      <c r="K31" s="14"/>
      <c r="L31" s="14"/>
      <c r="M31" s="11" t="s">
        <v>67</v>
      </c>
    </row>
    <row r="32" spans="1:28">
      <c r="A32" s="82" t="s">
        <v>68</v>
      </c>
      <c r="B32" s="121">
        <v>-4.8462762440000002</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s="122">
        <v>-4.62106774</v>
      </c>
      <c r="C33" s="72"/>
      <c r="D33" s="4">
        <v>0.12912520605069597</v>
      </c>
      <c r="E33" s="2">
        <v>3</v>
      </c>
      <c r="F33" s="13">
        <v>192.7</v>
      </c>
      <c r="G33" s="6">
        <v>2.63</v>
      </c>
      <c r="H33" s="14">
        <f t="shared" si="0"/>
        <v>-3.8069999999999995</v>
      </c>
      <c r="I33" s="124" t="s">
        <v>393</v>
      </c>
      <c r="J33" s="21"/>
      <c r="K33" s="21"/>
      <c r="L33" s="22"/>
      <c r="M33" s="11" t="s">
        <v>72</v>
      </c>
    </row>
    <row r="34" spans="1:13">
      <c r="A34" s="81" t="s">
        <v>74</v>
      </c>
      <c r="B34" s="121">
        <v>-6.9078502759999996</v>
      </c>
      <c r="C34" s="71"/>
      <c r="D34" s="12">
        <v>0.14911462098310888</v>
      </c>
      <c r="E34" s="10">
        <v>6</v>
      </c>
      <c r="F34" s="10">
        <v>167</v>
      </c>
      <c r="G34" s="6">
        <v>6.32</v>
      </c>
      <c r="H34" s="14">
        <f t="shared" si="0"/>
        <v>-7.24</v>
      </c>
      <c r="I34" s="23"/>
      <c r="J34" s="7"/>
      <c r="K34" s="7"/>
      <c r="L34" s="24"/>
      <c r="M34" s="11" t="s">
        <v>75</v>
      </c>
    </row>
    <row r="35" spans="1:13">
      <c r="A35" s="82" t="s">
        <v>77</v>
      </c>
      <c r="B35" s="121">
        <v>-4.1816113640000001</v>
      </c>
      <c r="C35" s="71"/>
      <c r="D35" s="12">
        <v>0.15809078703524676</v>
      </c>
      <c r="E35" s="10">
        <v>15</v>
      </c>
      <c r="F35" s="10">
        <v>191.5</v>
      </c>
      <c r="G35" s="6">
        <v>3.39</v>
      </c>
      <c r="H35" s="14">
        <f t="shared" si="0"/>
        <v>-4.5549999999999997</v>
      </c>
      <c r="I35" s="23"/>
      <c r="J35" s="7"/>
      <c r="K35" s="7"/>
      <c r="L35" s="24"/>
      <c r="M35" s="11" t="s">
        <v>78</v>
      </c>
    </row>
    <row r="36" spans="1:13">
      <c r="A36" s="83" t="s">
        <v>80</v>
      </c>
      <c r="B36" s="121">
        <v>-4.1610660910000004</v>
      </c>
      <c r="C36" s="71"/>
      <c r="D36" s="12">
        <v>0.1911503089068218</v>
      </c>
      <c r="E36" s="10">
        <v>3</v>
      </c>
      <c r="F36" s="10">
        <v>246.2</v>
      </c>
      <c r="G36" s="6">
        <v>3.32</v>
      </c>
      <c r="H36" s="14">
        <f t="shared" si="0"/>
        <v>-5.032</v>
      </c>
      <c r="I36" s="25"/>
      <c r="J36" s="7"/>
      <c r="K36" s="7"/>
      <c r="L36" s="24"/>
      <c r="M36" s="11" t="s">
        <v>81</v>
      </c>
    </row>
    <row r="37" spans="1:13">
      <c r="A37" s="83" t="s">
        <v>73</v>
      </c>
      <c r="B37" s="121">
        <v>-2.7722793100000001</v>
      </c>
      <c r="C37" s="71"/>
      <c r="D37" s="12">
        <v>0.19050575600734274</v>
      </c>
      <c r="E37" s="10">
        <v>4</v>
      </c>
      <c r="F37" s="10">
        <v>304</v>
      </c>
      <c r="G37" s="6">
        <v>1.74</v>
      </c>
      <c r="H37" s="14">
        <f t="shared" si="0"/>
        <v>-4.03</v>
      </c>
      <c r="I37" s="25"/>
      <c r="J37" s="7"/>
      <c r="K37" s="7"/>
      <c r="L37" s="24"/>
      <c r="M37" s="11" t="s">
        <v>83</v>
      </c>
    </row>
    <row r="38" spans="1:13">
      <c r="A38" s="81" t="s">
        <v>76</v>
      </c>
      <c r="B38" s="121">
        <v>-4.1681999919999999</v>
      </c>
      <c r="C38" s="71"/>
      <c r="D38" s="12">
        <v>0.13682393527498057</v>
      </c>
      <c r="E38" s="10">
        <v>7</v>
      </c>
      <c r="F38" s="10">
        <v>187</v>
      </c>
      <c r="G38" s="6">
        <v>-0.87</v>
      </c>
      <c r="H38" s="14">
        <f t="shared" si="0"/>
        <v>-0.25</v>
      </c>
      <c r="I38" s="25"/>
      <c r="J38" s="7"/>
      <c r="K38" s="7"/>
      <c r="L38" s="24"/>
      <c r="M38" s="66" t="s">
        <v>85</v>
      </c>
    </row>
    <row r="39" spans="1:13">
      <c r="A39" s="81" t="s">
        <v>87</v>
      </c>
      <c r="B39" s="121">
        <v>-3.468125138</v>
      </c>
      <c r="C39" s="71"/>
      <c r="D39" s="12">
        <v>0.20462356367492032</v>
      </c>
      <c r="E39" s="10">
        <v>4</v>
      </c>
      <c r="F39" s="10">
        <v>221.5</v>
      </c>
      <c r="G39" s="6">
        <v>0.71</v>
      </c>
      <c r="H39" s="14">
        <f t="shared" si="0"/>
        <v>-2.1749999999999998</v>
      </c>
      <c r="I39" s="25"/>
      <c r="J39" s="7"/>
      <c r="K39" s="7"/>
      <c r="L39" s="24"/>
      <c r="M39" s="11" t="s">
        <v>88</v>
      </c>
    </row>
    <row r="40" spans="1:13">
      <c r="A40" s="81" t="s">
        <v>90</v>
      </c>
      <c r="B40" s="121">
        <v>-4.9830495770000001</v>
      </c>
      <c r="C40" s="71"/>
      <c r="D40" s="12">
        <v>0.18274602564465547</v>
      </c>
      <c r="E40" s="10">
        <v>6</v>
      </c>
      <c r="F40" s="10">
        <v>157.83333333333334</v>
      </c>
      <c r="G40" s="6">
        <v>3.51</v>
      </c>
      <c r="H40" s="14">
        <f t="shared" si="0"/>
        <v>-4.3383333333333329</v>
      </c>
      <c r="I40" s="25"/>
      <c r="J40" s="39"/>
      <c r="K40" s="39"/>
      <c r="L40" s="40"/>
      <c r="M40" s="11" t="s">
        <v>91</v>
      </c>
    </row>
    <row r="41" spans="1:13">
      <c r="A41" s="84" t="s">
        <v>93</v>
      </c>
      <c r="B41" s="122">
        <v>-2.5741424560000001</v>
      </c>
      <c r="C41" s="72"/>
      <c r="D41" s="4">
        <v>0.12610247911779729</v>
      </c>
      <c r="E41" s="2">
        <v>8</v>
      </c>
      <c r="F41" s="10">
        <v>140</v>
      </c>
      <c r="G41" s="6">
        <v>0.35</v>
      </c>
      <c r="H41" s="14">
        <f t="shared" si="0"/>
        <v>-1</v>
      </c>
      <c r="I41" s="25"/>
      <c r="J41" s="39"/>
      <c r="K41" s="39"/>
      <c r="L41" s="40"/>
      <c r="M41" s="11" t="s">
        <v>94</v>
      </c>
    </row>
    <row r="42" spans="1:13">
      <c r="A42" s="82" t="s">
        <v>96</v>
      </c>
      <c r="B42" s="121">
        <v>-3.0446338499999999</v>
      </c>
      <c r="C42" s="71"/>
      <c r="D42" s="12">
        <v>0.14493441954543959</v>
      </c>
      <c r="E42" s="10">
        <v>7</v>
      </c>
      <c r="F42" s="10">
        <v>127.93333333333334</v>
      </c>
      <c r="G42" s="6">
        <v>1.74</v>
      </c>
      <c r="H42" s="14">
        <f t="shared" si="0"/>
        <v>-2.2693333333333334</v>
      </c>
      <c r="I42" s="25"/>
      <c r="J42" s="39"/>
      <c r="K42" s="39"/>
      <c r="L42" s="40"/>
      <c r="M42" s="11" t="s">
        <v>97</v>
      </c>
    </row>
    <row r="43" spans="1:13">
      <c r="A43" s="82" t="s">
        <v>79</v>
      </c>
      <c r="B43" s="121">
        <v>-3.6995474289999999</v>
      </c>
      <c r="C43" s="71"/>
      <c r="D43" s="12">
        <v>0.14861388626870758</v>
      </c>
      <c r="E43" s="10">
        <v>7</v>
      </c>
      <c r="F43" s="10">
        <v>176</v>
      </c>
      <c r="G43" s="6">
        <v>4.4800000000000004</v>
      </c>
      <c r="H43" s="14">
        <f t="shared" si="0"/>
        <v>-5.49</v>
      </c>
      <c r="I43" s="25"/>
      <c r="J43" s="39"/>
      <c r="K43" s="39"/>
      <c r="L43" s="40"/>
      <c r="M43" s="11" t="s">
        <v>99</v>
      </c>
    </row>
    <row r="44" spans="1:13">
      <c r="A44" s="85" t="s">
        <v>101</v>
      </c>
      <c r="B44" s="122">
        <v>-4.7666694969999996</v>
      </c>
      <c r="C44" s="72"/>
      <c r="D44" s="4">
        <v>0.1280711495400205</v>
      </c>
      <c r="E44" s="2">
        <v>3</v>
      </c>
      <c r="F44" s="10">
        <v>159.69999999999999</v>
      </c>
      <c r="G44" s="6">
        <v>3.46</v>
      </c>
      <c r="H44" s="14">
        <f t="shared" si="0"/>
        <v>-4.3070000000000004</v>
      </c>
      <c r="I44" s="25"/>
      <c r="J44" s="39"/>
      <c r="K44" s="39"/>
      <c r="L44" s="40"/>
      <c r="M44" s="11" t="s">
        <v>102</v>
      </c>
    </row>
    <row r="45" spans="1:13">
      <c r="A45" s="84" t="s">
        <v>104</v>
      </c>
      <c r="B45" s="122">
        <v>-1.827437915</v>
      </c>
      <c r="C45" s="72"/>
      <c r="D45" s="4">
        <v>0.21683500301481054</v>
      </c>
      <c r="E45" s="2">
        <v>8</v>
      </c>
      <c r="F45" s="10">
        <v>142</v>
      </c>
      <c r="G45" s="6">
        <v>0.6</v>
      </c>
      <c r="H45" s="14">
        <f t="shared" si="0"/>
        <v>-1.27</v>
      </c>
      <c r="I45" s="25"/>
      <c r="J45" s="39"/>
      <c r="K45" s="39"/>
      <c r="L45" s="40"/>
      <c r="M45" s="11" t="s">
        <v>105</v>
      </c>
    </row>
    <row r="46" spans="1:13">
      <c r="A46" s="82" t="s">
        <v>107</v>
      </c>
      <c r="B46" s="121">
        <v>-3.3873081730000001</v>
      </c>
      <c r="C46" s="71"/>
      <c r="D46" s="12">
        <v>0.18255878892749886</v>
      </c>
      <c r="E46" s="10">
        <v>20</v>
      </c>
      <c r="F46" s="10">
        <v>267</v>
      </c>
      <c r="G46" s="6">
        <v>1.58</v>
      </c>
      <c r="H46" s="14">
        <f t="shared" si="0"/>
        <v>-3.5</v>
      </c>
      <c r="I46" s="25"/>
      <c r="J46" s="39"/>
      <c r="K46" s="39"/>
      <c r="L46" s="40"/>
      <c r="M46" s="11" t="s">
        <v>108</v>
      </c>
    </row>
    <row r="47" spans="1:13">
      <c r="A47" s="81" t="s">
        <v>110</v>
      </c>
      <c r="B47" s="121">
        <v>-5.1728477499999999</v>
      </c>
      <c r="C47" s="71"/>
      <c r="D47" s="12">
        <v>0.16704647063532602</v>
      </c>
      <c r="E47" s="10">
        <v>6</v>
      </c>
      <c r="F47" s="10">
        <v>110.00000000000001</v>
      </c>
      <c r="G47" s="6">
        <v>3.36</v>
      </c>
      <c r="H47" s="14">
        <f t="shared" si="0"/>
        <v>-3.71</v>
      </c>
      <c r="I47" s="25"/>
      <c r="J47" s="39"/>
      <c r="K47" s="39"/>
      <c r="L47" s="40"/>
      <c r="M47" s="11" t="s">
        <v>111</v>
      </c>
    </row>
    <row r="48" spans="1:13">
      <c r="A48" s="82" t="s">
        <v>82</v>
      </c>
      <c r="B48" s="121">
        <v>-3.3641649079999998</v>
      </c>
      <c r="C48" s="71"/>
      <c r="D48" s="12">
        <v>0.17164501312359953</v>
      </c>
      <c r="E48" s="10">
        <v>7</v>
      </c>
      <c r="F48" s="10">
        <v>182</v>
      </c>
      <c r="G48" s="6">
        <v>2.67</v>
      </c>
      <c r="H48" s="14">
        <f t="shared" si="0"/>
        <v>-3.74</v>
      </c>
      <c r="I48" s="25"/>
      <c r="J48" s="39"/>
      <c r="K48" s="39"/>
      <c r="L48" s="40"/>
      <c r="M48" s="11" t="s">
        <v>113</v>
      </c>
    </row>
    <row r="49" spans="1:13">
      <c r="A49" s="84" t="s">
        <v>115</v>
      </c>
      <c r="B49" s="122">
        <v>-3.3416144700000001</v>
      </c>
      <c r="C49" s="72"/>
      <c r="D49" s="4">
        <v>0.12558353028546052</v>
      </c>
      <c r="E49" s="2">
        <v>4</v>
      </c>
      <c r="F49" s="10">
        <v>222.00000000000003</v>
      </c>
      <c r="G49" s="6">
        <v>2.56</v>
      </c>
      <c r="H49" s="14">
        <f t="shared" si="0"/>
        <v>-4.03</v>
      </c>
      <c r="I49" s="25"/>
      <c r="J49" s="39"/>
      <c r="K49" s="39"/>
      <c r="L49" s="40"/>
      <c r="M49" s="11" t="s">
        <v>116</v>
      </c>
    </row>
    <row r="50" spans="1:13">
      <c r="A50" s="82" t="s">
        <v>118</v>
      </c>
      <c r="B50" s="121">
        <v>-5.4005915330000001</v>
      </c>
      <c r="C50" s="71"/>
      <c r="D50" s="12">
        <v>0.1568133990664792</v>
      </c>
      <c r="E50" s="10">
        <v>6</v>
      </c>
      <c r="F50" s="10">
        <v>151</v>
      </c>
      <c r="G50" s="6">
        <v>3.27</v>
      </c>
      <c r="H50" s="14">
        <f t="shared" si="0"/>
        <v>-4.03</v>
      </c>
      <c r="I50" s="25"/>
      <c r="J50" s="39"/>
      <c r="K50" s="39"/>
      <c r="L50" s="40"/>
      <c r="M50" s="11" t="s">
        <v>119</v>
      </c>
    </row>
    <row r="51" spans="1:13">
      <c r="A51" s="85" t="s">
        <v>84</v>
      </c>
      <c r="B51" s="122">
        <v>-4.6187789810000002</v>
      </c>
      <c r="C51" s="72"/>
      <c r="D51" s="4">
        <v>0.12789394574374285</v>
      </c>
      <c r="E51" s="2">
        <v>5</v>
      </c>
      <c r="F51" s="10">
        <v>330</v>
      </c>
      <c r="G51" s="6">
        <v>2.87</v>
      </c>
      <c r="H51" s="14">
        <f t="shared" si="0"/>
        <v>-5.42</v>
      </c>
      <c r="I51" s="25"/>
      <c r="J51" s="39"/>
      <c r="K51" s="39"/>
      <c r="L51" s="40"/>
      <c r="M51" s="11" t="s">
        <v>120</v>
      </c>
    </row>
    <row r="52" spans="1:13">
      <c r="A52" s="82" t="s">
        <v>121</v>
      </c>
      <c r="B52" s="121">
        <v>-4.0593788330000002</v>
      </c>
      <c r="C52" s="71"/>
      <c r="D52" s="12">
        <v>0.18012800124370357</v>
      </c>
      <c r="E52" s="10">
        <v>3</v>
      </c>
      <c r="F52" s="10">
        <v>100</v>
      </c>
      <c r="G52" s="6">
        <v>3.53</v>
      </c>
      <c r="H52" s="14">
        <f t="shared" si="0"/>
        <v>-3.78</v>
      </c>
      <c r="I52" s="23"/>
      <c r="J52" s="7"/>
      <c r="K52" s="7"/>
      <c r="L52" s="24"/>
      <c r="M52" s="11" t="s">
        <v>122</v>
      </c>
    </row>
    <row r="53" spans="1:13">
      <c r="A53" s="81" t="s">
        <v>123</v>
      </c>
      <c r="B53" s="121">
        <v>-3.7583102940000002</v>
      </c>
      <c r="C53" s="71"/>
      <c r="D53" s="12">
        <v>0.18062104750721683</v>
      </c>
      <c r="E53" s="10">
        <v>16</v>
      </c>
      <c r="F53" s="10">
        <v>262.5</v>
      </c>
      <c r="G53" s="6">
        <v>1.9</v>
      </c>
      <c r="H53" s="14">
        <f t="shared" si="0"/>
        <v>-3.7749999999999999</v>
      </c>
      <c r="I53" s="23"/>
      <c r="J53" s="7"/>
      <c r="K53" s="7"/>
      <c r="L53" s="24"/>
      <c r="M53" s="11" t="s">
        <v>124</v>
      </c>
    </row>
    <row r="54" spans="1:13">
      <c r="A54" s="84" t="s">
        <v>125</v>
      </c>
      <c r="B54" s="122">
        <v>-3.2423044829999998</v>
      </c>
      <c r="C54" s="72"/>
      <c r="D54" s="4">
        <v>0.22156244268660033</v>
      </c>
      <c r="E54" s="2">
        <v>4</v>
      </c>
      <c r="F54" s="10">
        <v>328.85</v>
      </c>
      <c r="G54" s="6">
        <v>1.87</v>
      </c>
      <c r="H54" s="14">
        <f t="shared" si="0"/>
        <v>-4.4085000000000001</v>
      </c>
      <c r="I54" s="23"/>
      <c r="J54" s="7"/>
      <c r="K54" s="7"/>
      <c r="L54" s="24"/>
      <c r="M54" s="11" t="s">
        <v>126</v>
      </c>
    </row>
    <row r="55" spans="1:13">
      <c r="A55" s="82" t="s">
        <v>127</v>
      </c>
      <c r="B55" s="121">
        <v>-4.9218726259999999</v>
      </c>
      <c r="C55" s="71"/>
      <c r="D55" s="12">
        <v>0.18450811780713378</v>
      </c>
      <c r="E55" s="10">
        <v>33</v>
      </c>
      <c r="F55" s="10">
        <v>167.5</v>
      </c>
      <c r="G55" s="6">
        <v>4.3600000000000003</v>
      </c>
      <c r="H55" s="14">
        <f t="shared" si="0"/>
        <v>-5.2850000000000001</v>
      </c>
      <c r="I55" s="23"/>
      <c r="J55" s="7"/>
      <c r="K55" s="7"/>
      <c r="L55" s="24"/>
      <c r="M55" s="11" t="s">
        <v>128</v>
      </c>
    </row>
    <row r="56" spans="1:13">
      <c r="A56" s="82" t="s">
        <v>86</v>
      </c>
      <c r="B56" s="121">
        <v>-3.613201052</v>
      </c>
      <c r="C56" s="71"/>
      <c r="D56" s="12">
        <v>0.15609203233531485</v>
      </c>
      <c r="E56" s="10">
        <v>3</v>
      </c>
      <c r="F56" s="10">
        <v>223</v>
      </c>
      <c r="G56" s="6">
        <v>2.99</v>
      </c>
      <c r="H56" s="14">
        <f t="shared" si="0"/>
        <v>-4.4700000000000006</v>
      </c>
      <c r="I56" s="23"/>
      <c r="J56" s="7"/>
      <c r="K56" s="7"/>
      <c r="L56" s="24"/>
      <c r="M56" s="11" t="s">
        <v>129</v>
      </c>
    </row>
    <row r="57" spans="1:13">
      <c r="A57" s="82" t="s">
        <v>89</v>
      </c>
      <c r="B57" s="121">
        <v>-4.3457112120000003</v>
      </c>
      <c r="C57" s="71"/>
      <c r="D57" s="12">
        <v>0.20872343532408041</v>
      </c>
      <c r="E57" s="10">
        <v>3</v>
      </c>
      <c r="F57" s="10">
        <v>210.5</v>
      </c>
      <c r="G57" s="6">
        <v>2.72</v>
      </c>
      <c r="H57" s="14">
        <f t="shared" si="0"/>
        <v>-4.0750000000000002</v>
      </c>
      <c r="I57" s="26"/>
      <c r="J57" s="27"/>
      <c r="K57" s="27"/>
      <c r="L57" s="28"/>
      <c r="M57" s="11" t="s">
        <v>130</v>
      </c>
    </row>
    <row r="58" spans="1:13">
      <c r="A58" s="84" t="s">
        <v>131</v>
      </c>
      <c r="B58" s="122">
        <v>-3.6519365609999999</v>
      </c>
      <c r="C58" s="72"/>
      <c r="D58" s="4">
        <v>0.1297319013416561</v>
      </c>
      <c r="E58" s="2">
        <v>3</v>
      </c>
      <c r="F58" s="10">
        <v>209.75</v>
      </c>
      <c r="G58" s="6">
        <v>3.37</v>
      </c>
      <c r="H58" s="14">
        <f t="shared" si="0"/>
        <v>-4.7175000000000002</v>
      </c>
      <c r="J58" s="14"/>
      <c r="K58" s="14"/>
      <c r="L58" s="14"/>
      <c r="M58" s="11" t="s">
        <v>132</v>
      </c>
    </row>
    <row r="59" spans="1:13">
      <c r="A59" s="81" t="s">
        <v>92</v>
      </c>
      <c r="B59" s="121">
        <v>-4.0022144229999999</v>
      </c>
      <c r="C59" s="71"/>
      <c r="D59" s="12">
        <v>0.14124198841117766</v>
      </c>
      <c r="E59" s="10">
        <v>3</v>
      </c>
      <c r="F59" s="10">
        <v>53.5</v>
      </c>
      <c r="G59" s="6">
        <v>3.43</v>
      </c>
      <c r="H59" s="14">
        <f t="shared" si="0"/>
        <v>-3.2150000000000003</v>
      </c>
      <c r="I59" s="70" t="s">
        <v>133</v>
      </c>
      <c r="J59" s="32">
        <v>124</v>
      </c>
      <c r="K59" s="34"/>
      <c r="L59" s="14"/>
      <c r="M59" s="11" t="s">
        <v>134</v>
      </c>
    </row>
    <row r="60" spans="1:13">
      <c r="A60" s="81" t="s">
        <v>135</v>
      </c>
      <c r="B60" s="121">
        <v>-1.8978301630000001</v>
      </c>
      <c r="C60" s="71"/>
      <c r="D60" s="12">
        <v>0.17069281866408892</v>
      </c>
      <c r="E60" s="10">
        <v>6</v>
      </c>
      <c r="F60" s="10">
        <v>270</v>
      </c>
      <c r="G60" s="6">
        <v>0.05</v>
      </c>
      <c r="H60" s="14">
        <f t="shared" si="0"/>
        <v>-2</v>
      </c>
      <c r="I60" s="70" t="s">
        <v>136</v>
      </c>
      <c r="J60" s="32" t="s">
        <v>394</v>
      </c>
      <c r="K60" s="34"/>
      <c r="L60" s="14"/>
      <c r="M60" s="11" t="s">
        <v>137</v>
      </c>
    </row>
    <row r="61" spans="1:13">
      <c r="A61" s="82" t="s">
        <v>138</v>
      </c>
      <c r="B61" s="121">
        <v>-3.6193903509999998</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s="121">
        <v>-3.830692456</v>
      </c>
      <c r="C62" s="71"/>
      <c r="D62" s="12">
        <v>0.18021422622763517</v>
      </c>
      <c r="E62" s="10">
        <v>5</v>
      </c>
      <c r="F62" s="10">
        <v>214.5</v>
      </c>
      <c r="G62" s="6">
        <v>3.61</v>
      </c>
      <c r="H62" s="14">
        <f t="shared" si="0"/>
        <v>-5.0049999999999999</v>
      </c>
      <c r="I62" s="14"/>
      <c r="J62" s="14"/>
      <c r="K62" s="14"/>
      <c r="L62" s="14"/>
      <c r="M62" s="11" t="s">
        <v>142</v>
      </c>
    </row>
    <row r="63" spans="1:13">
      <c r="A63" s="82" t="s">
        <v>143</v>
      </c>
      <c r="B63" s="121">
        <v>-3.918537304</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s="121">
        <v>-3.4382529989999999</v>
      </c>
      <c r="C64" s="71"/>
      <c r="D64" s="12">
        <v>0.17</v>
      </c>
      <c r="E64" s="10">
        <v>3</v>
      </c>
      <c r="F64" s="10">
        <v>189</v>
      </c>
      <c r="G64" s="6">
        <v>1.34</v>
      </c>
      <c r="H64" s="14">
        <f t="shared" si="0"/>
        <v>-2.4800000000000004</v>
      </c>
      <c r="I64" s="20" t="s">
        <v>395</v>
      </c>
      <c r="J64" s="21"/>
      <c r="K64" s="21"/>
      <c r="L64" s="22"/>
      <c r="M64" s="11" t="s">
        <v>148</v>
      </c>
    </row>
    <row r="65" spans="1:13">
      <c r="A65" s="82" t="s">
        <v>149</v>
      </c>
      <c r="B65" s="121">
        <v>-4.0233913689999996</v>
      </c>
      <c r="C65" s="71"/>
      <c r="D65" s="12">
        <v>0.19794493160510693</v>
      </c>
      <c r="E65" s="10">
        <v>4</v>
      </c>
      <c r="F65" s="10">
        <v>243.5</v>
      </c>
      <c r="G65" s="6">
        <v>1.34</v>
      </c>
      <c r="H65" s="14">
        <f t="shared" si="0"/>
        <v>-3.0250000000000004</v>
      </c>
      <c r="I65" s="23" t="s">
        <v>396</v>
      </c>
      <c r="J65" s="7"/>
      <c r="K65" s="7"/>
      <c r="L65" s="24"/>
      <c r="M65" s="11" t="s">
        <v>151</v>
      </c>
    </row>
    <row r="66" spans="1:13">
      <c r="A66" s="81" t="s">
        <v>95</v>
      </c>
      <c r="B66" s="121">
        <v>-2.9423940790000001</v>
      </c>
      <c r="C66" s="71"/>
      <c r="D66" s="12">
        <v>0.21056099074293383</v>
      </c>
      <c r="E66" s="10">
        <v>3</v>
      </c>
      <c r="F66" s="10">
        <v>36.5</v>
      </c>
      <c r="G66" s="6">
        <v>2.74</v>
      </c>
      <c r="H66" s="14">
        <f t="shared" si="0"/>
        <v>-2.3550000000000004</v>
      </c>
      <c r="I66" s="23" t="s">
        <v>397</v>
      </c>
      <c r="J66" s="7"/>
      <c r="K66" s="7"/>
      <c r="L66" s="24"/>
      <c r="M66" s="11" t="s">
        <v>152</v>
      </c>
    </row>
    <row r="67" spans="1:13">
      <c r="A67" s="83" t="s">
        <v>153</v>
      </c>
      <c r="B67" s="121">
        <v>-4.4336778560000001</v>
      </c>
      <c r="C67" s="71"/>
      <c r="D67" s="12">
        <v>0.21092434073951916</v>
      </c>
      <c r="E67" s="10">
        <v>10</v>
      </c>
      <c r="F67" s="10">
        <v>186</v>
      </c>
      <c r="G67" s="6">
        <v>3.4</v>
      </c>
      <c r="H67" s="14">
        <f t="shared" si="0"/>
        <v>-4.51</v>
      </c>
      <c r="I67" s="23" t="s">
        <v>398</v>
      </c>
      <c r="J67" s="7"/>
      <c r="K67" s="7"/>
      <c r="L67" s="24"/>
      <c r="M67" s="11" t="s">
        <v>154</v>
      </c>
    </row>
    <row r="68" spans="1:13">
      <c r="A68" s="81" t="s">
        <v>98</v>
      </c>
      <c r="B68" s="121">
        <v>-3.6761697149999999</v>
      </c>
      <c r="C68" s="71"/>
      <c r="D68" s="12">
        <v>0.18695478693957188</v>
      </c>
      <c r="E68" s="10">
        <v>3</v>
      </c>
      <c r="F68" s="10">
        <v>252.99999999999997</v>
      </c>
      <c r="G68" s="6">
        <v>2.35</v>
      </c>
      <c r="H68" s="14">
        <f t="shared" si="0"/>
        <v>-4.13</v>
      </c>
      <c r="I68" s="23" t="s">
        <v>399</v>
      </c>
      <c r="J68" s="7"/>
      <c r="K68" s="7"/>
      <c r="L68" s="24"/>
      <c r="M68" s="11" t="s">
        <v>155</v>
      </c>
    </row>
    <row r="69" spans="1:13">
      <c r="A69" s="83" t="s">
        <v>156</v>
      </c>
      <c r="B69" s="121">
        <v>-4.5249814879999999</v>
      </c>
      <c r="C69" s="71"/>
      <c r="D69" s="12">
        <v>0.20491085989689112</v>
      </c>
      <c r="E69" s="10">
        <v>23</v>
      </c>
      <c r="F69" s="10">
        <v>111.00000000000001</v>
      </c>
      <c r="G69" s="6">
        <v>3.68</v>
      </c>
      <c r="H69" s="14">
        <f t="shared" si="0"/>
        <v>-4.04</v>
      </c>
      <c r="I69" s="23" t="s">
        <v>400</v>
      </c>
      <c r="J69" s="7"/>
      <c r="K69" s="7"/>
      <c r="L69" s="24"/>
      <c r="M69" s="11" t="s">
        <v>157</v>
      </c>
    </row>
    <row r="70" spans="1:13">
      <c r="A70" s="81" t="s">
        <v>158</v>
      </c>
      <c r="B70" s="121">
        <v>-4.7351646809999997</v>
      </c>
      <c r="C70" s="71"/>
      <c r="D70" s="12">
        <v>0.15545016183846921</v>
      </c>
      <c r="E70" s="10">
        <v>6</v>
      </c>
      <c r="F70" s="10">
        <v>250</v>
      </c>
      <c r="G70" s="6">
        <v>-0.04</v>
      </c>
      <c r="H70" s="14">
        <f t="shared" si="0"/>
        <v>-1.71</v>
      </c>
      <c r="I70" s="23" t="s">
        <v>401</v>
      </c>
      <c r="J70" s="7"/>
      <c r="K70" s="7"/>
      <c r="L70" s="24"/>
      <c r="M70" s="11" t="s">
        <v>159</v>
      </c>
    </row>
    <row r="71" spans="1:13">
      <c r="A71" s="82" t="s">
        <v>160</v>
      </c>
      <c r="B71" s="121">
        <v>-2.6342560939999999</v>
      </c>
      <c r="C71" s="71"/>
      <c r="D71" s="12">
        <v>0.13261436390895148</v>
      </c>
      <c r="E71" s="10">
        <v>3</v>
      </c>
      <c r="F71" s="10">
        <v>250</v>
      </c>
      <c r="G71" s="6">
        <v>-1.97</v>
      </c>
      <c r="H71" s="14">
        <f t="shared" si="0"/>
        <v>0.21999999999999975</v>
      </c>
      <c r="I71" s="23" t="s">
        <v>402</v>
      </c>
      <c r="J71" s="7"/>
      <c r="K71" s="7"/>
      <c r="L71" s="24"/>
      <c r="M71" s="11" t="s">
        <v>161</v>
      </c>
    </row>
    <row r="72" spans="1:13">
      <c r="A72" s="82" t="s">
        <v>162</v>
      </c>
      <c r="B72" s="121">
        <v>-5.5228789999999996</v>
      </c>
      <c r="C72" s="71"/>
      <c r="D72" s="12">
        <v>0.21159815676624968</v>
      </c>
      <c r="E72" s="10">
        <v>9</v>
      </c>
      <c r="F72" s="10">
        <v>208.5</v>
      </c>
      <c r="G72" s="6">
        <v>2.08</v>
      </c>
      <c r="H72" s="14">
        <f t="shared" si="0"/>
        <v>-3.415</v>
      </c>
      <c r="I72" s="23" t="s">
        <v>403</v>
      </c>
      <c r="J72" s="7"/>
      <c r="K72" s="7"/>
      <c r="L72" s="24"/>
      <c r="M72" s="11" t="s">
        <v>163</v>
      </c>
    </row>
    <row r="73" spans="1:13">
      <c r="A73" s="82" t="s">
        <v>164</v>
      </c>
      <c r="B73" s="121">
        <v>-3.4342507040000001</v>
      </c>
      <c r="C73" s="71"/>
      <c r="D73" s="12">
        <v>0.1900151243705871</v>
      </c>
      <c r="E73" s="10">
        <v>15</v>
      </c>
      <c r="F73" s="10">
        <v>220.00000000000003</v>
      </c>
      <c r="G73" s="6">
        <v>2.69</v>
      </c>
      <c r="H73" s="14">
        <f t="shared" si="0"/>
        <v>-4.1400000000000006</v>
      </c>
      <c r="I73" s="23" t="s">
        <v>404</v>
      </c>
      <c r="J73" s="7"/>
      <c r="K73" s="7"/>
      <c r="L73" s="24"/>
      <c r="M73" s="11" t="s">
        <v>165</v>
      </c>
    </row>
    <row r="74" spans="1:13">
      <c r="A74" s="82" t="s">
        <v>166</v>
      </c>
      <c r="B74" s="121">
        <v>-5.3778067829999996</v>
      </c>
      <c r="C74" s="71"/>
      <c r="D74" s="12">
        <v>0.16978183023026608</v>
      </c>
      <c r="E74" s="10">
        <v>10</v>
      </c>
      <c r="F74" s="10">
        <v>151</v>
      </c>
      <c r="G74" s="6">
        <v>4.43</v>
      </c>
      <c r="H74" s="14">
        <f t="shared" si="0"/>
        <v>-5.1899999999999995</v>
      </c>
      <c r="I74" s="23" t="s">
        <v>405</v>
      </c>
      <c r="J74" s="7"/>
      <c r="K74" s="7"/>
      <c r="L74" s="24"/>
      <c r="M74" s="11" t="s">
        <v>167</v>
      </c>
    </row>
    <row r="75" spans="1:13">
      <c r="A75" s="83" t="s">
        <v>100</v>
      </c>
      <c r="B75" s="121">
        <v>-5.533123024</v>
      </c>
      <c r="C75" s="71"/>
      <c r="D75" s="12">
        <v>0.19416214604145643</v>
      </c>
      <c r="E75" s="10">
        <v>7</v>
      </c>
      <c r="F75" s="10">
        <v>154.5</v>
      </c>
      <c r="G75" s="6">
        <v>4.22</v>
      </c>
      <c r="H75" s="14">
        <f t="shared" si="0"/>
        <v>-5.0149999999999997</v>
      </c>
      <c r="I75" s="23" t="s">
        <v>406</v>
      </c>
      <c r="J75" s="7"/>
      <c r="K75" s="7"/>
      <c r="L75" s="24"/>
      <c r="M75" s="11" t="s">
        <v>168</v>
      </c>
    </row>
    <row r="76" spans="1:13">
      <c r="A76" s="82" t="s">
        <v>169</v>
      </c>
      <c r="B76" s="121">
        <v>-5.498042914</v>
      </c>
      <c r="C76" s="71"/>
      <c r="D76" s="12">
        <v>0.16048013551961601</v>
      </c>
      <c r="E76" s="10">
        <v>5</v>
      </c>
      <c r="F76" s="10">
        <v>167.75</v>
      </c>
      <c r="G76" s="6">
        <v>2.87</v>
      </c>
      <c r="H76" s="14">
        <f t="shared" si="0"/>
        <v>-3.7975000000000003</v>
      </c>
      <c r="I76" s="23" t="s">
        <v>407</v>
      </c>
      <c r="J76" s="7"/>
      <c r="K76" s="7"/>
      <c r="L76" s="24"/>
      <c r="M76" s="11" t="s">
        <v>170</v>
      </c>
    </row>
    <row r="77" spans="1:13">
      <c r="A77" s="84" t="s">
        <v>171</v>
      </c>
      <c r="B77" s="122">
        <v>-4.8933644010000004</v>
      </c>
      <c r="C77" s="72"/>
      <c r="D77" s="4">
        <v>0.22239504833634874</v>
      </c>
      <c r="E77" s="2">
        <v>21</v>
      </c>
      <c r="F77" s="10">
        <v>159</v>
      </c>
      <c r="G77" s="6">
        <v>3.93</v>
      </c>
      <c r="H77" s="14">
        <f t="shared" si="0"/>
        <v>-4.7700000000000005</v>
      </c>
      <c r="I77" s="23" t="s">
        <v>408</v>
      </c>
      <c r="J77" s="7"/>
      <c r="K77" s="7"/>
      <c r="L77" s="24"/>
      <c r="M77" s="11" t="s">
        <v>172</v>
      </c>
    </row>
    <row r="78" spans="1:13">
      <c r="A78" s="82" t="s">
        <v>173</v>
      </c>
      <c r="B78" s="121">
        <v>-4.5929432830000003</v>
      </c>
      <c r="C78" s="71"/>
      <c r="D78" s="12">
        <v>0.21209434799218393</v>
      </c>
      <c r="E78" s="10">
        <v>5</v>
      </c>
      <c r="F78" s="10">
        <v>213.49999999999997</v>
      </c>
      <c r="G78" s="6">
        <v>3.04</v>
      </c>
      <c r="H78" s="14">
        <f t="shared" si="0"/>
        <v>-4.4249999999999998</v>
      </c>
      <c r="I78" s="23"/>
      <c r="J78" s="7"/>
      <c r="K78" s="7"/>
      <c r="L78" s="24"/>
      <c r="M78" s="11" t="s">
        <v>174</v>
      </c>
    </row>
    <row r="79" spans="1:13">
      <c r="A79" s="82" t="s">
        <v>175</v>
      </c>
      <c r="B79" s="121">
        <v>-5.0165834360000003</v>
      </c>
      <c r="C79" s="71"/>
      <c r="D79" s="12">
        <v>0.1407224156406931</v>
      </c>
      <c r="E79" s="10">
        <v>11</v>
      </c>
      <c r="F79" s="10">
        <v>146</v>
      </c>
      <c r="G79" s="6">
        <v>4.21</v>
      </c>
      <c r="H79" s="14">
        <f t="shared" si="0"/>
        <v>-4.92</v>
      </c>
      <c r="I79" s="23"/>
      <c r="J79" s="7"/>
      <c r="K79" s="7"/>
      <c r="L79" s="24"/>
      <c r="M79" s="11" t="s">
        <v>176</v>
      </c>
    </row>
    <row r="80" spans="1:13">
      <c r="A80" s="82" t="s">
        <v>177</v>
      </c>
      <c r="B80" s="121">
        <v>-4.5969609360000003</v>
      </c>
      <c r="C80" s="71"/>
      <c r="D80" s="12">
        <v>0.21748916450754371</v>
      </c>
      <c r="E80" s="10">
        <v>5</v>
      </c>
      <c r="F80" s="10">
        <v>92.333333333333329</v>
      </c>
      <c r="G80" s="6">
        <v>4.21</v>
      </c>
      <c r="H80" s="14">
        <f t="shared" si="0"/>
        <v>-4.3833333333333329</v>
      </c>
      <c r="I80" s="23"/>
      <c r="J80" s="7"/>
      <c r="K80" s="7"/>
      <c r="L80" s="24"/>
      <c r="M80" s="11" t="s">
        <v>178</v>
      </c>
    </row>
    <row r="81" spans="1:13">
      <c r="A81" s="81" t="s">
        <v>179</v>
      </c>
      <c r="B81" s="121">
        <v>-4.3566392629999999</v>
      </c>
      <c r="C81" s="71"/>
      <c r="D81" s="12">
        <v>0.20531013145176411</v>
      </c>
      <c r="E81" s="10">
        <v>8</v>
      </c>
      <c r="F81" s="10">
        <v>256</v>
      </c>
      <c r="G81" s="6">
        <v>2.71</v>
      </c>
      <c r="H81" s="14">
        <f t="shared" si="0"/>
        <v>-4.5199999999999996</v>
      </c>
      <c r="I81" s="23"/>
      <c r="J81" s="7"/>
      <c r="K81" s="7"/>
      <c r="L81" s="24"/>
      <c r="M81" s="11" t="s">
        <v>180</v>
      </c>
    </row>
    <row r="82" spans="1:13">
      <c r="A82" s="81" t="s">
        <v>181</v>
      </c>
      <c r="B82" s="121">
        <v>-4.4153950259999997</v>
      </c>
      <c r="C82" s="71"/>
      <c r="D82" s="12">
        <v>0.21176785142223761</v>
      </c>
      <c r="E82" s="10">
        <v>3</v>
      </c>
      <c r="F82" s="10">
        <v>80</v>
      </c>
      <c r="G82" s="6">
        <v>3.37</v>
      </c>
      <c r="H82" s="14">
        <f t="shared" si="0"/>
        <v>-3.42</v>
      </c>
      <c r="I82" s="23"/>
      <c r="J82" s="7"/>
      <c r="K82" s="7"/>
      <c r="L82" s="24"/>
      <c r="M82" s="11" t="s">
        <v>182</v>
      </c>
    </row>
    <row r="83" spans="1:13">
      <c r="A83" s="81" t="s">
        <v>183</v>
      </c>
      <c r="B83" s="121">
        <v>-4.2076884120000004</v>
      </c>
      <c r="C83" s="71"/>
      <c r="D83" s="12">
        <v>0.16217657762412213</v>
      </c>
      <c r="E83" s="10">
        <v>17</v>
      </c>
      <c r="F83" s="10">
        <v>153</v>
      </c>
      <c r="G83" s="6">
        <v>3.04</v>
      </c>
      <c r="H83" s="14">
        <f t="shared" si="0"/>
        <v>-3.8200000000000003</v>
      </c>
      <c r="I83" s="23"/>
      <c r="J83" s="7"/>
      <c r="K83" s="7"/>
      <c r="L83" s="24"/>
      <c r="M83" s="11" t="s">
        <v>184</v>
      </c>
    </row>
    <row r="84" spans="1:13">
      <c r="A84" s="82" t="s">
        <v>185</v>
      </c>
      <c r="B84" s="121">
        <v>-5.882183607</v>
      </c>
      <c r="C84" s="71"/>
      <c r="D84" s="12">
        <v>0.20448827496623867</v>
      </c>
      <c r="E84" s="10">
        <v>3</v>
      </c>
      <c r="F84" s="10">
        <v>349.84</v>
      </c>
      <c r="G84" s="6">
        <v>4.75</v>
      </c>
      <c r="H84" s="14">
        <f t="shared" si="0"/>
        <v>-7.4984000000000002</v>
      </c>
      <c r="I84" s="23"/>
      <c r="J84" s="7"/>
      <c r="K84" s="7"/>
      <c r="L84" s="24"/>
      <c r="M84" s="11" t="s">
        <v>186</v>
      </c>
    </row>
    <row r="85" spans="1:13">
      <c r="A85" s="82" t="s">
        <v>187</v>
      </c>
      <c r="B85" s="121">
        <v>-3.715141848</v>
      </c>
      <c r="C85" s="71"/>
      <c r="D85" s="12">
        <v>0.14358294446577732</v>
      </c>
      <c r="E85" s="10">
        <v>6</v>
      </c>
      <c r="F85" s="10">
        <v>248</v>
      </c>
      <c r="G85" s="6">
        <v>2.65</v>
      </c>
      <c r="H85" s="14">
        <f t="shared" si="0"/>
        <v>-4.38</v>
      </c>
      <c r="I85" s="23"/>
      <c r="J85" s="7"/>
      <c r="K85" s="7"/>
      <c r="L85" s="24"/>
      <c r="M85" s="11" t="s">
        <v>188</v>
      </c>
    </row>
    <row r="86" spans="1:13">
      <c r="A86" s="82" t="s">
        <v>189</v>
      </c>
      <c r="B86" s="121">
        <v>-4.2807262509999999</v>
      </c>
      <c r="C86" s="71"/>
      <c r="D86" s="12">
        <v>0.15384096988991314</v>
      </c>
      <c r="E86" s="10">
        <v>11</v>
      </c>
      <c r="F86" s="10">
        <v>173</v>
      </c>
      <c r="G86" s="6">
        <v>2.1800000000000002</v>
      </c>
      <c r="H86" s="14">
        <f t="shared" si="0"/>
        <v>-3.16</v>
      </c>
      <c r="I86" s="23"/>
      <c r="J86" s="7"/>
      <c r="K86" s="7"/>
      <c r="L86" s="24"/>
      <c r="M86" s="11" t="s">
        <v>190</v>
      </c>
    </row>
    <row r="87" spans="1:13">
      <c r="A87" s="82" t="s">
        <v>191</v>
      </c>
      <c r="B87" s="121">
        <v>-4.2945973339999997</v>
      </c>
      <c r="C87" s="71"/>
      <c r="D87" s="12">
        <v>0.14176528631434945</v>
      </c>
      <c r="E87" s="10">
        <v>5</v>
      </c>
      <c r="F87" s="10">
        <v>143.75</v>
      </c>
      <c r="G87" s="6">
        <v>2.76</v>
      </c>
      <c r="H87" s="14">
        <f t="shared" ref="H87:H122" si="1">0.5-G87-0.01*(F87-25)</f>
        <v>-3.4474999999999998</v>
      </c>
      <c r="I87" s="23"/>
      <c r="J87" s="7"/>
      <c r="K87" s="7"/>
      <c r="L87" s="24"/>
      <c r="M87" s="11" t="s">
        <v>192</v>
      </c>
    </row>
    <row r="88" spans="1:13">
      <c r="A88" s="82" t="s">
        <v>193</v>
      </c>
      <c r="B88" s="121">
        <v>-2.8621211889999998</v>
      </c>
      <c r="C88" s="71"/>
      <c r="D88" s="12">
        <v>0.16213928191469343</v>
      </c>
      <c r="E88" s="10">
        <v>19</v>
      </c>
      <c r="F88" s="10">
        <v>220.5</v>
      </c>
      <c r="G88" s="6">
        <v>1.27</v>
      </c>
      <c r="H88" s="14">
        <f t="shared" si="1"/>
        <v>-2.7250000000000001</v>
      </c>
      <c r="I88" s="23"/>
      <c r="J88" s="7"/>
      <c r="K88" s="7"/>
      <c r="L88" s="24"/>
      <c r="M88" s="11" t="s">
        <v>194</v>
      </c>
    </row>
    <row r="89" spans="1:13">
      <c r="A89" s="82" t="s">
        <v>195</v>
      </c>
      <c r="B89" s="121">
        <v>-4.5706300149999999</v>
      </c>
      <c r="C89" s="71"/>
      <c r="D89" s="12">
        <v>0.16127920198135692</v>
      </c>
      <c r="E89" s="10">
        <v>5</v>
      </c>
      <c r="F89" s="10">
        <v>214</v>
      </c>
      <c r="G89" s="6">
        <v>3.83</v>
      </c>
      <c r="H89" s="14">
        <f t="shared" si="1"/>
        <v>-5.2200000000000006</v>
      </c>
      <c r="I89" s="23"/>
      <c r="J89" s="7"/>
      <c r="K89" s="7"/>
      <c r="L89" s="24"/>
      <c r="M89" s="11" t="s">
        <v>196</v>
      </c>
    </row>
    <row r="90" spans="1:13">
      <c r="A90" s="83" t="s">
        <v>197</v>
      </c>
      <c r="B90" s="121">
        <v>-3.8129251769999999</v>
      </c>
      <c r="C90" s="71"/>
      <c r="D90" s="12">
        <v>0.13869006117838048</v>
      </c>
      <c r="E90" s="10">
        <v>3</v>
      </c>
      <c r="F90" s="10">
        <v>176</v>
      </c>
      <c r="G90" s="6">
        <v>2.88</v>
      </c>
      <c r="H90" s="14">
        <f t="shared" si="1"/>
        <v>-3.8899999999999997</v>
      </c>
      <c r="I90" s="23"/>
      <c r="J90" s="7"/>
      <c r="K90" s="7"/>
      <c r="L90" s="24"/>
      <c r="M90" s="11" t="s">
        <v>198</v>
      </c>
    </row>
    <row r="91" spans="1:13">
      <c r="A91" s="85" t="s">
        <v>199</v>
      </c>
      <c r="B91" s="122">
        <v>-2.5736285570000001</v>
      </c>
      <c r="C91" s="72"/>
      <c r="D91" s="4">
        <v>0.1259834086188602</v>
      </c>
      <c r="E91" s="2">
        <v>14</v>
      </c>
      <c r="F91" s="10">
        <v>253.5</v>
      </c>
      <c r="G91" s="6">
        <v>1.54</v>
      </c>
      <c r="H91" s="14">
        <f t="shared" si="1"/>
        <v>-3.3250000000000002</v>
      </c>
      <c r="I91" s="23"/>
      <c r="J91" s="7"/>
      <c r="K91" s="7"/>
      <c r="L91" s="24"/>
      <c r="M91" s="11" t="s">
        <v>200</v>
      </c>
    </row>
    <row r="92" spans="1:13">
      <c r="A92" s="82" t="s">
        <v>201</v>
      </c>
      <c r="B92" s="121">
        <v>-3.6984735120000001</v>
      </c>
      <c r="C92" s="71"/>
      <c r="D92" s="12">
        <v>0.16504944177542516</v>
      </c>
      <c r="E92" s="10">
        <v>5</v>
      </c>
      <c r="F92" s="10">
        <v>205.50000000000003</v>
      </c>
      <c r="G92" s="6">
        <v>2.4500000000000002</v>
      </c>
      <c r="H92" s="14">
        <f t="shared" si="1"/>
        <v>-3.7550000000000008</v>
      </c>
      <c r="I92" s="23"/>
      <c r="J92" s="7"/>
      <c r="K92" s="7"/>
      <c r="L92" s="24"/>
      <c r="M92" s="11" t="s">
        <v>202</v>
      </c>
    </row>
    <row r="93" spans="1:13">
      <c r="A93" s="83" t="s">
        <v>203</v>
      </c>
      <c r="B93" s="121">
        <v>-4.6958020830000002</v>
      </c>
      <c r="C93" s="71"/>
      <c r="D93" s="12">
        <v>0.19426266518058349</v>
      </c>
      <c r="E93" s="10">
        <v>3</v>
      </c>
      <c r="F93" s="10">
        <v>96</v>
      </c>
      <c r="G93" s="6">
        <v>3.49</v>
      </c>
      <c r="H93" s="14">
        <f t="shared" si="1"/>
        <v>-3.7</v>
      </c>
      <c r="I93" s="23"/>
      <c r="J93" s="7"/>
      <c r="K93" s="7"/>
      <c r="L93" s="24"/>
      <c r="M93" s="11" t="s">
        <v>204</v>
      </c>
    </row>
    <row r="94" spans="1:13">
      <c r="A94" s="82" t="s">
        <v>205</v>
      </c>
      <c r="B94" s="121">
        <v>-4.3477881920000003</v>
      </c>
      <c r="C94" s="71"/>
      <c r="D94" s="12">
        <v>0.18894337149737056</v>
      </c>
      <c r="E94" s="10">
        <v>12</v>
      </c>
      <c r="F94" s="10">
        <v>147.25</v>
      </c>
      <c r="G94" s="6">
        <v>3.86</v>
      </c>
      <c r="H94" s="14">
        <f t="shared" si="1"/>
        <v>-4.5824999999999996</v>
      </c>
      <c r="I94" s="23"/>
      <c r="J94" s="7"/>
      <c r="K94" s="7"/>
      <c r="L94" s="24"/>
      <c r="M94" s="11" t="s">
        <v>206</v>
      </c>
    </row>
    <row r="95" spans="1:13">
      <c r="A95" s="82" t="s">
        <v>207</v>
      </c>
      <c r="B95" s="121">
        <v>-4.792516022</v>
      </c>
      <c r="C95" s="71"/>
      <c r="D95" s="12">
        <v>0.17391407185160324</v>
      </c>
      <c r="E95" s="10">
        <v>6</v>
      </c>
      <c r="F95" s="10">
        <v>97</v>
      </c>
      <c r="G95" s="6">
        <v>3.94</v>
      </c>
      <c r="H95" s="14">
        <f t="shared" si="1"/>
        <v>-4.16</v>
      </c>
      <c r="I95" s="23"/>
      <c r="J95" s="7"/>
      <c r="K95" s="7"/>
      <c r="L95" s="24"/>
      <c r="M95" s="11" t="s">
        <v>208</v>
      </c>
    </row>
    <row r="96" spans="1:13">
      <c r="A96" s="81" t="s">
        <v>209</v>
      </c>
      <c r="B96" s="121">
        <v>-2.312197158</v>
      </c>
      <c r="C96" s="71"/>
      <c r="D96" s="12">
        <v>0.13764369691033657</v>
      </c>
      <c r="E96" s="10">
        <v>10</v>
      </c>
      <c r="F96" s="10">
        <v>134.5</v>
      </c>
      <c r="G96" s="6">
        <v>2.04</v>
      </c>
      <c r="H96" s="14">
        <f t="shared" si="1"/>
        <v>-2.6349999999999998</v>
      </c>
      <c r="I96" s="23"/>
      <c r="J96" s="7"/>
      <c r="K96" s="7"/>
      <c r="L96" s="24"/>
      <c r="M96" s="11" t="s">
        <v>210</v>
      </c>
    </row>
    <row r="97" spans="1:13">
      <c r="A97" s="82" t="s">
        <v>211</v>
      </c>
      <c r="B97" s="121">
        <v>-3.999087673</v>
      </c>
      <c r="C97" s="71"/>
      <c r="D97" s="12">
        <v>0.16245746888591447</v>
      </c>
      <c r="E97" s="10">
        <v>7</v>
      </c>
      <c r="F97" s="10">
        <v>139</v>
      </c>
      <c r="G97" s="6">
        <v>2.66</v>
      </c>
      <c r="H97" s="14">
        <f t="shared" si="1"/>
        <v>-3.3000000000000003</v>
      </c>
      <c r="I97" s="23"/>
      <c r="J97" s="7"/>
      <c r="K97" s="7"/>
      <c r="L97" s="24"/>
      <c r="M97" s="11" t="s">
        <v>212</v>
      </c>
    </row>
    <row r="98" spans="1:13">
      <c r="A98" s="82" t="s">
        <v>213</v>
      </c>
      <c r="B98" s="121">
        <v>-3.1242119740000001</v>
      </c>
      <c r="C98" s="71"/>
      <c r="D98" s="12">
        <v>0.15322122505052199</v>
      </c>
      <c r="E98" s="10">
        <v>9</v>
      </c>
      <c r="F98" s="10">
        <v>170</v>
      </c>
      <c r="G98" s="6">
        <v>1.91</v>
      </c>
      <c r="H98" s="14">
        <f t="shared" si="1"/>
        <v>-2.86</v>
      </c>
      <c r="I98" s="23"/>
      <c r="J98" s="7"/>
      <c r="K98" s="7"/>
      <c r="L98" s="24"/>
      <c r="M98" s="11" t="s">
        <v>214</v>
      </c>
    </row>
    <row r="99" spans="1:13">
      <c r="A99" s="81" t="s">
        <v>215</v>
      </c>
      <c r="B99" s="121">
        <v>-3.6761296360000002</v>
      </c>
      <c r="C99" s="71"/>
      <c r="D99" s="12">
        <v>0.15273607916541068</v>
      </c>
      <c r="E99" s="10">
        <v>10</v>
      </c>
      <c r="F99" s="10">
        <v>326</v>
      </c>
      <c r="G99" s="6">
        <v>2.44</v>
      </c>
      <c r="H99" s="14">
        <f t="shared" si="1"/>
        <v>-4.95</v>
      </c>
      <c r="I99" s="23"/>
      <c r="J99" s="7"/>
      <c r="K99" s="7"/>
      <c r="L99" s="24"/>
      <c r="M99" s="11" t="s">
        <v>216</v>
      </c>
    </row>
    <row r="100" spans="1:13">
      <c r="A100" s="82" t="s">
        <v>217</v>
      </c>
      <c r="B100" s="121">
        <v>-3.037720223</v>
      </c>
      <c r="C100" s="71"/>
      <c r="D100" s="12">
        <v>0.18404701512102448</v>
      </c>
      <c r="E100" s="10">
        <v>5</v>
      </c>
      <c r="F100" s="10">
        <v>232.50000000000003</v>
      </c>
      <c r="G100" s="6">
        <v>1.8</v>
      </c>
      <c r="H100" s="14">
        <f t="shared" si="1"/>
        <v>-3.375</v>
      </c>
      <c r="I100" s="23"/>
      <c r="J100" s="7"/>
      <c r="K100" s="7"/>
      <c r="L100" s="24"/>
      <c r="M100" s="11" t="s">
        <v>218</v>
      </c>
    </row>
    <row r="101" spans="1:13">
      <c r="A101" s="82" t="s">
        <v>219</v>
      </c>
      <c r="B101" s="121">
        <v>-2.5345246810000002</v>
      </c>
      <c r="C101" s="71"/>
      <c r="D101" s="12">
        <v>0.13604063752604376</v>
      </c>
      <c r="E101" s="10">
        <v>4</v>
      </c>
      <c r="F101" s="10">
        <v>281.5</v>
      </c>
      <c r="G101" s="6">
        <v>0.54</v>
      </c>
      <c r="H101" s="14">
        <f t="shared" si="1"/>
        <v>-2.605</v>
      </c>
      <c r="I101" s="23"/>
      <c r="J101" s="7"/>
      <c r="K101" s="7"/>
      <c r="L101" s="24"/>
      <c r="M101" s="11" t="s">
        <v>220</v>
      </c>
    </row>
    <row r="102" spans="1:13">
      <c r="A102" s="82" t="s">
        <v>221</v>
      </c>
      <c r="B102" s="121">
        <v>-3.473040106</v>
      </c>
      <c r="C102" s="71"/>
      <c r="D102" s="12">
        <v>0.19798964803022484</v>
      </c>
      <c r="E102" s="10">
        <v>4</v>
      </c>
      <c r="F102" s="10">
        <v>197.1</v>
      </c>
      <c r="G102" s="6">
        <v>2.2000000000000002</v>
      </c>
      <c r="H102" s="14">
        <f t="shared" si="1"/>
        <v>-3.4210000000000003</v>
      </c>
      <c r="I102" s="23"/>
      <c r="J102" s="7"/>
      <c r="K102" s="7"/>
      <c r="L102" s="24"/>
      <c r="M102" s="11" t="s">
        <v>222</v>
      </c>
    </row>
    <row r="103" spans="1:13">
      <c r="A103" s="83" t="s">
        <v>223</v>
      </c>
      <c r="B103" s="121">
        <v>-4.6677093569999997</v>
      </c>
      <c r="C103" s="71"/>
      <c r="D103" s="12">
        <v>0.13486720020739137</v>
      </c>
      <c r="E103" s="10">
        <v>4</v>
      </c>
      <c r="F103" s="10">
        <v>33</v>
      </c>
      <c r="G103" s="6">
        <v>4.24</v>
      </c>
      <c r="H103" s="14">
        <f t="shared" si="1"/>
        <v>-3.8200000000000003</v>
      </c>
      <c r="I103" s="23"/>
      <c r="J103" s="7"/>
      <c r="K103" s="7"/>
      <c r="L103" s="24"/>
      <c r="M103" s="11" t="s">
        <v>224</v>
      </c>
    </row>
    <row r="104" spans="1:13">
      <c r="A104" s="82" t="s">
        <v>225</v>
      </c>
      <c r="B104" s="121">
        <v>-4.4030491310000004</v>
      </c>
      <c r="C104" s="71"/>
      <c r="D104" s="12">
        <v>0.18801274760604275</v>
      </c>
      <c r="E104" s="10">
        <v>11</v>
      </c>
      <c r="F104" s="10">
        <v>60</v>
      </c>
      <c r="G104" s="6">
        <v>4.24</v>
      </c>
      <c r="H104" s="14">
        <f t="shared" si="1"/>
        <v>-4.09</v>
      </c>
      <c r="I104" s="23"/>
      <c r="J104" s="7"/>
      <c r="K104" s="7"/>
      <c r="L104" s="24"/>
      <c r="M104" s="11" t="s">
        <v>226</v>
      </c>
    </row>
    <row r="105" spans="1:13">
      <c r="A105" s="82" t="s">
        <v>227</v>
      </c>
      <c r="B105" s="121">
        <v>-6.2548845010000003</v>
      </c>
      <c r="C105" s="71"/>
      <c r="D105" s="12">
        <v>0.1664014074224209</v>
      </c>
      <c r="E105" s="10">
        <v>4</v>
      </c>
      <c r="F105" s="10">
        <v>130.5</v>
      </c>
      <c r="G105" s="6">
        <v>5.22</v>
      </c>
      <c r="H105" s="14">
        <f t="shared" si="1"/>
        <v>-5.7749999999999995</v>
      </c>
      <c r="I105" s="23"/>
      <c r="J105" s="7"/>
      <c r="K105" s="7"/>
      <c r="L105" s="24"/>
      <c r="M105" s="11" t="s">
        <v>228</v>
      </c>
    </row>
    <row r="106" spans="1:13">
      <c r="A106" s="83" t="s">
        <v>103</v>
      </c>
      <c r="B106" s="121">
        <v>-4.2011287810000004</v>
      </c>
      <c r="C106" s="71"/>
      <c r="D106" s="12">
        <v>0.17506472136100007</v>
      </c>
      <c r="E106" s="10">
        <v>7</v>
      </c>
      <c r="F106" s="10">
        <v>254</v>
      </c>
      <c r="G106" s="6">
        <v>2.97</v>
      </c>
      <c r="H106" s="14">
        <f t="shared" si="1"/>
        <v>-4.76</v>
      </c>
      <c r="I106" s="23"/>
      <c r="J106" s="7"/>
      <c r="K106" s="7"/>
      <c r="L106" s="24"/>
      <c r="M106" s="11" t="s">
        <v>229</v>
      </c>
    </row>
    <row r="107" spans="1:13">
      <c r="A107" s="83" t="s">
        <v>230</v>
      </c>
      <c r="B107" s="121">
        <v>-6.8605526220000002</v>
      </c>
      <c r="C107" s="71"/>
      <c r="D107" s="12">
        <v>0.1605416460069265</v>
      </c>
      <c r="E107" s="10">
        <v>5</v>
      </c>
      <c r="F107" s="10">
        <v>121</v>
      </c>
      <c r="G107" s="6">
        <v>5.91</v>
      </c>
      <c r="H107" s="14">
        <f t="shared" si="1"/>
        <v>-6.37</v>
      </c>
      <c r="I107" s="23"/>
      <c r="J107" s="7"/>
      <c r="K107" s="7"/>
      <c r="L107" s="24"/>
      <c r="M107" s="11" t="s">
        <v>231</v>
      </c>
    </row>
    <row r="108" spans="1:13">
      <c r="A108" s="82" t="s">
        <v>232</v>
      </c>
      <c r="B108" s="121">
        <v>-4.4115538379999997</v>
      </c>
      <c r="C108" s="71"/>
      <c r="D108" s="12">
        <v>0.15756984748208766</v>
      </c>
      <c r="E108" s="10">
        <v>5</v>
      </c>
      <c r="F108" s="10">
        <v>206.99999999999997</v>
      </c>
      <c r="G108" s="6">
        <v>2.56</v>
      </c>
      <c r="H108" s="14">
        <f t="shared" si="1"/>
        <v>-3.88</v>
      </c>
      <c r="I108" s="23"/>
      <c r="J108" s="7"/>
      <c r="K108" s="7"/>
      <c r="L108" s="24"/>
      <c r="M108" s="11" t="s">
        <v>233</v>
      </c>
    </row>
    <row r="109" spans="1:13">
      <c r="A109" s="81" t="s">
        <v>234</v>
      </c>
      <c r="B109" s="121">
        <v>-4.2363925089999999</v>
      </c>
      <c r="C109" s="71"/>
      <c r="D109" s="12">
        <v>0.16160362353179636</v>
      </c>
      <c r="E109" s="10">
        <v>6</v>
      </c>
      <c r="F109" s="10">
        <v>134.5</v>
      </c>
      <c r="G109" s="6">
        <v>4.8499999999999996</v>
      </c>
      <c r="H109" s="14">
        <f t="shared" si="1"/>
        <v>-5.4449999999999994</v>
      </c>
      <c r="I109" s="23"/>
      <c r="J109" s="7"/>
      <c r="K109" s="7"/>
      <c r="L109" s="24"/>
      <c r="M109" s="11" t="s">
        <v>235</v>
      </c>
    </row>
    <row r="110" spans="1:13">
      <c r="A110" s="81" t="s">
        <v>236</v>
      </c>
      <c r="B110" s="121">
        <v>-3.3645121790000001</v>
      </c>
      <c r="C110" s="71"/>
      <c r="D110" s="12">
        <v>0.18685765827673947</v>
      </c>
      <c r="E110" s="10">
        <v>6</v>
      </c>
      <c r="F110" s="10">
        <v>275</v>
      </c>
      <c r="G110" s="6">
        <v>2.09</v>
      </c>
      <c r="H110" s="14">
        <f t="shared" si="1"/>
        <v>-4.09</v>
      </c>
      <c r="I110" s="23"/>
      <c r="J110" s="7"/>
      <c r="K110" s="7"/>
      <c r="L110" s="24"/>
      <c r="M110" s="11" t="s">
        <v>237</v>
      </c>
    </row>
    <row r="111" spans="1:13">
      <c r="A111" s="82" t="s">
        <v>238</v>
      </c>
      <c r="B111" s="121">
        <v>-5.0309401759999997</v>
      </c>
      <c r="C111" s="71"/>
      <c r="D111" s="12">
        <v>0.13950112944748669</v>
      </c>
      <c r="E111" s="10">
        <v>9</v>
      </c>
      <c r="F111" s="10">
        <v>220.00000000000003</v>
      </c>
      <c r="G111" s="6">
        <v>1.8</v>
      </c>
      <c r="H111" s="14">
        <f t="shared" si="1"/>
        <v>-3.2500000000000004</v>
      </c>
      <c r="I111" s="23"/>
      <c r="J111" s="7"/>
      <c r="K111" s="7"/>
      <c r="L111" s="24"/>
      <c r="M111" s="11" t="s">
        <v>239</v>
      </c>
    </row>
    <row r="112" spans="1:13">
      <c r="A112" s="85" t="s">
        <v>240</v>
      </c>
      <c r="B112" s="122">
        <v>-2.7422024779999998</v>
      </c>
      <c r="C112" s="72"/>
      <c r="D112" s="4">
        <v>0.22014005046870977</v>
      </c>
      <c r="E112" s="2">
        <v>9</v>
      </c>
      <c r="F112" s="10">
        <v>202</v>
      </c>
      <c r="G112" s="6">
        <v>1.53</v>
      </c>
      <c r="H112" s="14">
        <f t="shared" si="1"/>
        <v>-2.8</v>
      </c>
      <c r="I112" s="23"/>
      <c r="J112" s="7"/>
      <c r="K112" s="7"/>
      <c r="L112" s="24"/>
      <c r="M112" s="11" t="s">
        <v>241</v>
      </c>
    </row>
    <row r="113" spans="1:28">
      <c r="A113" s="82" t="s">
        <v>242</v>
      </c>
      <c r="B113" s="121">
        <v>-3.1187202950000001</v>
      </c>
      <c r="C113" s="71"/>
      <c r="D113" s="12">
        <v>0.14014083879485537</v>
      </c>
      <c r="E113" s="10">
        <v>3</v>
      </c>
      <c r="F113" s="10">
        <v>243.00000000000003</v>
      </c>
      <c r="G113" s="6">
        <v>1.48</v>
      </c>
      <c r="H113" s="14">
        <f t="shared" si="1"/>
        <v>-3.16</v>
      </c>
      <c r="I113" s="23"/>
      <c r="J113" s="7"/>
      <c r="K113" s="7"/>
      <c r="L113" s="24"/>
      <c r="M113" s="11" t="s">
        <v>243</v>
      </c>
    </row>
    <row r="114" spans="1:28">
      <c r="A114" s="83" t="s">
        <v>244</v>
      </c>
      <c r="B114" s="121">
        <v>-3.2434414340000002</v>
      </c>
      <c r="C114" s="71"/>
      <c r="D114" s="12">
        <v>0.13726989684757951</v>
      </c>
      <c r="E114" s="10">
        <v>3</v>
      </c>
      <c r="F114" s="10">
        <v>191</v>
      </c>
      <c r="G114" s="6">
        <v>1.67</v>
      </c>
      <c r="H114" s="14">
        <f t="shared" si="1"/>
        <v>-2.83</v>
      </c>
      <c r="I114" s="23"/>
      <c r="J114" s="7"/>
      <c r="K114" s="7"/>
      <c r="L114" s="24"/>
      <c r="M114" s="11" t="s">
        <v>245</v>
      </c>
    </row>
    <row r="115" spans="1:28">
      <c r="A115" s="82" t="s">
        <v>246</v>
      </c>
      <c r="B115" s="121">
        <v>-5.4375029469999996</v>
      </c>
      <c r="C115" s="71"/>
      <c r="D115" s="12">
        <v>0.21357402153711522</v>
      </c>
      <c r="E115" s="10">
        <v>7</v>
      </c>
      <c r="F115" s="10">
        <v>183.5</v>
      </c>
      <c r="G115" s="6">
        <v>4.37</v>
      </c>
      <c r="H115" s="14">
        <f t="shared" si="1"/>
        <v>-5.4550000000000001</v>
      </c>
      <c r="I115" s="23"/>
      <c r="J115" s="7"/>
      <c r="K115" s="7"/>
      <c r="L115" s="24"/>
      <c r="M115" s="11" t="s">
        <v>247</v>
      </c>
    </row>
    <row r="116" spans="1:28">
      <c r="A116" s="82" t="s">
        <v>248</v>
      </c>
      <c r="B116" s="121">
        <v>-3.2175882059999998</v>
      </c>
      <c r="C116" s="71"/>
      <c r="D116" s="12">
        <v>0.10564411177747912</v>
      </c>
      <c r="E116" s="10">
        <v>3</v>
      </c>
      <c r="F116" s="10">
        <v>149</v>
      </c>
      <c r="G116" s="6">
        <v>2.62</v>
      </c>
      <c r="H116" s="14">
        <f t="shared" si="1"/>
        <v>-3.3600000000000003</v>
      </c>
      <c r="I116" s="23"/>
      <c r="J116" s="7"/>
      <c r="K116" s="7"/>
      <c r="L116" s="24"/>
      <c r="M116" s="11" t="s">
        <v>249</v>
      </c>
    </row>
    <row r="117" spans="1:28">
      <c r="A117" s="81" t="s">
        <v>250</v>
      </c>
      <c r="B117" s="121">
        <v>-3.5629645609999998</v>
      </c>
      <c r="C117" s="71"/>
      <c r="D117" s="12">
        <v>0.14623917640453388</v>
      </c>
      <c r="E117" s="10">
        <v>8</v>
      </c>
      <c r="F117" s="10">
        <v>165</v>
      </c>
      <c r="G117" s="6">
        <v>-0.37</v>
      </c>
      <c r="H117" s="14">
        <f t="shared" si="1"/>
        <v>-0.53000000000000014</v>
      </c>
      <c r="I117" s="23"/>
      <c r="J117" s="7"/>
      <c r="K117" s="7"/>
      <c r="L117" s="24"/>
      <c r="M117" s="11" t="s">
        <v>251</v>
      </c>
    </row>
    <row r="118" spans="1:28">
      <c r="A118" s="82" t="s">
        <v>252</v>
      </c>
      <c r="B118" s="121">
        <v>-2.3220253280000001</v>
      </c>
      <c r="C118" s="71"/>
      <c r="D118" s="12">
        <v>0.16291639539032501</v>
      </c>
      <c r="E118" s="10">
        <v>10</v>
      </c>
      <c r="F118" s="10">
        <v>225</v>
      </c>
      <c r="G118" s="6">
        <v>0.81</v>
      </c>
      <c r="H118" s="14">
        <f t="shared" si="1"/>
        <v>-2.31</v>
      </c>
      <c r="I118" s="23"/>
      <c r="J118" s="7"/>
      <c r="K118" s="7"/>
      <c r="L118" s="24"/>
      <c r="M118" s="11" t="s">
        <v>253</v>
      </c>
    </row>
    <row r="119" spans="1:28">
      <c r="A119" s="82" t="s">
        <v>254</v>
      </c>
      <c r="B119" s="121">
        <v>-3.355581419</v>
      </c>
      <c r="C119" s="71"/>
      <c r="D119" s="12">
        <v>0.21166647357477791</v>
      </c>
      <c r="E119" s="10">
        <v>5</v>
      </c>
      <c r="F119" s="10">
        <v>270</v>
      </c>
      <c r="G119" s="6">
        <v>0.62</v>
      </c>
      <c r="H119" s="14">
        <f t="shared" si="1"/>
        <v>-2.5700000000000003</v>
      </c>
      <c r="I119" s="23"/>
      <c r="J119" s="7"/>
      <c r="K119" s="7"/>
      <c r="L119" s="24"/>
      <c r="M119" s="11" t="s">
        <v>255</v>
      </c>
    </row>
    <row r="120" spans="1:28">
      <c r="A120" s="81" t="s">
        <v>256</v>
      </c>
      <c r="B120" s="121">
        <v>-3.2282386179999998</v>
      </c>
      <c r="C120" s="71"/>
      <c r="D120" s="12">
        <v>0.14175650298978676</v>
      </c>
      <c r="E120" s="10">
        <v>9</v>
      </c>
      <c r="F120" s="10">
        <v>312.66666666666669</v>
      </c>
      <c r="G120" s="6">
        <v>0.83</v>
      </c>
      <c r="H120" s="14">
        <f t="shared" si="1"/>
        <v>-3.206666666666667</v>
      </c>
      <c r="I120" s="23"/>
      <c r="J120" s="7"/>
      <c r="K120" s="7"/>
      <c r="L120" s="24"/>
      <c r="M120" s="11" t="s">
        <v>257</v>
      </c>
    </row>
    <row r="121" spans="1:28">
      <c r="A121" s="82" t="s">
        <v>258</v>
      </c>
      <c r="B121" s="121">
        <v>-4.3768190120000003</v>
      </c>
      <c r="C121" s="71"/>
      <c r="D121" s="12">
        <v>0.2034688635346244</v>
      </c>
      <c r="E121" s="10">
        <v>11</v>
      </c>
      <c r="F121" s="10">
        <v>161</v>
      </c>
      <c r="G121" s="6">
        <v>3.61</v>
      </c>
      <c r="H121" s="14">
        <f t="shared" si="1"/>
        <v>-4.47</v>
      </c>
      <c r="I121" s="23"/>
      <c r="J121" s="7"/>
      <c r="K121" s="7"/>
      <c r="L121" s="24"/>
      <c r="M121" s="11" t="s">
        <v>259</v>
      </c>
    </row>
    <row r="122" spans="1:28">
      <c r="A122" s="81" t="s">
        <v>109</v>
      </c>
      <c r="B122" s="121">
        <v>-2.9375338200000001</v>
      </c>
      <c r="C122" s="71"/>
      <c r="D122" s="12">
        <v>0.20579636821699754</v>
      </c>
      <c r="E122" s="10">
        <v>3</v>
      </c>
      <c r="F122" s="10">
        <v>300</v>
      </c>
      <c r="G122" s="6">
        <v>-1.06</v>
      </c>
      <c r="H122" s="14">
        <f t="shared" si="1"/>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s="120">
        <v>-2.6455728829999998</v>
      </c>
      <c r="C129" s="73" t="s">
        <v>30</v>
      </c>
      <c r="D129" s="12">
        <v>0.50033555401430185</v>
      </c>
      <c r="E129" s="10">
        <v>3</v>
      </c>
      <c r="F129" s="10">
        <v>180</v>
      </c>
      <c r="G129" s="1">
        <v>1.91</v>
      </c>
      <c r="H129" s="14">
        <f t="shared" ref="H129:H160" si="2">0.5-G129-0.01*(F129-25)</f>
        <v>-2.96</v>
      </c>
      <c r="I129" s="53" t="s">
        <v>31</v>
      </c>
      <c r="J129" s="54"/>
      <c r="K129" s="14"/>
      <c r="L129" s="14"/>
      <c r="M129" s="3" t="s">
        <v>269</v>
      </c>
    </row>
    <row r="130" spans="1:13">
      <c r="A130" s="82" t="s">
        <v>270</v>
      </c>
      <c r="B130" s="29">
        <v>-7.4583754510000002</v>
      </c>
      <c r="C130" s="73" t="s">
        <v>36</v>
      </c>
      <c r="D130" s="12">
        <v>0.5</v>
      </c>
      <c r="E130" s="6">
        <v>5</v>
      </c>
      <c r="F130" s="10">
        <v>156</v>
      </c>
      <c r="G130" s="1">
        <v>6.94</v>
      </c>
      <c r="H130" s="14">
        <f t="shared" si="2"/>
        <v>-7.75</v>
      </c>
      <c r="I130" s="53" t="s">
        <v>37</v>
      </c>
      <c r="J130" s="54"/>
      <c r="K130" s="14"/>
      <c r="L130" s="14"/>
      <c r="M130" s="3" t="s">
        <v>271</v>
      </c>
    </row>
    <row r="131" spans="1:13">
      <c r="A131" s="83" t="s">
        <v>272</v>
      </c>
      <c r="B131" s="121">
        <v>-5.4032063990000001</v>
      </c>
      <c r="C131" s="73" t="s">
        <v>41</v>
      </c>
      <c r="D131" s="12">
        <v>0.6530957900260097</v>
      </c>
      <c r="E131" s="10">
        <v>3</v>
      </c>
      <c r="F131" s="10">
        <v>208</v>
      </c>
      <c r="G131" s="1">
        <v>5.18</v>
      </c>
      <c r="H131" s="14">
        <f t="shared" si="2"/>
        <v>-6.51</v>
      </c>
      <c r="I131" s="53" t="s">
        <v>42</v>
      </c>
      <c r="J131" s="54"/>
      <c r="K131" s="14"/>
      <c r="L131" s="14"/>
      <c r="M131" s="3" t="s">
        <v>273</v>
      </c>
    </row>
    <row r="132" spans="1:13">
      <c r="A132" s="82" t="s">
        <v>274</v>
      </c>
      <c r="B132" s="121">
        <v>-2.6496024619999998</v>
      </c>
      <c r="C132" s="73" t="s">
        <v>46</v>
      </c>
      <c r="D132" s="12">
        <v>0.59285217963150294</v>
      </c>
      <c r="E132" s="10">
        <v>3</v>
      </c>
      <c r="F132" s="10">
        <v>100</v>
      </c>
      <c r="G132" s="1">
        <v>2.37</v>
      </c>
      <c r="H132" s="14">
        <f t="shared" si="2"/>
        <v>-2.62</v>
      </c>
      <c r="I132" s="15" t="s">
        <v>47</v>
      </c>
      <c r="J132" s="29"/>
      <c r="K132" s="14"/>
      <c r="L132" s="14"/>
      <c r="M132" s="3" t="s">
        <v>275</v>
      </c>
    </row>
    <row r="133" spans="1:13">
      <c r="A133" s="82" t="s">
        <v>276</v>
      </c>
      <c r="B133" s="121">
        <v>-5.6573825360000001</v>
      </c>
      <c r="C133" s="73" t="s">
        <v>51</v>
      </c>
      <c r="D133" s="12">
        <v>0.51067901383936642</v>
      </c>
      <c r="E133" s="10">
        <v>5</v>
      </c>
      <c r="F133" s="10">
        <v>217</v>
      </c>
      <c r="G133" s="1">
        <v>3.19</v>
      </c>
      <c r="H133" s="14">
        <f t="shared" si="2"/>
        <v>-4.6099999999999994</v>
      </c>
      <c r="I133" s="15" t="s">
        <v>52</v>
      </c>
      <c r="J133" s="29"/>
      <c r="K133" s="14"/>
      <c r="L133" s="14"/>
      <c r="M133" s="3" t="s">
        <v>277</v>
      </c>
    </row>
    <row r="134" spans="1:13">
      <c r="A134" s="82" t="s">
        <v>278</v>
      </c>
      <c r="B134" s="121">
        <v>-4.8609059329999997</v>
      </c>
      <c r="C134" s="71"/>
      <c r="D134" s="12">
        <v>0.83065522865171437</v>
      </c>
      <c r="E134" s="10">
        <v>3</v>
      </c>
      <c r="F134" s="10">
        <v>209.50000000000003</v>
      </c>
      <c r="G134" s="1">
        <v>4.41</v>
      </c>
      <c r="H134" s="14">
        <f t="shared" si="2"/>
        <v>-5.7550000000000008</v>
      </c>
      <c r="I134" s="15" t="s">
        <v>56</v>
      </c>
      <c r="J134" s="29"/>
      <c r="K134" s="14"/>
      <c r="L134" s="14"/>
      <c r="M134" s="3" t="s">
        <v>279</v>
      </c>
    </row>
    <row r="135" spans="1:13">
      <c r="A135" s="82" t="s">
        <v>280</v>
      </c>
      <c r="B135" s="121">
        <v>-5.5239573699999998</v>
      </c>
      <c r="C135" s="71"/>
      <c r="D135" s="12">
        <v>0.51097181417141646</v>
      </c>
      <c r="E135" s="10">
        <v>6</v>
      </c>
      <c r="F135" s="10">
        <v>97.5</v>
      </c>
      <c r="G135" s="1">
        <v>5.19</v>
      </c>
      <c r="H135" s="14">
        <f t="shared" si="2"/>
        <v>-5.415</v>
      </c>
      <c r="I135" s="15" t="s">
        <v>60</v>
      </c>
      <c r="J135" s="31"/>
      <c r="K135" s="14"/>
      <c r="L135" s="14"/>
      <c r="M135" s="3" t="s">
        <v>281</v>
      </c>
    </row>
    <row r="136" spans="1:13">
      <c r="A136" s="81" t="s">
        <v>282</v>
      </c>
      <c r="B136" s="121">
        <v>-6.65157927</v>
      </c>
      <c r="C136" s="71"/>
      <c r="D136" s="12">
        <v>0.92735432696895004</v>
      </c>
      <c r="E136" s="10">
        <v>5</v>
      </c>
      <c r="F136" s="10">
        <v>211</v>
      </c>
      <c r="G136" s="1">
        <v>7.49</v>
      </c>
      <c r="H136" s="14">
        <f t="shared" si="2"/>
        <v>-8.85</v>
      </c>
      <c r="I136" s="30" t="s">
        <v>64</v>
      </c>
      <c r="J136" s="123" t="s">
        <v>392</v>
      </c>
      <c r="K136" s="33"/>
      <c r="L136" s="34"/>
      <c r="M136" s="3" t="s">
        <v>283</v>
      </c>
    </row>
    <row r="137" spans="1:13">
      <c r="A137" s="82" t="s">
        <v>112</v>
      </c>
      <c r="B137" s="121">
        <v>-4.9484362180000003</v>
      </c>
      <c r="C137" s="71"/>
      <c r="D137" s="12">
        <v>0.68239272333923895</v>
      </c>
      <c r="E137" s="10">
        <v>3</v>
      </c>
      <c r="F137" s="10">
        <v>177</v>
      </c>
      <c r="G137" s="1">
        <v>3.37</v>
      </c>
      <c r="H137" s="14">
        <f t="shared" si="2"/>
        <v>-4.3900000000000006</v>
      </c>
      <c r="J137" s="14"/>
      <c r="K137" s="14"/>
      <c r="L137" s="14"/>
      <c r="M137" s="3" t="s">
        <v>284</v>
      </c>
    </row>
    <row r="138" spans="1:13">
      <c r="A138" s="82" t="s">
        <v>285</v>
      </c>
      <c r="B138" s="121">
        <v>-4.7661663780000003</v>
      </c>
      <c r="C138" s="71"/>
      <c r="D138" s="12">
        <v>0.520951861602862</v>
      </c>
      <c r="E138" s="10">
        <v>10</v>
      </c>
      <c r="F138" s="10">
        <v>228.6</v>
      </c>
      <c r="G138" s="1">
        <v>4.22</v>
      </c>
      <c r="H138" s="14">
        <f t="shared" si="2"/>
        <v>-5.7560000000000002</v>
      </c>
      <c r="I138" s="16" t="s">
        <v>286</v>
      </c>
      <c r="J138" s="17"/>
      <c r="K138" s="17"/>
      <c r="L138" s="18"/>
      <c r="M138" s="3" t="s">
        <v>287</v>
      </c>
    </row>
    <row r="139" spans="1:13">
      <c r="A139" s="81" t="s">
        <v>288</v>
      </c>
      <c r="B139" s="121">
        <v>-2.3630543130000001</v>
      </c>
      <c r="C139" s="71"/>
      <c r="D139" s="12">
        <v>0.53906642829149898</v>
      </c>
      <c r="E139" s="10">
        <v>3</v>
      </c>
      <c r="F139" s="10">
        <v>161.5</v>
      </c>
      <c r="G139" s="1">
        <v>-0.21</v>
      </c>
      <c r="H139" s="14">
        <f t="shared" si="2"/>
        <v>-0.65500000000000003</v>
      </c>
      <c r="I139" s="124" t="s">
        <v>393</v>
      </c>
      <c r="J139" s="21"/>
      <c r="K139" s="21"/>
      <c r="L139" s="22"/>
      <c r="M139" s="3" t="s">
        <v>289</v>
      </c>
    </row>
    <row r="140" spans="1:13">
      <c r="A140" s="81" t="s">
        <v>290</v>
      </c>
      <c r="B140" s="121">
        <v>-4.5266244660000003</v>
      </c>
      <c r="C140" s="71"/>
      <c r="D140" s="12">
        <v>0.56233984781338708</v>
      </c>
      <c r="E140" s="10">
        <v>11</v>
      </c>
      <c r="F140" s="10">
        <v>213.49999999999997</v>
      </c>
      <c r="G140" s="1">
        <v>3.04</v>
      </c>
      <c r="H140" s="14">
        <f t="shared" si="2"/>
        <v>-4.4249999999999998</v>
      </c>
      <c r="I140" s="23"/>
      <c r="J140" s="7"/>
      <c r="K140" s="7"/>
      <c r="L140" s="24"/>
      <c r="M140" s="3" t="s">
        <v>291</v>
      </c>
    </row>
    <row r="141" spans="1:13">
      <c r="A141" s="83" t="s">
        <v>292</v>
      </c>
      <c r="B141" s="121">
        <v>-3.5541278100000002</v>
      </c>
      <c r="C141" s="71"/>
      <c r="D141" s="12">
        <v>0.54710381306524825</v>
      </c>
      <c r="E141" s="10">
        <v>4</v>
      </c>
      <c r="F141" s="10">
        <v>168.5</v>
      </c>
      <c r="G141" s="1">
        <v>3.35</v>
      </c>
      <c r="H141" s="14">
        <f t="shared" si="2"/>
        <v>-4.2850000000000001</v>
      </c>
      <c r="I141" s="23"/>
      <c r="J141" s="7"/>
      <c r="K141" s="7"/>
      <c r="L141" s="24"/>
      <c r="M141" s="3" t="s">
        <v>293</v>
      </c>
    </row>
    <row r="142" spans="1:13">
      <c r="A142" s="81" t="s">
        <v>114</v>
      </c>
      <c r="B142" s="121">
        <v>-3.7677849509999999</v>
      </c>
      <c r="C142" s="71"/>
      <c r="D142" s="12">
        <v>0.54612637818466869</v>
      </c>
      <c r="E142" s="10">
        <v>3</v>
      </c>
      <c r="F142" s="13">
        <v>124.1</v>
      </c>
      <c r="G142" s="1">
        <v>2.81</v>
      </c>
      <c r="H142" s="14">
        <f t="shared" si="2"/>
        <v>-3.3010000000000002</v>
      </c>
      <c r="I142" s="25"/>
      <c r="J142" s="7"/>
      <c r="K142" s="7"/>
      <c r="L142" s="24"/>
      <c r="M142" s="3" t="s">
        <v>294</v>
      </c>
    </row>
    <row r="143" spans="1:13">
      <c r="A143" s="81" t="s">
        <v>295</v>
      </c>
      <c r="B143" s="121">
        <v>-5.6978865939999999</v>
      </c>
      <c r="C143" s="71"/>
      <c r="D143" s="12">
        <v>0.51160213896594608</v>
      </c>
      <c r="E143" s="10">
        <v>4</v>
      </c>
      <c r="F143" s="10">
        <v>165</v>
      </c>
      <c r="G143" s="1">
        <v>4.8899999999999997</v>
      </c>
      <c r="H143" s="14">
        <f t="shared" si="2"/>
        <v>-5.79</v>
      </c>
      <c r="I143" s="25"/>
      <c r="J143" s="7"/>
      <c r="K143" s="7"/>
      <c r="L143" s="24"/>
      <c r="M143" s="3" t="s">
        <v>296</v>
      </c>
    </row>
    <row r="144" spans="1:13">
      <c r="A144" s="81" t="s">
        <v>117</v>
      </c>
      <c r="B144" s="121">
        <v>-5.2311472569999999</v>
      </c>
      <c r="C144" s="71"/>
      <c r="D144" s="12">
        <v>0.65141515533308314</v>
      </c>
      <c r="E144" s="10">
        <v>4</v>
      </c>
      <c r="F144" s="10">
        <v>161.1</v>
      </c>
      <c r="G144" s="1">
        <v>4.76</v>
      </c>
      <c r="H144" s="14">
        <f t="shared" si="2"/>
        <v>-5.6209999999999996</v>
      </c>
      <c r="I144" s="25"/>
      <c r="J144" s="7"/>
      <c r="K144" s="7"/>
      <c r="L144" s="24"/>
      <c r="M144" s="3" t="s">
        <v>297</v>
      </c>
    </row>
    <row r="145" spans="1:28">
      <c r="A145" s="83" t="s">
        <v>298</v>
      </c>
      <c r="B145" s="121">
        <v>-4.7441780390000003</v>
      </c>
      <c r="C145" s="71"/>
      <c r="D145" s="12">
        <v>0.65883215509381909</v>
      </c>
      <c r="E145" s="10">
        <v>3</v>
      </c>
      <c r="F145" s="10">
        <v>155</v>
      </c>
      <c r="G145" s="1">
        <v>3.74</v>
      </c>
      <c r="H145" s="14">
        <f t="shared" si="2"/>
        <v>-4.54</v>
      </c>
      <c r="I145" s="25"/>
      <c r="J145" s="7"/>
      <c r="K145" s="7"/>
      <c r="L145" s="24"/>
      <c r="M145" s="3" t="s">
        <v>299</v>
      </c>
    </row>
    <row r="146" spans="1:28">
      <c r="A146" s="82" t="s">
        <v>300</v>
      </c>
      <c r="B146" s="121">
        <v>-6.6725791330000002</v>
      </c>
      <c r="C146" s="71"/>
      <c r="D146" s="12">
        <v>0.61400477095750339</v>
      </c>
      <c r="E146" s="10">
        <v>3</v>
      </c>
      <c r="F146" s="10">
        <v>165.4</v>
      </c>
      <c r="G146" s="1">
        <v>5.58</v>
      </c>
      <c r="H146" s="14">
        <f t="shared" si="2"/>
        <v>-6.484</v>
      </c>
      <c r="I146" s="25"/>
      <c r="J146" s="7"/>
      <c r="K146" s="7"/>
      <c r="L146" s="24"/>
      <c r="M146" s="3" t="s">
        <v>301</v>
      </c>
    </row>
    <row r="147" spans="1:28">
      <c r="A147" s="82" t="s">
        <v>302</v>
      </c>
      <c r="B147" s="121">
        <v>-5.8596965489999997</v>
      </c>
      <c r="C147" s="71"/>
      <c r="D147" s="12">
        <v>0.50406532001413251</v>
      </c>
      <c r="E147" s="10">
        <v>6</v>
      </c>
      <c r="F147" s="10">
        <v>161</v>
      </c>
      <c r="G147" s="1">
        <v>6.45</v>
      </c>
      <c r="H147" s="14">
        <f t="shared" si="2"/>
        <v>-7.3100000000000005</v>
      </c>
      <c r="I147" s="26"/>
      <c r="J147" s="27"/>
      <c r="K147" s="27"/>
      <c r="L147" s="28"/>
      <c r="M147" s="3" t="s">
        <v>303</v>
      </c>
    </row>
    <row r="148" spans="1:28">
      <c r="A148" s="82" t="s">
        <v>304</v>
      </c>
      <c r="B148" s="121">
        <v>-5.1600668130000003</v>
      </c>
      <c r="C148" s="71"/>
      <c r="D148" s="12">
        <v>0.75493366325441691</v>
      </c>
      <c r="E148" s="10">
        <v>4</v>
      </c>
      <c r="F148" s="10">
        <v>193.5</v>
      </c>
      <c r="G148" s="1">
        <v>5.41</v>
      </c>
      <c r="H148" s="14">
        <f t="shared" si="2"/>
        <v>-6.5950000000000006</v>
      </c>
      <c r="J148" s="14"/>
      <c r="K148" s="14"/>
      <c r="L148" s="14"/>
      <c r="M148" s="3" t="s">
        <v>305</v>
      </c>
    </row>
    <row r="149" spans="1:28">
      <c r="A149" s="82" t="s">
        <v>306</v>
      </c>
      <c r="B149" s="121">
        <v>-4.2786097910000001</v>
      </c>
      <c r="C149" s="71"/>
      <c r="D149" s="12">
        <v>0.50089358058597189</v>
      </c>
      <c r="E149" s="10">
        <v>3</v>
      </c>
      <c r="F149" s="10">
        <v>156</v>
      </c>
      <c r="G149" s="1">
        <v>2.9</v>
      </c>
      <c r="H149" s="14">
        <f t="shared" si="2"/>
        <v>-3.71</v>
      </c>
      <c r="I149" s="70" t="s">
        <v>133</v>
      </c>
      <c r="J149" s="32">
        <v>124</v>
      </c>
      <c r="K149" s="34"/>
      <c r="L149" s="14"/>
      <c r="M149" s="3" t="s">
        <v>307</v>
      </c>
    </row>
    <row r="150" spans="1:28">
      <c r="A150" s="83" t="s">
        <v>308</v>
      </c>
      <c r="B150" s="121">
        <v>-5.57475159</v>
      </c>
      <c r="C150" s="71"/>
      <c r="D150" s="12">
        <v>0.6587984329866341</v>
      </c>
      <c r="E150" s="10">
        <v>4</v>
      </c>
      <c r="F150" s="10">
        <v>183.5</v>
      </c>
      <c r="G150" s="1">
        <v>3.16</v>
      </c>
      <c r="H150" s="14">
        <f t="shared" si="2"/>
        <v>-4.2450000000000001</v>
      </c>
      <c r="I150" s="70" t="s">
        <v>136</v>
      </c>
      <c r="J150" s="32" t="s">
        <v>394</v>
      </c>
      <c r="K150" s="34"/>
      <c r="L150" s="14"/>
      <c r="M150" s="3" t="s">
        <v>309</v>
      </c>
    </row>
    <row r="151" spans="1:28">
      <c r="A151" s="83" t="s">
        <v>310</v>
      </c>
      <c r="B151" s="121">
        <v>-2.3462888070000001</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s="121">
        <v>-3.6080136550000002</v>
      </c>
      <c r="C152" s="71"/>
      <c r="D152" s="12">
        <v>0.57115657899345518</v>
      </c>
      <c r="E152" s="10">
        <v>7</v>
      </c>
      <c r="F152" s="10">
        <v>177</v>
      </c>
      <c r="G152" s="1">
        <v>3.17</v>
      </c>
      <c r="H152" s="14">
        <f t="shared" si="2"/>
        <v>-4.1899999999999995</v>
      </c>
      <c r="I152" s="14"/>
      <c r="J152" s="14"/>
      <c r="K152" s="14"/>
      <c r="L152" s="14"/>
      <c r="M152" s="3" t="s">
        <v>313</v>
      </c>
    </row>
    <row r="153" spans="1:28">
      <c r="A153" s="81" t="s">
        <v>314</v>
      </c>
      <c r="B153" s="121">
        <v>-6.724633055</v>
      </c>
      <c r="C153" s="71"/>
      <c r="D153" s="12">
        <v>0.55807775121880254</v>
      </c>
      <c r="E153" s="10">
        <v>6</v>
      </c>
      <c r="F153" s="10">
        <v>145</v>
      </c>
      <c r="G153" s="1">
        <v>6.08</v>
      </c>
      <c r="H153" s="14">
        <f t="shared" si="2"/>
        <v>-6.78</v>
      </c>
      <c r="I153" s="19" t="s">
        <v>144</v>
      </c>
      <c r="J153" s="17"/>
      <c r="K153" s="17"/>
      <c r="L153" s="18"/>
      <c r="M153" s="3" t="s">
        <v>315</v>
      </c>
    </row>
    <row r="154" spans="1:28">
      <c r="A154" s="81" t="s">
        <v>316</v>
      </c>
      <c r="B154" s="121">
        <v>-5.8311504010000004</v>
      </c>
      <c r="C154" s="71"/>
      <c r="D154" s="12">
        <v>0.66417698790166113</v>
      </c>
      <c r="E154" s="10">
        <v>3</v>
      </c>
      <c r="F154" s="13">
        <v>175.8</v>
      </c>
      <c r="G154" s="1">
        <v>4.62</v>
      </c>
      <c r="H154" s="14">
        <f t="shared" si="2"/>
        <v>-5.6280000000000001</v>
      </c>
      <c r="I154" s="20" t="s">
        <v>395</v>
      </c>
      <c r="J154" s="21"/>
      <c r="K154" s="21"/>
      <c r="L154" s="22"/>
      <c r="M154" s="3" t="s">
        <v>317</v>
      </c>
    </row>
    <row r="155" spans="1:28">
      <c r="A155" s="82" t="s">
        <v>318</v>
      </c>
      <c r="B155" s="121">
        <v>-6.1251155810000002</v>
      </c>
      <c r="C155" s="71"/>
      <c r="D155" s="12">
        <v>0.57716593661781801</v>
      </c>
      <c r="E155" s="10">
        <v>3</v>
      </c>
      <c r="F155" s="10">
        <v>349.84</v>
      </c>
      <c r="G155" s="1">
        <v>3.09</v>
      </c>
      <c r="H155" s="14">
        <f t="shared" si="2"/>
        <v>-5.8384</v>
      </c>
      <c r="I155" s="23" t="s">
        <v>396</v>
      </c>
      <c r="J155" s="7"/>
      <c r="K155" s="7"/>
      <c r="L155" s="24"/>
      <c r="M155" s="3" t="s">
        <v>319</v>
      </c>
    </row>
    <row r="156" spans="1:28">
      <c r="A156" s="83" t="s">
        <v>320</v>
      </c>
      <c r="B156" s="121">
        <v>-3.5763936510000001</v>
      </c>
      <c r="C156" s="71"/>
      <c r="D156" s="12">
        <v>0.70324590282883903</v>
      </c>
      <c r="E156" s="10">
        <v>3</v>
      </c>
      <c r="F156" s="10">
        <v>204</v>
      </c>
      <c r="G156" s="1">
        <v>0.88</v>
      </c>
      <c r="H156" s="14">
        <f t="shared" si="2"/>
        <v>-2.17</v>
      </c>
      <c r="I156" s="23" t="s">
        <v>397</v>
      </c>
      <c r="J156" s="7"/>
      <c r="K156" s="7"/>
      <c r="L156" s="24"/>
      <c r="M156" s="3" t="s">
        <v>321</v>
      </c>
    </row>
    <row r="157" spans="1:28">
      <c r="A157" s="82" t="s">
        <v>322</v>
      </c>
      <c r="B157" s="121">
        <v>-5.9909325740000003</v>
      </c>
      <c r="C157" s="71"/>
      <c r="D157" s="12">
        <v>0.7237903588794764</v>
      </c>
      <c r="E157" s="10">
        <v>7</v>
      </c>
      <c r="F157" s="10">
        <v>97.8</v>
      </c>
      <c r="G157" s="1">
        <v>6</v>
      </c>
      <c r="H157" s="14">
        <f t="shared" si="2"/>
        <v>-6.2279999999999998</v>
      </c>
      <c r="I157" s="23" t="s">
        <v>398</v>
      </c>
      <c r="J157" s="7"/>
      <c r="K157" s="7"/>
      <c r="L157" s="24"/>
      <c r="M157" s="3" t="s">
        <v>323</v>
      </c>
    </row>
    <row r="158" spans="1:28">
      <c r="A158" s="82" t="s">
        <v>324</v>
      </c>
      <c r="B158" s="121">
        <v>-6.5947629579999996</v>
      </c>
      <c r="C158" s="71"/>
      <c r="D158" s="12">
        <v>0.84033450922624497</v>
      </c>
      <c r="E158" s="10">
        <v>5</v>
      </c>
      <c r="F158" s="10">
        <v>262</v>
      </c>
      <c r="G158" s="1">
        <v>7.26</v>
      </c>
      <c r="H158" s="14">
        <f t="shared" si="2"/>
        <v>-9.129999999999999</v>
      </c>
      <c r="I158" s="23" t="s">
        <v>399</v>
      </c>
      <c r="J158" s="7"/>
      <c r="K158" s="7"/>
      <c r="L158" s="24"/>
      <c r="M158" s="3" t="s">
        <v>325</v>
      </c>
    </row>
    <row r="159" spans="1:28">
      <c r="A159" s="82" t="s">
        <v>326</v>
      </c>
      <c r="B159" s="121">
        <v>-7.0187249019999998</v>
      </c>
      <c r="C159" s="71"/>
      <c r="D159" s="12">
        <v>0.70969645885144073</v>
      </c>
      <c r="E159" s="10">
        <v>11</v>
      </c>
      <c r="F159" s="10">
        <v>149.6</v>
      </c>
      <c r="G159" s="1">
        <v>6.45</v>
      </c>
      <c r="H159" s="14">
        <f t="shared" si="2"/>
        <v>-7.1959999999999997</v>
      </c>
      <c r="I159" s="23" t="s">
        <v>400</v>
      </c>
      <c r="J159" s="7"/>
      <c r="K159" s="7"/>
      <c r="L159" s="24"/>
      <c r="M159" s="3" t="s">
        <v>327</v>
      </c>
    </row>
    <row r="160" spans="1:28" s="62" customFormat="1">
      <c r="A160" s="81" t="s">
        <v>328</v>
      </c>
      <c r="B160" s="121">
        <v>-3.866626122</v>
      </c>
      <c r="C160" s="71"/>
      <c r="D160" s="12">
        <v>0.49644864464459931</v>
      </c>
      <c r="E160" s="10">
        <v>4</v>
      </c>
      <c r="F160" s="10">
        <v>304.5</v>
      </c>
      <c r="G160" s="1">
        <v>2.69</v>
      </c>
      <c r="H160" s="14">
        <f t="shared" si="2"/>
        <v>-4.9849999999999994</v>
      </c>
      <c r="I160" s="23" t="s">
        <v>401</v>
      </c>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23" t="s">
        <v>402</v>
      </c>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23" t="s">
        <v>403</v>
      </c>
      <c r="J162" s="6"/>
      <c r="K162" s="6"/>
      <c r="L162" s="6"/>
      <c r="M162" s="11"/>
    </row>
    <row r="163" spans="1:28">
      <c r="A163" s="11"/>
      <c r="C163" s="65" t="s">
        <v>265</v>
      </c>
      <c r="D163" s="80">
        <f>MAX(D129:D160)</f>
        <v>0.92735432696895004</v>
      </c>
      <c r="E163" s="67"/>
      <c r="F163" s="68"/>
      <c r="G163" s="68"/>
      <c r="H163" s="69"/>
      <c r="I163" s="23" t="s">
        <v>404</v>
      </c>
      <c r="J163" s="6"/>
      <c r="K163" s="6"/>
      <c r="L163" s="6"/>
      <c r="M163" s="11"/>
    </row>
    <row r="164" spans="1:28">
      <c r="I164" s="23" t="s">
        <v>405</v>
      </c>
    </row>
    <row r="165" spans="1:28">
      <c r="A165" t="s">
        <v>331</v>
      </c>
      <c r="I165" s="23" t="s">
        <v>406</v>
      </c>
    </row>
    <row r="166" spans="1:28">
      <c r="A166" t="s">
        <v>332</v>
      </c>
      <c r="I166" s="23" t="s">
        <v>407</v>
      </c>
    </row>
    <row r="167" spans="1:28">
      <c r="I167" s="23" t="s">
        <v>408</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43" t="s">
        <v>393</v>
      </c>
      <c r="B194" s="44"/>
      <c r="C194" s="44"/>
      <c r="D194" s="44"/>
      <c r="E194" s="44"/>
      <c r="F194" s="44"/>
      <c r="G194" s="44"/>
      <c r="H194" s="44"/>
      <c r="I194" s="44"/>
      <c r="J194" s="44"/>
      <c r="K194" s="44"/>
      <c r="L194" s="44"/>
      <c r="M194" s="48"/>
      <c r="N194" s="44"/>
      <c r="O194" s="44"/>
      <c r="P194" s="44"/>
      <c r="Q194" s="45"/>
    </row>
  </sheetData>
  <pageMargins left="0" right="0" top="0" bottom="0" header="0.3" footer="0.3"/>
  <pageSetup scale="54"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37E77-BB48-4F1D-B29D-6E7659AB5FB0}">
  <dimension ref="A1:AB194"/>
  <sheetViews>
    <sheetView zoomScale="89" zoomScaleNormal="89" workbookViewId="0">
      <selection activeCell="B4" sqref="B4:B9"/>
    </sheetView>
  </sheetViews>
  <sheetFormatPr baseColWidth="10" defaultColWidth="9.1640625" defaultRowHeight="15"/>
  <cols>
    <col min="1" max="1" width="18.6640625" customWidth="1"/>
    <col min="2" max="3" width="11.1640625" customWidth="1"/>
    <col min="4" max="5" width="7.6640625" customWidth="1"/>
    <col min="6" max="6" width="10.1640625" customWidth="1"/>
    <col min="7" max="7" width="11.33203125" customWidth="1"/>
    <col min="9" max="9" width="13.1640625" customWidth="1"/>
    <col min="10" max="10" width="4.3320312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41"/>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t="s">
        <v>391</v>
      </c>
      <c r="C14" t="s">
        <v>11</v>
      </c>
    </row>
    <row r="15" spans="1:25" s="90" customFormat="1">
      <c r="A15" s="89" t="s">
        <v>12</v>
      </c>
    </row>
    <row r="16" spans="1:25">
      <c r="B16" s="117" t="s">
        <v>391</v>
      </c>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s="120">
        <v>-2.455894442</v>
      </c>
      <c r="C23" s="73" t="s">
        <v>30</v>
      </c>
      <c r="D23" s="12">
        <v>0.17592262140645501</v>
      </c>
      <c r="E23" s="10">
        <v>11</v>
      </c>
      <c r="F23" s="10">
        <v>258.5</v>
      </c>
      <c r="G23" s="6">
        <v>-0.86</v>
      </c>
      <c r="H23" s="14">
        <f t="shared" ref="H23:H86" si="0">0.5-G23-0.01*(F23-25)</f>
        <v>-0.97500000000000009</v>
      </c>
      <c r="I23" s="53" t="s">
        <v>31</v>
      </c>
      <c r="J23" s="54"/>
      <c r="K23" s="14"/>
      <c r="L23" s="14"/>
      <c r="M23" s="11" t="s">
        <v>33</v>
      </c>
    </row>
    <row r="24" spans="1:28">
      <c r="A24" s="82" t="s">
        <v>35</v>
      </c>
      <c r="B24" s="121">
        <v>-1.612389995</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s="121">
        <v>-2.3205174780000002</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s="121">
        <v>-3.8667417629999998</v>
      </c>
      <c r="C26" s="73" t="s">
        <v>46</v>
      </c>
      <c r="D26" s="12">
        <v>0.16999222507469616</v>
      </c>
      <c r="E26" s="10">
        <v>3</v>
      </c>
      <c r="F26" s="10">
        <v>234</v>
      </c>
      <c r="G26" s="6">
        <v>3.19</v>
      </c>
      <c r="H26" s="14">
        <f t="shared" si="0"/>
        <v>-4.7799999999999994</v>
      </c>
      <c r="I26" s="15" t="s">
        <v>47</v>
      </c>
      <c r="J26" s="29" t="s">
        <v>391</v>
      </c>
      <c r="K26" s="14"/>
      <c r="L26" s="14"/>
      <c r="M26" s="11" t="s">
        <v>48</v>
      </c>
    </row>
    <row r="27" spans="1:28">
      <c r="A27" s="82" t="s">
        <v>50</v>
      </c>
      <c r="B27" s="121">
        <v>-6.597767438</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s="121">
        <v>-6.3581617560000003</v>
      </c>
      <c r="C28" s="71"/>
      <c r="D28" s="12">
        <v>0.18412396392404196</v>
      </c>
      <c r="E28" s="10">
        <v>3</v>
      </c>
      <c r="F28" s="10">
        <v>224.00000000000003</v>
      </c>
      <c r="G28" s="6">
        <v>5.51</v>
      </c>
      <c r="H28" s="14">
        <f t="shared" si="0"/>
        <v>-7</v>
      </c>
      <c r="I28" s="15" t="s">
        <v>56</v>
      </c>
      <c r="J28" s="29"/>
      <c r="K28" s="14"/>
      <c r="L28" s="14"/>
      <c r="M28" s="11" t="s">
        <v>57</v>
      </c>
    </row>
    <row r="29" spans="1:28">
      <c r="A29" s="81" t="s">
        <v>59</v>
      </c>
      <c r="B29" s="121">
        <v>-3.325856001</v>
      </c>
      <c r="C29" s="71"/>
      <c r="D29" s="12">
        <v>0.14933733874523175</v>
      </c>
      <c r="E29" s="10">
        <v>6</v>
      </c>
      <c r="F29" s="10">
        <v>172.5</v>
      </c>
      <c r="G29" s="6">
        <v>1.78</v>
      </c>
      <c r="H29" s="14">
        <f t="shared" si="0"/>
        <v>-2.7549999999999999</v>
      </c>
      <c r="I29" s="15" t="s">
        <v>60</v>
      </c>
      <c r="J29" s="31"/>
      <c r="K29" s="14"/>
      <c r="L29" s="14"/>
      <c r="M29" s="11" t="s">
        <v>61</v>
      </c>
    </row>
    <row r="30" spans="1:28">
      <c r="A30" s="81" t="s">
        <v>63</v>
      </c>
      <c r="B30" s="121">
        <v>-1.790396587</v>
      </c>
      <c r="C30" s="71"/>
      <c r="D30" s="12">
        <v>0.14842266063120066</v>
      </c>
      <c r="E30" s="10">
        <v>4</v>
      </c>
      <c r="F30" s="10">
        <v>207.50000000000003</v>
      </c>
      <c r="G30" s="6">
        <v>1.86</v>
      </c>
      <c r="H30" s="14">
        <f t="shared" si="0"/>
        <v>-3.1850000000000005</v>
      </c>
      <c r="I30" s="30" t="s">
        <v>64</v>
      </c>
      <c r="J30" s="123"/>
      <c r="K30" s="33"/>
      <c r="L30" s="34"/>
      <c r="M30" s="11" t="s">
        <v>65</v>
      </c>
    </row>
    <row r="31" spans="1:28">
      <c r="A31" s="83" t="s">
        <v>66</v>
      </c>
      <c r="B31" s="121">
        <v>-1.864896723</v>
      </c>
      <c r="C31" s="71"/>
      <c r="D31" s="12">
        <v>0.1617973106900604</v>
      </c>
      <c r="E31" s="10">
        <v>10</v>
      </c>
      <c r="F31" s="10">
        <v>166.5</v>
      </c>
      <c r="G31" s="6">
        <v>0.79</v>
      </c>
      <c r="H31" s="14">
        <f t="shared" si="0"/>
        <v>-1.7050000000000001</v>
      </c>
      <c r="J31" s="14"/>
      <c r="K31" s="14"/>
      <c r="L31" s="14"/>
      <c r="M31" s="11" t="s">
        <v>67</v>
      </c>
    </row>
    <row r="32" spans="1:28">
      <c r="A32" s="82" t="s">
        <v>68</v>
      </c>
      <c r="B32" s="121">
        <v>-5.2939391819999999</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s="122">
        <v>-4.6996107220000001</v>
      </c>
      <c r="C33" s="72"/>
      <c r="D33" s="4">
        <v>0.12912520605069597</v>
      </c>
      <c r="E33" s="2">
        <v>3</v>
      </c>
      <c r="F33" s="13">
        <v>192.7</v>
      </c>
      <c r="G33" s="6">
        <v>2.63</v>
      </c>
      <c r="H33" s="14">
        <f t="shared" si="0"/>
        <v>-3.8069999999999995</v>
      </c>
      <c r="I33" s="124" t="s">
        <v>393</v>
      </c>
      <c r="J33" s="21"/>
      <c r="K33" s="21"/>
      <c r="L33" s="22"/>
      <c r="M33" s="11" t="s">
        <v>72</v>
      </c>
    </row>
    <row r="34" spans="1:13">
      <c r="A34" s="81" t="s">
        <v>74</v>
      </c>
      <c r="B34" s="121">
        <v>-12.996698970000001</v>
      </c>
      <c r="C34" s="71"/>
      <c r="D34" s="12">
        <v>0.14911462098310888</v>
      </c>
      <c r="E34" s="10">
        <v>6</v>
      </c>
      <c r="F34" s="10">
        <v>167</v>
      </c>
      <c r="G34" s="6">
        <v>6.32</v>
      </c>
      <c r="H34" s="14">
        <f t="shared" si="0"/>
        <v>-7.24</v>
      </c>
      <c r="I34" s="23"/>
      <c r="J34" s="7"/>
      <c r="K34" s="7"/>
      <c r="L34" s="24"/>
      <c r="M34" s="11" t="s">
        <v>75</v>
      </c>
    </row>
    <row r="35" spans="1:13">
      <c r="A35" s="82" t="s">
        <v>77</v>
      </c>
      <c r="B35" s="121">
        <v>-3.781276063</v>
      </c>
      <c r="C35" s="71"/>
      <c r="D35" s="12">
        <v>0.15809078703524676</v>
      </c>
      <c r="E35" s="10">
        <v>15</v>
      </c>
      <c r="F35" s="10">
        <v>191.5</v>
      </c>
      <c r="G35" s="6">
        <v>3.39</v>
      </c>
      <c r="H35" s="14">
        <f t="shared" si="0"/>
        <v>-4.5549999999999997</v>
      </c>
      <c r="I35" s="23"/>
      <c r="J35" s="7"/>
      <c r="K35" s="7"/>
      <c r="L35" s="24"/>
      <c r="M35" s="11" t="s">
        <v>78</v>
      </c>
    </row>
    <row r="36" spans="1:13">
      <c r="A36" s="83" t="s">
        <v>80</v>
      </c>
      <c r="B36" s="121">
        <v>-4.202304485</v>
      </c>
      <c r="C36" s="71"/>
      <c r="D36" s="12">
        <v>0.1911503089068218</v>
      </c>
      <c r="E36" s="10">
        <v>3</v>
      </c>
      <c r="F36" s="10">
        <v>246.2</v>
      </c>
      <c r="G36" s="6">
        <v>3.32</v>
      </c>
      <c r="H36" s="14">
        <f t="shared" si="0"/>
        <v>-5.032</v>
      </c>
      <c r="I36" s="25"/>
      <c r="J36" s="7"/>
      <c r="K36" s="7"/>
      <c r="L36" s="24"/>
      <c r="M36" s="11" t="s">
        <v>81</v>
      </c>
    </row>
    <row r="37" spans="1:13">
      <c r="A37" s="83" t="s">
        <v>73</v>
      </c>
      <c r="B37" s="121">
        <v>-3.3100336499999998</v>
      </c>
      <c r="C37" s="71"/>
      <c r="D37" s="12">
        <v>0.19050575600734274</v>
      </c>
      <c r="E37" s="10">
        <v>4</v>
      </c>
      <c r="F37" s="10">
        <v>304</v>
      </c>
      <c r="G37" s="6">
        <v>1.74</v>
      </c>
      <c r="H37" s="14">
        <f t="shared" si="0"/>
        <v>-4.03</v>
      </c>
      <c r="I37" s="25"/>
      <c r="J37" s="7"/>
      <c r="K37" s="7"/>
      <c r="L37" s="24"/>
      <c r="M37" s="11" t="s">
        <v>83</v>
      </c>
    </row>
    <row r="38" spans="1:13">
      <c r="A38" s="81" t="s">
        <v>76</v>
      </c>
      <c r="B38" s="121">
        <v>-5.9185422259999996</v>
      </c>
      <c r="C38" s="71"/>
      <c r="D38" s="12">
        <v>0.13682393527498057</v>
      </c>
      <c r="E38" s="10">
        <v>7</v>
      </c>
      <c r="F38" s="10">
        <v>187</v>
      </c>
      <c r="G38" s="6">
        <v>-0.87</v>
      </c>
      <c r="H38" s="14">
        <f t="shared" si="0"/>
        <v>-0.25</v>
      </c>
      <c r="I38" s="25"/>
      <c r="J38" s="7"/>
      <c r="K38" s="7"/>
      <c r="L38" s="24"/>
      <c r="M38" s="66" t="s">
        <v>85</v>
      </c>
    </row>
    <row r="39" spans="1:13">
      <c r="A39" s="81" t="s">
        <v>87</v>
      </c>
      <c r="B39" s="121">
        <v>-2.638803781</v>
      </c>
      <c r="C39" s="71"/>
      <c r="D39" s="12">
        <v>0.20462356367492032</v>
      </c>
      <c r="E39" s="10">
        <v>4</v>
      </c>
      <c r="F39" s="10">
        <v>221.5</v>
      </c>
      <c r="G39" s="6">
        <v>0.71</v>
      </c>
      <c r="H39" s="14">
        <f t="shared" si="0"/>
        <v>-2.1749999999999998</v>
      </c>
      <c r="I39" s="25"/>
      <c r="J39" s="7"/>
      <c r="K39" s="7"/>
      <c r="L39" s="24"/>
      <c r="M39" s="11" t="s">
        <v>88</v>
      </c>
    </row>
    <row r="40" spans="1:13">
      <c r="A40" s="81" t="s">
        <v>90</v>
      </c>
      <c r="B40" s="121">
        <v>-5.9237617599999997</v>
      </c>
      <c r="C40" s="71"/>
      <c r="D40" s="12">
        <v>0.18274602564465547</v>
      </c>
      <c r="E40" s="10">
        <v>6</v>
      </c>
      <c r="F40" s="10">
        <v>157.83333333333334</v>
      </c>
      <c r="G40" s="6">
        <v>3.51</v>
      </c>
      <c r="H40" s="14">
        <f t="shared" si="0"/>
        <v>-4.3383333333333329</v>
      </c>
      <c r="I40" s="25"/>
      <c r="J40" s="39"/>
      <c r="K40" s="39"/>
      <c r="L40" s="40"/>
      <c r="M40" s="11" t="s">
        <v>91</v>
      </c>
    </row>
    <row r="41" spans="1:13">
      <c r="A41" s="84" t="s">
        <v>93</v>
      </c>
      <c r="B41" s="122">
        <v>-1.3405819290000001</v>
      </c>
      <c r="C41" s="72"/>
      <c r="D41" s="4">
        <v>0.12610247911779729</v>
      </c>
      <c r="E41" s="2">
        <v>8</v>
      </c>
      <c r="F41" s="10">
        <v>140</v>
      </c>
      <c r="G41" s="6">
        <v>0.35</v>
      </c>
      <c r="H41" s="14">
        <f t="shared" si="0"/>
        <v>-1</v>
      </c>
      <c r="I41" s="25"/>
      <c r="J41" s="39"/>
      <c r="K41" s="39"/>
      <c r="L41" s="40"/>
      <c r="M41" s="11" t="s">
        <v>94</v>
      </c>
    </row>
    <row r="42" spans="1:13">
      <c r="A42" s="82" t="s">
        <v>96</v>
      </c>
      <c r="B42" s="121">
        <v>-3.2595789530000001</v>
      </c>
      <c r="C42" s="71"/>
      <c r="D42" s="12">
        <v>0.14493441954543959</v>
      </c>
      <c r="E42" s="10">
        <v>7</v>
      </c>
      <c r="F42" s="10">
        <v>127.93333333333334</v>
      </c>
      <c r="G42" s="6">
        <v>1.74</v>
      </c>
      <c r="H42" s="14">
        <f t="shared" si="0"/>
        <v>-2.2693333333333334</v>
      </c>
      <c r="I42" s="25"/>
      <c r="J42" s="39"/>
      <c r="K42" s="39"/>
      <c r="L42" s="40"/>
      <c r="M42" s="11" t="s">
        <v>97</v>
      </c>
    </row>
    <row r="43" spans="1:13">
      <c r="A43" s="82" t="s">
        <v>79</v>
      </c>
      <c r="B43" s="121">
        <v>-4.0169795290000003</v>
      </c>
      <c r="C43" s="71"/>
      <c r="D43" s="12">
        <v>0.14861388626870758</v>
      </c>
      <c r="E43" s="10">
        <v>7</v>
      </c>
      <c r="F43" s="10">
        <v>176</v>
      </c>
      <c r="G43" s="6">
        <v>4.4800000000000004</v>
      </c>
      <c r="H43" s="14">
        <f t="shared" si="0"/>
        <v>-5.49</v>
      </c>
      <c r="I43" s="25"/>
      <c r="J43" s="39"/>
      <c r="K43" s="39"/>
      <c r="L43" s="40"/>
      <c r="M43" s="11" t="s">
        <v>99</v>
      </c>
    </row>
    <row r="44" spans="1:13">
      <c r="A44" s="85" t="s">
        <v>101</v>
      </c>
      <c r="B44" s="122">
        <v>-5.9003011719999998</v>
      </c>
      <c r="C44" s="72"/>
      <c r="D44" s="4">
        <v>0.1280711495400205</v>
      </c>
      <c r="E44" s="2">
        <v>3</v>
      </c>
      <c r="F44" s="10">
        <v>159.69999999999999</v>
      </c>
      <c r="G44" s="6">
        <v>3.46</v>
      </c>
      <c r="H44" s="14">
        <f t="shared" si="0"/>
        <v>-4.3070000000000004</v>
      </c>
      <c r="I44" s="25"/>
      <c r="J44" s="39"/>
      <c r="K44" s="39"/>
      <c r="L44" s="40"/>
      <c r="M44" s="11" t="s">
        <v>102</v>
      </c>
    </row>
    <row r="45" spans="1:13">
      <c r="A45" s="84" t="s">
        <v>104</v>
      </c>
      <c r="B45" s="122">
        <v>-1.873206658</v>
      </c>
      <c r="C45" s="72"/>
      <c r="D45" s="4">
        <v>0.21683500301481054</v>
      </c>
      <c r="E45" s="2">
        <v>8</v>
      </c>
      <c r="F45" s="10">
        <v>142</v>
      </c>
      <c r="G45" s="6">
        <v>0.6</v>
      </c>
      <c r="H45" s="14">
        <f t="shared" si="0"/>
        <v>-1.27</v>
      </c>
      <c r="I45" s="25"/>
      <c r="J45" s="39"/>
      <c r="K45" s="39"/>
      <c r="L45" s="40"/>
      <c r="M45" s="11" t="s">
        <v>105</v>
      </c>
    </row>
    <row r="46" spans="1:13">
      <c r="A46" s="82" t="s">
        <v>107</v>
      </c>
      <c r="B46" s="121">
        <v>-3.4189831320000001</v>
      </c>
      <c r="C46" s="71"/>
      <c r="D46" s="12">
        <v>0.18255878892749886</v>
      </c>
      <c r="E46" s="10">
        <v>20</v>
      </c>
      <c r="F46" s="10">
        <v>267</v>
      </c>
      <c r="G46" s="6">
        <v>1.58</v>
      </c>
      <c r="H46" s="14">
        <f t="shared" si="0"/>
        <v>-3.5</v>
      </c>
      <c r="I46" s="25"/>
      <c r="J46" s="39"/>
      <c r="K46" s="39"/>
      <c r="L46" s="40"/>
      <c r="M46" s="11" t="s">
        <v>108</v>
      </c>
    </row>
    <row r="47" spans="1:13">
      <c r="A47" s="81" t="s">
        <v>110</v>
      </c>
      <c r="B47" s="121">
        <v>-4.8630418779999998</v>
      </c>
      <c r="C47" s="71"/>
      <c r="D47" s="12">
        <v>0.16704647063532602</v>
      </c>
      <c r="E47" s="10">
        <v>6</v>
      </c>
      <c r="F47" s="10">
        <v>110.00000000000001</v>
      </c>
      <c r="G47" s="6">
        <v>3.36</v>
      </c>
      <c r="H47" s="14">
        <f t="shared" si="0"/>
        <v>-3.71</v>
      </c>
      <c r="I47" s="25"/>
      <c r="J47" s="39"/>
      <c r="K47" s="39"/>
      <c r="L47" s="40"/>
      <c r="M47" s="11" t="s">
        <v>111</v>
      </c>
    </row>
    <row r="48" spans="1:13">
      <c r="A48" s="82" t="s">
        <v>82</v>
      </c>
      <c r="B48" s="121">
        <v>-3.8874244820000001</v>
      </c>
      <c r="C48" s="71"/>
      <c r="D48" s="12">
        <v>0.17164501312359953</v>
      </c>
      <c r="E48" s="10">
        <v>7</v>
      </c>
      <c r="F48" s="10">
        <v>182</v>
      </c>
      <c r="G48" s="6">
        <v>2.67</v>
      </c>
      <c r="H48" s="14">
        <f t="shared" si="0"/>
        <v>-3.74</v>
      </c>
      <c r="I48" s="25"/>
      <c r="J48" s="39"/>
      <c r="K48" s="39"/>
      <c r="L48" s="40"/>
      <c r="M48" s="11" t="s">
        <v>113</v>
      </c>
    </row>
    <row r="49" spans="1:13">
      <c r="A49" s="84" t="s">
        <v>115</v>
      </c>
      <c r="B49" s="122">
        <v>-3.7692041430000001</v>
      </c>
      <c r="C49" s="72"/>
      <c r="D49" s="4">
        <v>0.12558353028546052</v>
      </c>
      <c r="E49" s="2">
        <v>4</v>
      </c>
      <c r="F49" s="10">
        <v>222.00000000000003</v>
      </c>
      <c r="G49" s="6">
        <v>2.56</v>
      </c>
      <c r="H49" s="14">
        <f t="shared" si="0"/>
        <v>-4.03</v>
      </c>
      <c r="I49" s="25"/>
      <c r="J49" s="39"/>
      <c r="K49" s="39"/>
      <c r="L49" s="40"/>
      <c r="M49" s="11" t="s">
        <v>116</v>
      </c>
    </row>
    <row r="50" spans="1:13">
      <c r="A50" s="82" t="s">
        <v>118</v>
      </c>
      <c r="B50" s="121">
        <v>-13.17005443</v>
      </c>
      <c r="C50" s="71"/>
      <c r="D50" s="12">
        <v>0.1568133990664792</v>
      </c>
      <c r="E50" s="10">
        <v>6</v>
      </c>
      <c r="F50" s="10">
        <v>151</v>
      </c>
      <c r="G50" s="6">
        <v>3.27</v>
      </c>
      <c r="H50" s="14">
        <f t="shared" si="0"/>
        <v>-4.03</v>
      </c>
      <c r="I50" s="25"/>
      <c r="J50" s="39"/>
      <c r="K50" s="39"/>
      <c r="L50" s="40"/>
      <c r="M50" s="11" t="s">
        <v>119</v>
      </c>
    </row>
    <row r="51" spans="1:13">
      <c r="A51" s="85" t="s">
        <v>84</v>
      </c>
      <c r="B51" s="122">
        <v>-4.3054604469999997</v>
      </c>
      <c r="C51" s="72"/>
      <c r="D51" s="4">
        <v>0.12789394574374285</v>
      </c>
      <c r="E51" s="2">
        <v>5</v>
      </c>
      <c r="F51" s="10">
        <v>330</v>
      </c>
      <c r="G51" s="6">
        <v>2.87</v>
      </c>
      <c r="H51" s="14">
        <f t="shared" si="0"/>
        <v>-5.42</v>
      </c>
      <c r="I51" s="25"/>
      <c r="J51" s="39"/>
      <c r="K51" s="39"/>
      <c r="L51" s="40"/>
      <c r="M51" s="11" t="s">
        <v>120</v>
      </c>
    </row>
    <row r="52" spans="1:13">
      <c r="A52" s="82" t="s">
        <v>121</v>
      </c>
      <c r="B52" s="121">
        <v>-2.7455417500000001</v>
      </c>
      <c r="C52" s="71"/>
      <c r="D52" s="12">
        <v>0.18012800124370357</v>
      </c>
      <c r="E52" s="10">
        <v>3</v>
      </c>
      <c r="F52" s="10">
        <v>100</v>
      </c>
      <c r="G52" s="6">
        <v>3.53</v>
      </c>
      <c r="H52" s="14">
        <f t="shared" si="0"/>
        <v>-3.78</v>
      </c>
      <c r="I52" s="23"/>
      <c r="J52" s="7"/>
      <c r="K52" s="7"/>
      <c r="L52" s="24"/>
      <c r="M52" s="11" t="s">
        <v>122</v>
      </c>
    </row>
    <row r="53" spans="1:13">
      <c r="A53" s="81" t="s">
        <v>123</v>
      </c>
      <c r="B53" s="121">
        <v>-4.4459799980000003</v>
      </c>
      <c r="C53" s="71"/>
      <c r="D53" s="12">
        <v>0.18062104750721683</v>
      </c>
      <c r="E53" s="10">
        <v>16</v>
      </c>
      <c r="F53" s="10">
        <v>262.5</v>
      </c>
      <c r="G53" s="6">
        <v>1.9</v>
      </c>
      <c r="H53" s="14">
        <f t="shared" si="0"/>
        <v>-3.7749999999999999</v>
      </c>
      <c r="I53" s="23"/>
      <c r="J53" s="7"/>
      <c r="K53" s="7"/>
      <c r="L53" s="24"/>
      <c r="M53" s="11" t="s">
        <v>124</v>
      </c>
    </row>
    <row r="54" spans="1:13">
      <c r="A54" s="84" t="s">
        <v>125</v>
      </c>
      <c r="B54" s="122">
        <v>-3.2706069769999999</v>
      </c>
      <c r="C54" s="72"/>
      <c r="D54" s="4">
        <v>0.22156244268660033</v>
      </c>
      <c r="E54" s="2">
        <v>4</v>
      </c>
      <c r="F54" s="10">
        <v>328.85</v>
      </c>
      <c r="G54" s="6">
        <v>1.87</v>
      </c>
      <c r="H54" s="14">
        <f t="shared" si="0"/>
        <v>-4.4085000000000001</v>
      </c>
      <c r="I54" s="23"/>
      <c r="J54" s="7"/>
      <c r="K54" s="7"/>
      <c r="L54" s="24"/>
      <c r="M54" s="11" t="s">
        <v>126</v>
      </c>
    </row>
    <row r="55" spans="1:13">
      <c r="A55" s="82" t="s">
        <v>127</v>
      </c>
      <c r="B55" s="121">
        <v>-4.7832382129999997</v>
      </c>
      <c r="C55" s="71"/>
      <c r="D55" s="12">
        <v>0.18450811780713378</v>
      </c>
      <c r="E55" s="10">
        <v>33</v>
      </c>
      <c r="F55" s="10">
        <v>167.5</v>
      </c>
      <c r="G55" s="6">
        <v>4.3600000000000003</v>
      </c>
      <c r="H55" s="14">
        <f t="shared" si="0"/>
        <v>-5.2850000000000001</v>
      </c>
      <c r="I55" s="23"/>
      <c r="J55" s="7"/>
      <c r="K55" s="7"/>
      <c r="L55" s="24"/>
      <c r="M55" s="11" t="s">
        <v>128</v>
      </c>
    </row>
    <row r="56" spans="1:13">
      <c r="A56" s="82" t="s">
        <v>86</v>
      </c>
      <c r="B56" s="121">
        <v>-3.8826586110000001</v>
      </c>
      <c r="C56" s="71"/>
      <c r="D56" s="12">
        <v>0.15609203233531485</v>
      </c>
      <c r="E56" s="10">
        <v>3</v>
      </c>
      <c r="F56" s="10">
        <v>223</v>
      </c>
      <c r="G56" s="6">
        <v>2.99</v>
      </c>
      <c r="H56" s="14">
        <f t="shared" si="0"/>
        <v>-4.4700000000000006</v>
      </c>
      <c r="I56" s="23"/>
      <c r="J56" s="7"/>
      <c r="K56" s="7"/>
      <c r="L56" s="24"/>
      <c r="M56" s="11" t="s">
        <v>129</v>
      </c>
    </row>
    <row r="57" spans="1:13">
      <c r="A57" s="82" t="s">
        <v>89</v>
      </c>
      <c r="B57" s="121">
        <v>-4.5723446819999998</v>
      </c>
      <c r="C57" s="71"/>
      <c r="D57" s="12">
        <v>0.20872343532408041</v>
      </c>
      <c r="E57" s="10">
        <v>3</v>
      </c>
      <c r="F57" s="10">
        <v>210.5</v>
      </c>
      <c r="G57" s="6">
        <v>2.72</v>
      </c>
      <c r="H57" s="14">
        <f t="shared" si="0"/>
        <v>-4.0750000000000002</v>
      </c>
      <c r="I57" s="26"/>
      <c r="J57" s="27"/>
      <c r="K57" s="27"/>
      <c r="L57" s="28"/>
      <c r="M57" s="11" t="s">
        <v>130</v>
      </c>
    </row>
    <row r="58" spans="1:13">
      <c r="A58" s="84" t="s">
        <v>131</v>
      </c>
      <c r="B58" s="122">
        <v>-3.7108965600000001</v>
      </c>
      <c r="C58" s="72"/>
      <c r="D58" s="4">
        <v>0.1297319013416561</v>
      </c>
      <c r="E58" s="2">
        <v>3</v>
      </c>
      <c r="F58" s="10">
        <v>209.75</v>
      </c>
      <c r="G58" s="6">
        <v>3.37</v>
      </c>
      <c r="H58" s="14">
        <f t="shared" si="0"/>
        <v>-4.7175000000000002</v>
      </c>
      <c r="J58" s="14"/>
      <c r="K58" s="14"/>
      <c r="L58" s="14"/>
      <c r="M58" s="11" t="s">
        <v>132</v>
      </c>
    </row>
    <row r="59" spans="1:13">
      <c r="A59" s="81" t="s">
        <v>92</v>
      </c>
      <c r="B59" s="121">
        <v>-4.8281236639999996</v>
      </c>
      <c r="C59" s="71"/>
      <c r="D59" s="12">
        <v>0.14124198841117766</v>
      </c>
      <c r="E59" s="10">
        <v>3</v>
      </c>
      <c r="F59" s="10">
        <v>53.5</v>
      </c>
      <c r="G59" s="6">
        <v>3.43</v>
      </c>
      <c r="H59" s="14">
        <f t="shared" si="0"/>
        <v>-3.2150000000000003</v>
      </c>
      <c r="I59" s="70" t="s">
        <v>133</v>
      </c>
      <c r="J59" s="32">
        <v>93</v>
      </c>
      <c r="K59" s="34"/>
      <c r="L59" s="14"/>
      <c r="M59" s="11" t="s">
        <v>134</v>
      </c>
    </row>
    <row r="60" spans="1:13">
      <c r="A60" s="81" t="s">
        <v>135</v>
      </c>
      <c r="B60" s="121">
        <v>-0.53990602499999996</v>
      </c>
      <c r="C60" s="71"/>
      <c r="D60" s="12">
        <v>0.17069281866408892</v>
      </c>
      <c r="E60" s="10">
        <v>6</v>
      </c>
      <c r="F60" s="10">
        <v>270</v>
      </c>
      <c r="G60" s="6">
        <v>0.05</v>
      </c>
      <c r="H60" s="14">
        <f t="shared" si="0"/>
        <v>-2</v>
      </c>
      <c r="I60" s="70" t="s">
        <v>136</v>
      </c>
      <c r="J60" s="32">
        <v>31</v>
      </c>
      <c r="K60" s="34"/>
      <c r="L60" s="14"/>
      <c r="M60" s="11" t="s">
        <v>137</v>
      </c>
    </row>
    <row r="61" spans="1:13">
      <c r="A61" s="82" t="s">
        <v>138</v>
      </c>
      <c r="B61" s="121">
        <v>-2.5733262429999999</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s="121">
        <v>-4.261222192</v>
      </c>
      <c r="C62" s="71"/>
      <c r="D62" s="12">
        <v>0.18021422622763517</v>
      </c>
      <c r="E62" s="10">
        <v>5</v>
      </c>
      <c r="F62" s="10">
        <v>214.5</v>
      </c>
      <c r="G62" s="6">
        <v>3.61</v>
      </c>
      <c r="H62" s="14">
        <f t="shared" si="0"/>
        <v>-5.0049999999999999</v>
      </c>
      <c r="I62" s="14"/>
      <c r="J62" s="14"/>
      <c r="K62" s="14"/>
      <c r="L62" s="14"/>
      <c r="M62" s="11" t="s">
        <v>142</v>
      </c>
    </row>
    <row r="63" spans="1:13">
      <c r="A63" s="82" t="s">
        <v>143</v>
      </c>
      <c r="B63" s="121">
        <v>-4.4505719340000001</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s="121">
        <v>-3.1754640329999999</v>
      </c>
      <c r="C64" s="71"/>
      <c r="D64" s="12">
        <v>0.17</v>
      </c>
      <c r="E64" s="10">
        <v>3</v>
      </c>
      <c r="F64" s="10">
        <v>189</v>
      </c>
      <c r="G64" s="6">
        <v>1.34</v>
      </c>
      <c r="H64" s="14">
        <f t="shared" si="0"/>
        <v>-2.4800000000000004</v>
      </c>
      <c r="I64" s="20" t="s">
        <v>409</v>
      </c>
      <c r="J64" s="21"/>
      <c r="K64" s="21"/>
      <c r="L64" s="22"/>
      <c r="M64" s="11" t="s">
        <v>148</v>
      </c>
    </row>
    <row r="65" spans="1:13" ht="252">
      <c r="A65" s="82" t="s">
        <v>149</v>
      </c>
      <c r="B65" s="121">
        <v>-4.2596638560000004</v>
      </c>
      <c r="C65" s="71"/>
      <c r="D65" s="12">
        <v>0.19794493160510693</v>
      </c>
      <c r="E65" s="10">
        <v>4</v>
      </c>
      <c r="F65" s="10">
        <v>243.5</v>
      </c>
      <c r="G65" s="6">
        <v>1.34</v>
      </c>
      <c r="H65" s="14">
        <f t="shared" si="0"/>
        <v>-3.0250000000000004</v>
      </c>
      <c r="I65" s="126" t="s">
        <v>410</v>
      </c>
      <c r="J65" s="7"/>
      <c r="K65" s="7"/>
      <c r="L65" s="24"/>
      <c r="M65" s="11" t="s">
        <v>151</v>
      </c>
    </row>
    <row r="66" spans="1:13">
      <c r="A66" s="81" t="s">
        <v>95</v>
      </c>
      <c r="B66" s="121">
        <v>-2.9100256739999999</v>
      </c>
      <c r="C66" s="71"/>
      <c r="D66" s="12">
        <v>0.21056099074293383</v>
      </c>
      <c r="E66" s="10">
        <v>3</v>
      </c>
      <c r="F66" s="10">
        <v>36.5</v>
      </c>
      <c r="G66" s="6">
        <v>2.74</v>
      </c>
      <c r="H66" s="14">
        <f t="shared" si="0"/>
        <v>-2.3550000000000004</v>
      </c>
      <c r="I66" s="23" t="s">
        <v>397</v>
      </c>
      <c r="J66" s="7"/>
      <c r="K66" s="7"/>
      <c r="L66" s="24"/>
      <c r="M66" s="11" t="s">
        <v>152</v>
      </c>
    </row>
    <row r="67" spans="1:13">
      <c r="A67" s="83" t="s">
        <v>153</v>
      </c>
      <c r="B67" s="121">
        <v>-4.6705326700000001</v>
      </c>
      <c r="C67" s="71"/>
      <c r="D67" s="12">
        <v>0.21092434073951916</v>
      </c>
      <c r="E67" s="10">
        <v>10</v>
      </c>
      <c r="F67" s="10">
        <v>186</v>
      </c>
      <c r="G67" s="6">
        <v>3.4</v>
      </c>
      <c r="H67" s="14">
        <f t="shared" si="0"/>
        <v>-4.51</v>
      </c>
      <c r="I67" s="23" t="s">
        <v>398</v>
      </c>
      <c r="J67" s="7"/>
      <c r="K67" s="7"/>
      <c r="L67" s="24"/>
      <c r="M67" s="11" t="s">
        <v>154</v>
      </c>
    </row>
    <row r="68" spans="1:13">
      <c r="A68" s="81" t="s">
        <v>98</v>
      </c>
      <c r="B68" s="121">
        <v>-4.0352160389999998</v>
      </c>
      <c r="C68" s="71"/>
      <c r="D68" s="12">
        <v>0.18695478693957188</v>
      </c>
      <c r="E68" s="10">
        <v>3</v>
      </c>
      <c r="F68" s="10">
        <v>252.99999999999997</v>
      </c>
      <c r="G68" s="6">
        <v>2.35</v>
      </c>
      <c r="H68" s="14">
        <f t="shared" si="0"/>
        <v>-4.13</v>
      </c>
      <c r="I68" s="23" t="s">
        <v>399</v>
      </c>
      <c r="J68" s="7"/>
      <c r="K68" s="7"/>
      <c r="L68" s="24"/>
      <c r="M68" s="11" t="s">
        <v>155</v>
      </c>
    </row>
    <row r="69" spans="1:13">
      <c r="A69" s="83" t="s">
        <v>156</v>
      </c>
      <c r="B69" s="121">
        <v>-4.3126171839999996</v>
      </c>
      <c r="C69" s="71"/>
      <c r="D69" s="12">
        <v>0.20491085989689112</v>
      </c>
      <c r="E69" s="10">
        <v>23</v>
      </c>
      <c r="F69" s="10">
        <v>111.00000000000001</v>
      </c>
      <c r="G69" s="6">
        <v>3.68</v>
      </c>
      <c r="H69" s="14">
        <f t="shared" si="0"/>
        <v>-4.04</v>
      </c>
      <c r="I69" s="23" t="s">
        <v>400</v>
      </c>
      <c r="J69" s="7"/>
      <c r="K69" s="7"/>
      <c r="L69" s="24"/>
      <c r="M69" s="11" t="s">
        <v>157</v>
      </c>
    </row>
    <row r="70" spans="1:13">
      <c r="A70" s="81" t="s">
        <v>158</v>
      </c>
      <c r="B70" s="121">
        <v>-4.3858953119999997</v>
      </c>
      <c r="C70" s="71"/>
      <c r="D70" s="12">
        <v>0.15545016183846921</v>
      </c>
      <c r="E70" s="10">
        <v>6</v>
      </c>
      <c r="F70" s="10">
        <v>250</v>
      </c>
      <c r="G70" s="6">
        <v>-0.04</v>
      </c>
      <c r="H70" s="14">
        <f t="shared" si="0"/>
        <v>-1.71</v>
      </c>
      <c r="I70" s="23" t="s">
        <v>401</v>
      </c>
      <c r="J70" s="7"/>
      <c r="K70" s="7"/>
      <c r="L70" s="24"/>
      <c r="M70" s="11" t="s">
        <v>159</v>
      </c>
    </row>
    <row r="71" spans="1:13">
      <c r="A71" s="82" t="s">
        <v>160</v>
      </c>
      <c r="B71" s="121">
        <v>-1.379504726</v>
      </c>
      <c r="C71" s="71"/>
      <c r="D71" s="12">
        <v>0.13261436390895148</v>
      </c>
      <c r="E71" s="10">
        <v>3</v>
      </c>
      <c r="F71" s="10">
        <v>250</v>
      </c>
      <c r="G71" s="6">
        <v>-1.97</v>
      </c>
      <c r="H71" s="14">
        <f t="shared" si="0"/>
        <v>0.21999999999999975</v>
      </c>
      <c r="I71" s="23" t="s">
        <v>402</v>
      </c>
      <c r="J71" s="7"/>
      <c r="K71" s="7"/>
      <c r="L71" s="24"/>
      <c r="M71" s="11" t="s">
        <v>161</v>
      </c>
    </row>
    <row r="72" spans="1:13">
      <c r="A72" s="82" t="s">
        <v>162</v>
      </c>
      <c r="B72" s="121">
        <v>-5.6929505789999997</v>
      </c>
      <c r="C72" s="71"/>
      <c r="D72" s="12">
        <v>0.21159815676624968</v>
      </c>
      <c r="E72" s="10">
        <v>9</v>
      </c>
      <c r="F72" s="10">
        <v>208.5</v>
      </c>
      <c r="G72" s="6">
        <v>2.08</v>
      </c>
      <c r="H72" s="14">
        <f t="shared" si="0"/>
        <v>-3.415</v>
      </c>
      <c r="I72" s="23" t="s">
        <v>403</v>
      </c>
      <c r="J72" s="7"/>
      <c r="K72" s="7"/>
      <c r="L72" s="24"/>
      <c r="M72" s="11" t="s">
        <v>163</v>
      </c>
    </row>
    <row r="73" spans="1:13">
      <c r="A73" s="82" t="s">
        <v>164</v>
      </c>
      <c r="B73" s="121">
        <v>-3.6140406139999999</v>
      </c>
      <c r="C73" s="71"/>
      <c r="D73" s="12">
        <v>0.1900151243705871</v>
      </c>
      <c r="E73" s="10">
        <v>15</v>
      </c>
      <c r="F73" s="10">
        <v>220.00000000000003</v>
      </c>
      <c r="G73" s="6">
        <v>2.69</v>
      </c>
      <c r="H73" s="14">
        <f t="shared" si="0"/>
        <v>-4.1400000000000006</v>
      </c>
      <c r="I73" s="23" t="s">
        <v>404</v>
      </c>
      <c r="J73" s="7"/>
      <c r="K73" s="7"/>
      <c r="L73" s="24"/>
      <c r="M73" s="11" t="s">
        <v>165</v>
      </c>
    </row>
    <row r="74" spans="1:13">
      <c r="A74" s="82" t="s">
        <v>166</v>
      </c>
      <c r="B74" s="121">
        <v>-5.6548660699999997</v>
      </c>
      <c r="C74" s="71"/>
      <c r="D74" s="12">
        <v>0.16978183023026608</v>
      </c>
      <c r="E74" s="10">
        <v>10</v>
      </c>
      <c r="F74" s="10">
        <v>151</v>
      </c>
      <c r="G74" s="6">
        <v>4.43</v>
      </c>
      <c r="H74" s="14">
        <f t="shared" si="0"/>
        <v>-5.1899999999999995</v>
      </c>
      <c r="I74" s="23" t="s">
        <v>405</v>
      </c>
      <c r="J74" s="7"/>
      <c r="K74" s="7"/>
      <c r="L74" s="24"/>
      <c r="M74" s="11" t="s">
        <v>167</v>
      </c>
    </row>
    <row r="75" spans="1:13">
      <c r="A75" s="83" t="s">
        <v>100</v>
      </c>
      <c r="B75" s="121">
        <v>-6.1023941989999999</v>
      </c>
      <c r="C75" s="71"/>
      <c r="D75" s="12">
        <v>0.19416214604145643</v>
      </c>
      <c r="E75" s="10">
        <v>7</v>
      </c>
      <c r="F75" s="10">
        <v>154.5</v>
      </c>
      <c r="G75" s="6">
        <v>4.22</v>
      </c>
      <c r="H75" s="14">
        <f t="shared" si="0"/>
        <v>-5.0149999999999997</v>
      </c>
      <c r="I75" s="23" t="s">
        <v>406</v>
      </c>
      <c r="J75" s="7"/>
      <c r="K75" s="7"/>
      <c r="L75" s="24"/>
      <c r="M75" s="11" t="s">
        <v>168</v>
      </c>
    </row>
    <row r="76" spans="1:13">
      <c r="A76" s="82" t="s">
        <v>169</v>
      </c>
      <c r="B76" s="121">
        <v>-5.7667403439999996</v>
      </c>
      <c r="C76" s="71"/>
      <c r="D76" s="12">
        <v>0.16048013551961601</v>
      </c>
      <c r="E76" s="10">
        <v>5</v>
      </c>
      <c r="F76" s="10">
        <v>167.75</v>
      </c>
      <c r="G76" s="6">
        <v>2.87</v>
      </c>
      <c r="H76" s="14">
        <f t="shared" si="0"/>
        <v>-3.7975000000000003</v>
      </c>
      <c r="I76" s="23" t="s">
        <v>407</v>
      </c>
      <c r="J76" s="7"/>
      <c r="K76" s="7"/>
      <c r="L76" s="24"/>
      <c r="M76" s="11" t="s">
        <v>170</v>
      </c>
    </row>
    <row r="77" spans="1:13">
      <c r="A77" s="84" t="s">
        <v>171</v>
      </c>
      <c r="B77" s="122">
        <v>-5.7611347640000004</v>
      </c>
      <c r="C77" s="72"/>
      <c r="D77" s="4">
        <v>0.22239504833634874</v>
      </c>
      <c r="E77" s="2">
        <v>21</v>
      </c>
      <c r="F77" s="10">
        <v>159</v>
      </c>
      <c r="G77" s="6">
        <v>3.93</v>
      </c>
      <c r="H77" s="14">
        <f t="shared" si="0"/>
        <v>-4.7700000000000005</v>
      </c>
      <c r="I77" s="23" t="s">
        <v>408</v>
      </c>
      <c r="J77" s="7"/>
      <c r="K77" s="7"/>
      <c r="L77" s="24"/>
      <c r="M77" s="11" t="s">
        <v>172</v>
      </c>
    </row>
    <row r="78" spans="1:13">
      <c r="A78" s="82" t="s">
        <v>173</v>
      </c>
      <c r="B78" s="121">
        <v>-4.6304482890000003</v>
      </c>
      <c r="C78" s="71"/>
      <c r="D78" s="12">
        <v>0.21209434799218393</v>
      </c>
      <c r="E78" s="10">
        <v>5</v>
      </c>
      <c r="F78" s="10">
        <v>213.49999999999997</v>
      </c>
      <c r="G78" s="6">
        <v>3.04</v>
      </c>
      <c r="H78" s="14">
        <f t="shared" si="0"/>
        <v>-4.4249999999999998</v>
      </c>
      <c r="I78" s="23"/>
      <c r="J78" s="7"/>
      <c r="K78" s="7"/>
      <c r="L78" s="24"/>
      <c r="M78" s="11" t="s">
        <v>174</v>
      </c>
    </row>
    <row r="79" spans="1:13">
      <c r="A79" s="82" t="s">
        <v>175</v>
      </c>
      <c r="B79" s="121">
        <v>-6.481638147</v>
      </c>
      <c r="C79" s="71"/>
      <c r="D79" s="12">
        <v>0.1407224156406931</v>
      </c>
      <c r="E79" s="10">
        <v>11</v>
      </c>
      <c r="F79" s="10">
        <v>146</v>
      </c>
      <c r="G79" s="6">
        <v>4.21</v>
      </c>
      <c r="H79" s="14">
        <f t="shared" si="0"/>
        <v>-4.92</v>
      </c>
      <c r="I79" s="23"/>
      <c r="J79" s="7"/>
      <c r="K79" s="7"/>
      <c r="L79" s="24"/>
      <c r="M79" s="11" t="s">
        <v>176</v>
      </c>
    </row>
    <row r="80" spans="1:13">
      <c r="A80" s="82" t="s">
        <v>177</v>
      </c>
      <c r="B80" s="121">
        <v>-4.3664833940000003</v>
      </c>
      <c r="C80" s="71"/>
      <c r="D80" s="12">
        <v>0.21748916450754371</v>
      </c>
      <c r="E80" s="10">
        <v>5</v>
      </c>
      <c r="F80" s="10">
        <v>92.333333333333329</v>
      </c>
      <c r="G80" s="6">
        <v>4.21</v>
      </c>
      <c r="H80" s="14">
        <f t="shared" si="0"/>
        <v>-4.3833333333333329</v>
      </c>
      <c r="I80" s="23"/>
      <c r="J80" s="7"/>
      <c r="K80" s="7"/>
      <c r="L80" s="24"/>
      <c r="M80" s="11" t="s">
        <v>178</v>
      </c>
    </row>
    <row r="81" spans="1:13">
      <c r="A81" s="81" t="s">
        <v>179</v>
      </c>
      <c r="B81" s="121">
        <v>-4.4210480710000004</v>
      </c>
      <c r="C81" s="71"/>
      <c r="D81" s="12">
        <v>0.20531013145176411</v>
      </c>
      <c r="E81" s="10">
        <v>8</v>
      </c>
      <c r="F81" s="10">
        <v>256</v>
      </c>
      <c r="G81" s="6">
        <v>2.71</v>
      </c>
      <c r="H81" s="14">
        <f t="shared" si="0"/>
        <v>-4.5199999999999996</v>
      </c>
      <c r="I81" s="23"/>
      <c r="J81" s="7"/>
      <c r="K81" s="7"/>
      <c r="L81" s="24"/>
      <c r="M81" s="11" t="s">
        <v>180</v>
      </c>
    </row>
    <row r="82" spans="1:13">
      <c r="A82" s="81" t="s">
        <v>181</v>
      </c>
      <c r="B82" s="121">
        <v>-4.180608554</v>
      </c>
      <c r="C82" s="71"/>
      <c r="D82" s="12">
        <v>0.21176785142223761</v>
      </c>
      <c r="E82" s="10">
        <v>3</v>
      </c>
      <c r="F82" s="10">
        <v>80</v>
      </c>
      <c r="G82" s="6">
        <v>3.37</v>
      </c>
      <c r="H82" s="14">
        <f t="shared" si="0"/>
        <v>-3.42</v>
      </c>
      <c r="I82" s="23"/>
      <c r="J82" s="7"/>
      <c r="K82" s="7"/>
      <c r="L82" s="24"/>
      <c r="M82" s="11" t="s">
        <v>182</v>
      </c>
    </row>
    <row r="83" spans="1:13">
      <c r="A83" s="81" t="s">
        <v>183</v>
      </c>
      <c r="B83" s="121">
        <v>-4.2795872900000003</v>
      </c>
      <c r="C83" s="71"/>
      <c r="D83" s="12">
        <v>0.16217657762412213</v>
      </c>
      <c r="E83" s="10">
        <v>17</v>
      </c>
      <c r="F83" s="10">
        <v>153</v>
      </c>
      <c r="G83" s="6">
        <v>3.04</v>
      </c>
      <c r="H83" s="14">
        <f t="shared" si="0"/>
        <v>-3.8200000000000003</v>
      </c>
      <c r="I83" s="23"/>
      <c r="J83" s="7"/>
      <c r="K83" s="7"/>
      <c r="L83" s="24"/>
      <c r="M83" s="11" t="s">
        <v>184</v>
      </c>
    </row>
    <row r="84" spans="1:13">
      <c r="A84" s="82" t="s">
        <v>185</v>
      </c>
      <c r="B84" s="121">
        <v>-6.104202763</v>
      </c>
      <c r="C84" s="71"/>
      <c r="D84" s="12">
        <v>0.20448827496623867</v>
      </c>
      <c r="E84" s="10">
        <v>3</v>
      </c>
      <c r="F84" s="10">
        <v>349.84</v>
      </c>
      <c r="G84" s="6">
        <v>4.75</v>
      </c>
      <c r="H84" s="14">
        <f t="shared" si="0"/>
        <v>-7.4984000000000002</v>
      </c>
      <c r="I84" s="23"/>
      <c r="J84" s="7"/>
      <c r="K84" s="7"/>
      <c r="L84" s="24"/>
      <c r="M84" s="11" t="s">
        <v>186</v>
      </c>
    </row>
    <row r="85" spans="1:13">
      <c r="A85" s="82" t="s">
        <v>187</v>
      </c>
      <c r="B85" s="121">
        <v>-3.4519783409999998</v>
      </c>
      <c r="C85" s="71"/>
      <c r="D85" s="12">
        <v>0.14358294446577732</v>
      </c>
      <c r="E85" s="10">
        <v>6</v>
      </c>
      <c r="F85" s="10">
        <v>248</v>
      </c>
      <c r="G85" s="6">
        <v>2.65</v>
      </c>
      <c r="H85" s="14">
        <f t="shared" si="0"/>
        <v>-4.38</v>
      </c>
      <c r="I85" s="23"/>
      <c r="J85" s="7"/>
      <c r="K85" s="7"/>
      <c r="L85" s="24"/>
      <c r="M85" s="11" t="s">
        <v>188</v>
      </c>
    </row>
    <row r="86" spans="1:13">
      <c r="A86" s="82" t="s">
        <v>189</v>
      </c>
      <c r="B86" s="121">
        <v>-3.7145824959999998</v>
      </c>
      <c r="C86" s="71"/>
      <c r="D86" s="12">
        <v>0.15384096988991314</v>
      </c>
      <c r="E86" s="10">
        <v>11</v>
      </c>
      <c r="F86" s="10">
        <v>173</v>
      </c>
      <c r="G86" s="6">
        <v>2.1800000000000002</v>
      </c>
      <c r="H86" s="14">
        <f t="shared" si="0"/>
        <v>-3.16</v>
      </c>
      <c r="I86" s="23"/>
      <c r="J86" s="7"/>
      <c r="K86" s="7"/>
      <c r="L86" s="24"/>
      <c r="M86" s="11" t="s">
        <v>190</v>
      </c>
    </row>
    <row r="87" spans="1:13">
      <c r="A87" s="82" t="s">
        <v>191</v>
      </c>
      <c r="B87" s="121">
        <v>-3.5731610169999999</v>
      </c>
      <c r="C87" s="71"/>
      <c r="D87" s="12">
        <v>0.14176528631434945</v>
      </c>
      <c r="E87" s="10">
        <v>5</v>
      </c>
      <c r="F87" s="10">
        <v>143.75</v>
      </c>
      <c r="G87" s="6">
        <v>2.76</v>
      </c>
      <c r="H87" s="14">
        <f t="shared" ref="H87:H122" si="1">0.5-G87-0.01*(F87-25)</f>
        <v>-3.4474999999999998</v>
      </c>
      <c r="I87" s="23"/>
      <c r="J87" s="7"/>
      <c r="K87" s="7"/>
      <c r="L87" s="24"/>
      <c r="M87" s="11" t="s">
        <v>192</v>
      </c>
    </row>
    <row r="88" spans="1:13">
      <c r="A88" s="82" t="s">
        <v>193</v>
      </c>
      <c r="B88" s="121">
        <v>-3.212853967</v>
      </c>
      <c r="C88" s="71"/>
      <c r="D88" s="12">
        <v>0.16213928191469343</v>
      </c>
      <c r="E88" s="10">
        <v>19</v>
      </c>
      <c r="F88" s="10">
        <v>220.5</v>
      </c>
      <c r="G88" s="6">
        <v>1.27</v>
      </c>
      <c r="H88" s="14">
        <f t="shared" si="1"/>
        <v>-2.7250000000000001</v>
      </c>
      <c r="I88" s="23"/>
      <c r="J88" s="7"/>
      <c r="K88" s="7"/>
      <c r="L88" s="24"/>
      <c r="M88" s="11" t="s">
        <v>194</v>
      </c>
    </row>
    <row r="89" spans="1:13">
      <c r="A89" s="82" t="s">
        <v>195</v>
      </c>
      <c r="B89" s="121">
        <v>-4.3385362010000001</v>
      </c>
      <c r="C89" s="71"/>
      <c r="D89" s="12">
        <v>0.16127920198135692</v>
      </c>
      <c r="E89" s="10">
        <v>5</v>
      </c>
      <c r="F89" s="10">
        <v>214</v>
      </c>
      <c r="G89" s="6">
        <v>3.83</v>
      </c>
      <c r="H89" s="14">
        <f t="shared" si="1"/>
        <v>-5.2200000000000006</v>
      </c>
      <c r="I89" s="23"/>
      <c r="J89" s="7"/>
      <c r="K89" s="7"/>
      <c r="L89" s="24"/>
      <c r="M89" s="11" t="s">
        <v>196</v>
      </c>
    </row>
    <row r="90" spans="1:13">
      <c r="A90" s="83" t="s">
        <v>197</v>
      </c>
      <c r="B90" s="121">
        <v>-4.2059495360000003</v>
      </c>
      <c r="C90" s="71"/>
      <c r="D90" s="12">
        <v>0.13869006117838048</v>
      </c>
      <c r="E90" s="10">
        <v>3</v>
      </c>
      <c r="F90" s="10">
        <v>176</v>
      </c>
      <c r="G90" s="6">
        <v>2.88</v>
      </c>
      <c r="H90" s="14">
        <f t="shared" si="1"/>
        <v>-3.8899999999999997</v>
      </c>
      <c r="I90" s="23"/>
      <c r="J90" s="7"/>
      <c r="K90" s="7"/>
      <c r="L90" s="24"/>
      <c r="M90" s="11" t="s">
        <v>198</v>
      </c>
    </row>
    <row r="91" spans="1:13">
      <c r="A91" s="85" t="s">
        <v>199</v>
      </c>
      <c r="B91" s="122">
        <v>-1.5432531949999999</v>
      </c>
      <c r="C91" s="72"/>
      <c r="D91" s="4">
        <v>0.1259834086188602</v>
      </c>
      <c r="E91" s="2">
        <v>14</v>
      </c>
      <c r="F91" s="10">
        <v>253.5</v>
      </c>
      <c r="G91" s="6">
        <v>1.54</v>
      </c>
      <c r="H91" s="14">
        <f t="shared" si="1"/>
        <v>-3.3250000000000002</v>
      </c>
      <c r="I91" s="23"/>
      <c r="J91" s="7"/>
      <c r="K91" s="7"/>
      <c r="L91" s="24"/>
      <c r="M91" s="11" t="s">
        <v>200</v>
      </c>
    </row>
    <row r="92" spans="1:13">
      <c r="A92" s="82" t="s">
        <v>201</v>
      </c>
      <c r="B92" s="121">
        <v>-4.0930912099999999</v>
      </c>
      <c r="C92" s="71"/>
      <c r="D92" s="12">
        <v>0.16504944177542516</v>
      </c>
      <c r="E92" s="10">
        <v>5</v>
      </c>
      <c r="F92" s="10">
        <v>205.50000000000003</v>
      </c>
      <c r="G92" s="6">
        <v>2.4500000000000002</v>
      </c>
      <c r="H92" s="14">
        <f t="shared" si="1"/>
        <v>-3.7550000000000008</v>
      </c>
      <c r="I92" s="23"/>
      <c r="J92" s="7"/>
      <c r="K92" s="7"/>
      <c r="L92" s="24"/>
      <c r="M92" s="11" t="s">
        <v>202</v>
      </c>
    </row>
    <row r="93" spans="1:13">
      <c r="A93" s="83" t="s">
        <v>203</v>
      </c>
      <c r="B93" s="121">
        <v>-4.5305279650000001</v>
      </c>
      <c r="C93" s="71"/>
      <c r="D93" s="12">
        <v>0.19426266518058349</v>
      </c>
      <c r="E93" s="10">
        <v>3</v>
      </c>
      <c r="F93" s="10">
        <v>96</v>
      </c>
      <c r="G93" s="6">
        <v>3.49</v>
      </c>
      <c r="H93" s="14">
        <f t="shared" si="1"/>
        <v>-3.7</v>
      </c>
      <c r="I93" s="23"/>
      <c r="J93" s="7"/>
      <c r="K93" s="7"/>
      <c r="L93" s="24"/>
      <c r="M93" s="11" t="s">
        <v>204</v>
      </c>
    </row>
    <row r="94" spans="1:13">
      <c r="A94" s="82" t="s">
        <v>205</v>
      </c>
      <c r="B94" s="121">
        <v>-4.4729435750000004</v>
      </c>
      <c r="C94" s="71"/>
      <c r="D94" s="12">
        <v>0.18894337149737056</v>
      </c>
      <c r="E94" s="10">
        <v>12</v>
      </c>
      <c r="F94" s="10">
        <v>147.25</v>
      </c>
      <c r="G94" s="6">
        <v>3.86</v>
      </c>
      <c r="H94" s="14">
        <f t="shared" si="1"/>
        <v>-4.5824999999999996</v>
      </c>
      <c r="I94" s="23"/>
      <c r="J94" s="7"/>
      <c r="K94" s="7"/>
      <c r="L94" s="24"/>
      <c r="M94" s="11" t="s">
        <v>206</v>
      </c>
    </row>
    <row r="95" spans="1:13">
      <c r="A95" s="82" t="s">
        <v>207</v>
      </c>
      <c r="B95" s="121">
        <v>-3.8768713240000001</v>
      </c>
      <c r="C95" s="71"/>
      <c r="D95" s="12">
        <v>0.17391407185160324</v>
      </c>
      <c r="E95" s="10">
        <v>6</v>
      </c>
      <c r="F95" s="10">
        <v>97</v>
      </c>
      <c r="G95" s="6">
        <v>3.94</v>
      </c>
      <c r="H95" s="14">
        <f t="shared" si="1"/>
        <v>-4.16</v>
      </c>
      <c r="I95" s="23"/>
      <c r="J95" s="7"/>
      <c r="K95" s="7"/>
      <c r="L95" s="24"/>
      <c r="M95" s="11" t="s">
        <v>208</v>
      </c>
    </row>
    <row r="96" spans="1:13">
      <c r="A96" s="81" t="s">
        <v>209</v>
      </c>
      <c r="B96" s="121">
        <v>-2.0716968919999998</v>
      </c>
      <c r="C96" s="71"/>
      <c r="D96" s="12">
        <v>0.13764369691033657</v>
      </c>
      <c r="E96" s="10">
        <v>10</v>
      </c>
      <c r="F96" s="10">
        <v>134.5</v>
      </c>
      <c r="G96" s="6">
        <v>2.04</v>
      </c>
      <c r="H96" s="14">
        <f t="shared" si="1"/>
        <v>-2.6349999999999998</v>
      </c>
      <c r="I96" s="23"/>
      <c r="J96" s="7"/>
      <c r="K96" s="7"/>
      <c r="L96" s="24"/>
      <c r="M96" s="11" t="s">
        <v>210</v>
      </c>
    </row>
    <row r="97" spans="1:13">
      <c r="A97" s="82" t="s">
        <v>211</v>
      </c>
      <c r="B97" s="121">
        <v>-4.5251725159999996</v>
      </c>
      <c r="C97" s="71"/>
      <c r="D97" s="12">
        <v>0.16245746888591447</v>
      </c>
      <c r="E97" s="10">
        <v>7</v>
      </c>
      <c r="F97" s="10">
        <v>139</v>
      </c>
      <c r="G97" s="6">
        <v>2.66</v>
      </c>
      <c r="H97" s="14">
        <f t="shared" si="1"/>
        <v>-3.3000000000000003</v>
      </c>
      <c r="I97" s="23"/>
      <c r="J97" s="7"/>
      <c r="K97" s="7"/>
      <c r="L97" s="24"/>
      <c r="M97" s="11" t="s">
        <v>212</v>
      </c>
    </row>
    <row r="98" spans="1:13">
      <c r="A98" s="82" t="s">
        <v>213</v>
      </c>
      <c r="B98" s="121">
        <v>-3.2637986859999999</v>
      </c>
      <c r="C98" s="71"/>
      <c r="D98" s="12">
        <v>0.15322122505052199</v>
      </c>
      <c r="E98" s="10">
        <v>9</v>
      </c>
      <c r="F98" s="10">
        <v>170</v>
      </c>
      <c r="G98" s="6">
        <v>1.91</v>
      </c>
      <c r="H98" s="14">
        <f t="shared" si="1"/>
        <v>-2.86</v>
      </c>
      <c r="I98" s="23"/>
      <c r="J98" s="7"/>
      <c r="K98" s="7"/>
      <c r="L98" s="24"/>
      <c r="M98" s="11" t="s">
        <v>214</v>
      </c>
    </row>
    <row r="99" spans="1:13">
      <c r="A99" s="81" t="s">
        <v>215</v>
      </c>
      <c r="B99" s="121">
        <v>-3.5045232880000001</v>
      </c>
      <c r="C99" s="71"/>
      <c r="D99" s="12">
        <v>0.15273607916541068</v>
      </c>
      <c r="E99" s="10">
        <v>10</v>
      </c>
      <c r="F99" s="10">
        <v>326</v>
      </c>
      <c r="G99" s="6">
        <v>2.44</v>
      </c>
      <c r="H99" s="14">
        <f t="shared" si="1"/>
        <v>-4.95</v>
      </c>
      <c r="I99" s="23"/>
      <c r="J99" s="7"/>
      <c r="K99" s="7"/>
      <c r="L99" s="24"/>
      <c r="M99" s="11" t="s">
        <v>216</v>
      </c>
    </row>
    <row r="100" spans="1:13">
      <c r="A100" s="82" t="s">
        <v>217</v>
      </c>
      <c r="B100" s="121">
        <v>-3.660942989</v>
      </c>
      <c r="C100" s="71"/>
      <c r="D100" s="12">
        <v>0.18404701512102448</v>
      </c>
      <c r="E100" s="10">
        <v>5</v>
      </c>
      <c r="F100" s="10">
        <v>232.50000000000003</v>
      </c>
      <c r="G100" s="6">
        <v>1.8</v>
      </c>
      <c r="H100" s="14">
        <f t="shared" si="1"/>
        <v>-3.375</v>
      </c>
      <c r="I100" s="23"/>
      <c r="J100" s="7"/>
      <c r="K100" s="7"/>
      <c r="L100" s="24"/>
      <c r="M100" s="11" t="s">
        <v>218</v>
      </c>
    </row>
    <row r="101" spans="1:13">
      <c r="A101" s="82" t="s">
        <v>219</v>
      </c>
      <c r="B101" s="121">
        <v>-2.5688782720000001</v>
      </c>
      <c r="C101" s="71"/>
      <c r="D101" s="12">
        <v>0.13604063752604376</v>
      </c>
      <c r="E101" s="10">
        <v>4</v>
      </c>
      <c r="F101" s="10">
        <v>281.5</v>
      </c>
      <c r="G101" s="6">
        <v>0.54</v>
      </c>
      <c r="H101" s="14">
        <f t="shared" si="1"/>
        <v>-2.605</v>
      </c>
      <c r="I101" s="23"/>
      <c r="J101" s="7"/>
      <c r="K101" s="7"/>
      <c r="L101" s="24"/>
      <c r="M101" s="11" t="s">
        <v>220</v>
      </c>
    </row>
    <row r="102" spans="1:13">
      <c r="A102" s="82" t="s">
        <v>221</v>
      </c>
      <c r="B102" s="121">
        <v>-3.9678394639999999</v>
      </c>
      <c r="C102" s="71"/>
      <c r="D102" s="12">
        <v>0.19798964803022484</v>
      </c>
      <c r="E102" s="10">
        <v>4</v>
      </c>
      <c r="F102" s="10">
        <v>197.1</v>
      </c>
      <c r="G102" s="6">
        <v>2.2000000000000002</v>
      </c>
      <c r="H102" s="14">
        <f t="shared" si="1"/>
        <v>-3.4210000000000003</v>
      </c>
      <c r="I102" s="23"/>
      <c r="J102" s="7"/>
      <c r="K102" s="7"/>
      <c r="L102" s="24"/>
      <c r="M102" s="11" t="s">
        <v>222</v>
      </c>
    </row>
    <row r="103" spans="1:13">
      <c r="A103" s="83" t="s">
        <v>223</v>
      </c>
      <c r="B103" s="121">
        <v>-4.5075166209999997</v>
      </c>
      <c r="C103" s="71"/>
      <c r="D103" s="12">
        <v>0.13486720020739137</v>
      </c>
      <c r="E103" s="10">
        <v>4</v>
      </c>
      <c r="F103" s="10">
        <v>33</v>
      </c>
      <c r="G103" s="6">
        <v>4.24</v>
      </c>
      <c r="H103" s="14">
        <f t="shared" si="1"/>
        <v>-3.8200000000000003</v>
      </c>
      <c r="I103" s="23"/>
      <c r="J103" s="7"/>
      <c r="K103" s="7"/>
      <c r="L103" s="24"/>
      <c r="M103" s="11" t="s">
        <v>224</v>
      </c>
    </row>
    <row r="104" spans="1:13">
      <c r="A104" s="82" t="s">
        <v>225</v>
      </c>
      <c r="B104" s="121">
        <v>-4.560924033</v>
      </c>
      <c r="C104" s="71"/>
      <c r="D104" s="12">
        <v>0.18801274760604275</v>
      </c>
      <c r="E104" s="10">
        <v>11</v>
      </c>
      <c r="F104" s="10">
        <v>60</v>
      </c>
      <c r="G104" s="6">
        <v>4.24</v>
      </c>
      <c r="H104" s="14">
        <f t="shared" si="1"/>
        <v>-4.09</v>
      </c>
      <c r="I104" s="23"/>
      <c r="J104" s="7"/>
      <c r="K104" s="7"/>
      <c r="L104" s="24"/>
      <c r="M104" s="11" t="s">
        <v>226</v>
      </c>
    </row>
    <row r="105" spans="1:13">
      <c r="A105" s="82" t="s">
        <v>227</v>
      </c>
      <c r="B105" s="121">
        <v>-5.378293749</v>
      </c>
      <c r="C105" s="71"/>
      <c r="D105" s="12">
        <v>0.1664014074224209</v>
      </c>
      <c r="E105" s="10">
        <v>4</v>
      </c>
      <c r="F105" s="10">
        <v>130.5</v>
      </c>
      <c r="G105" s="6">
        <v>5.22</v>
      </c>
      <c r="H105" s="14">
        <f t="shared" si="1"/>
        <v>-5.7749999999999995</v>
      </c>
      <c r="I105" s="23"/>
      <c r="J105" s="7"/>
      <c r="K105" s="7"/>
      <c r="L105" s="24"/>
      <c r="M105" s="11" t="s">
        <v>228</v>
      </c>
    </row>
    <row r="106" spans="1:13">
      <c r="A106" s="83" t="s">
        <v>103</v>
      </c>
      <c r="B106" s="121">
        <v>-3.9480455559999998</v>
      </c>
      <c r="C106" s="71"/>
      <c r="D106" s="12">
        <v>0.17506472136100007</v>
      </c>
      <c r="E106" s="10">
        <v>7</v>
      </c>
      <c r="F106" s="10">
        <v>254</v>
      </c>
      <c r="G106" s="6">
        <v>2.97</v>
      </c>
      <c r="H106" s="14">
        <f t="shared" si="1"/>
        <v>-4.76</v>
      </c>
      <c r="I106" s="23"/>
      <c r="J106" s="7"/>
      <c r="K106" s="7"/>
      <c r="L106" s="24"/>
      <c r="M106" s="11" t="s">
        <v>229</v>
      </c>
    </row>
    <row r="107" spans="1:13">
      <c r="A107" s="83" t="s">
        <v>230</v>
      </c>
      <c r="B107" s="121">
        <v>-11.23742552</v>
      </c>
      <c r="C107" s="71"/>
      <c r="D107" s="12">
        <v>0.1605416460069265</v>
      </c>
      <c r="E107" s="10">
        <v>5</v>
      </c>
      <c r="F107" s="10">
        <v>121</v>
      </c>
      <c r="G107" s="6">
        <v>5.91</v>
      </c>
      <c r="H107" s="14">
        <f t="shared" si="1"/>
        <v>-6.37</v>
      </c>
      <c r="I107" s="23"/>
      <c r="J107" s="7"/>
      <c r="K107" s="7"/>
      <c r="L107" s="24"/>
      <c r="M107" s="11" t="s">
        <v>231</v>
      </c>
    </row>
    <row r="108" spans="1:13">
      <c r="A108" s="82" t="s">
        <v>232</v>
      </c>
      <c r="B108" s="121">
        <v>-5.7375376119999997</v>
      </c>
      <c r="C108" s="71"/>
      <c r="D108" s="12">
        <v>0.15756984748208766</v>
      </c>
      <c r="E108" s="10">
        <v>5</v>
      </c>
      <c r="F108" s="10">
        <v>206.99999999999997</v>
      </c>
      <c r="G108" s="6">
        <v>2.56</v>
      </c>
      <c r="H108" s="14">
        <f t="shared" si="1"/>
        <v>-3.88</v>
      </c>
      <c r="I108" s="23"/>
      <c r="J108" s="7"/>
      <c r="K108" s="7"/>
      <c r="L108" s="24"/>
      <c r="M108" s="11" t="s">
        <v>233</v>
      </c>
    </row>
    <row r="109" spans="1:13">
      <c r="A109" s="81" t="s">
        <v>234</v>
      </c>
      <c r="B109" s="121">
        <v>-4.3957697260000002</v>
      </c>
      <c r="C109" s="71"/>
      <c r="D109" s="12">
        <v>0.16160362353179636</v>
      </c>
      <c r="E109" s="10">
        <v>6</v>
      </c>
      <c r="F109" s="10">
        <v>134.5</v>
      </c>
      <c r="G109" s="6">
        <v>4.8499999999999996</v>
      </c>
      <c r="H109" s="14">
        <f t="shared" si="1"/>
        <v>-5.4449999999999994</v>
      </c>
      <c r="I109" s="23"/>
      <c r="J109" s="7"/>
      <c r="K109" s="7"/>
      <c r="L109" s="24"/>
      <c r="M109" s="11" t="s">
        <v>235</v>
      </c>
    </row>
    <row r="110" spans="1:13">
      <c r="A110" s="81" t="s">
        <v>236</v>
      </c>
      <c r="B110" s="121">
        <v>-3.4178337289999998</v>
      </c>
      <c r="C110" s="71"/>
      <c r="D110" s="12">
        <v>0.18685765827673947</v>
      </c>
      <c r="E110" s="10">
        <v>6</v>
      </c>
      <c r="F110" s="10">
        <v>275</v>
      </c>
      <c r="G110" s="6">
        <v>2.09</v>
      </c>
      <c r="H110" s="14">
        <f t="shared" si="1"/>
        <v>-4.09</v>
      </c>
      <c r="I110" s="23"/>
      <c r="J110" s="7"/>
      <c r="K110" s="7"/>
      <c r="L110" s="24"/>
      <c r="M110" s="11" t="s">
        <v>237</v>
      </c>
    </row>
    <row r="111" spans="1:13">
      <c r="A111" s="82" t="s">
        <v>238</v>
      </c>
      <c r="B111" s="121">
        <v>-5.8938772019999996</v>
      </c>
      <c r="C111" s="71"/>
      <c r="D111" s="12">
        <v>0.13950112944748669</v>
      </c>
      <c r="E111" s="10">
        <v>9</v>
      </c>
      <c r="F111" s="10">
        <v>220.00000000000003</v>
      </c>
      <c r="G111" s="6">
        <v>1.8</v>
      </c>
      <c r="H111" s="14">
        <f t="shared" si="1"/>
        <v>-3.2500000000000004</v>
      </c>
      <c r="I111" s="23"/>
      <c r="J111" s="7"/>
      <c r="K111" s="7"/>
      <c r="L111" s="24"/>
      <c r="M111" s="11" t="s">
        <v>239</v>
      </c>
    </row>
    <row r="112" spans="1:13">
      <c r="A112" s="85" t="s">
        <v>240</v>
      </c>
      <c r="B112" s="122">
        <v>-2.8401685809999999</v>
      </c>
      <c r="C112" s="72"/>
      <c r="D112" s="4">
        <v>0.22014005046870977</v>
      </c>
      <c r="E112" s="2">
        <v>9</v>
      </c>
      <c r="F112" s="10">
        <v>202</v>
      </c>
      <c r="G112" s="6">
        <v>1.53</v>
      </c>
      <c r="H112" s="14">
        <f t="shared" si="1"/>
        <v>-2.8</v>
      </c>
      <c r="I112" s="23"/>
      <c r="J112" s="7"/>
      <c r="K112" s="7"/>
      <c r="L112" s="24"/>
      <c r="M112" s="11" t="s">
        <v>241</v>
      </c>
    </row>
    <row r="113" spans="1:28">
      <c r="A113" s="82" t="s">
        <v>242</v>
      </c>
      <c r="B113" s="121">
        <v>-2.8664074319999999</v>
      </c>
      <c r="C113" s="71"/>
      <c r="D113" s="12">
        <v>0.14014083879485537</v>
      </c>
      <c r="E113" s="10">
        <v>3</v>
      </c>
      <c r="F113" s="10">
        <v>243.00000000000003</v>
      </c>
      <c r="G113" s="6">
        <v>1.48</v>
      </c>
      <c r="H113" s="14">
        <f t="shared" si="1"/>
        <v>-3.16</v>
      </c>
      <c r="I113" s="23"/>
      <c r="J113" s="7"/>
      <c r="K113" s="7"/>
      <c r="L113" s="24"/>
      <c r="M113" s="11" t="s">
        <v>243</v>
      </c>
    </row>
    <row r="114" spans="1:28">
      <c r="A114" s="83" t="s">
        <v>244</v>
      </c>
      <c r="B114" s="121">
        <v>-2.7232808830000002</v>
      </c>
      <c r="C114" s="71"/>
      <c r="D114" s="12">
        <v>0.13726989684757951</v>
      </c>
      <c r="E114" s="10">
        <v>3</v>
      </c>
      <c r="F114" s="10">
        <v>191</v>
      </c>
      <c r="G114" s="6">
        <v>1.67</v>
      </c>
      <c r="H114" s="14">
        <f t="shared" si="1"/>
        <v>-2.83</v>
      </c>
      <c r="I114" s="23"/>
      <c r="J114" s="7"/>
      <c r="K114" s="7"/>
      <c r="L114" s="24"/>
      <c r="M114" s="11" t="s">
        <v>245</v>
      </c>
    </row>
    <row r="115" spans="1:28">
      <c r="A115" s="82" t="s">
        <v>246</v>
      </c>
      <c r="B115" s="121">
        <v>-5.2010005230000003</v>
      </c>
      <c r="C115" s="71"/>
      <c r="D115" s="12">
        <v>0.21357402153711522</v>
      </c>
      <c r="E115" s="10">
        <v>7</v>
      </c>
      <c r="F115" s="10">
        <v>183.5</v>
      </c>
      <c r="G115" s="6">
        <v>4.37</v>
      </c>
      <c r="H115" s="14">
        <f t="shared" si="1"/>
        <v>-5.4550000000000001</v>
      </c>
      <c r="I115" s="23"/>
      <c r="J115" s="7"/>
      <c r="K115" s="7"/>
      <c r="L115" s="24"/>
      <c r="M115" s="11" t="s">
        <v>247</v>
      </c>
    </row>
    <row r="116" spans="1:28">
      <c r="A116" s="82" t="s">
        <v>248</v>
      </c>
      <c r="B116" s="121">
        <v>-3.2802664830000001</v>
      </c>
      <c r="C116" s="71"/>
      <c r="D116" s="12">
        <v>0.10564411177747912</v>
      </c>
      <c r="E116" s="10">
        <v>3</v>
      </c>
      <c r="F116" s="10">
        <v>149</v>
      </c>
      <c r="G116" s="6">
        <v>2.62</v>
      </c>
      <c r="H116" s="14">
        <f t="shared" si="1"/>
        <v>-3.3600000000000003</v>
      </c>
      <c r="I116" s="23"/>
      <c r="J116" s="7"/>
      <c r="K116" s="7"/>
      <c r="L116" s="24"/>
      <c r="M116" s="11" t="s">
        <v>249</v>
      </c>
    </row>
    <row r="117" spans="1:28">
      <c r="A117" s="81" t="s">
        <v>250</v>
      </c>
      <c r="B117" s="121">
        <v>-3.1686802300000001</v>
      </c>
      <c r="C117" s="71"/>
      <c r="D117" s="12">
        <v>0.14623917640453388</v>
      </c>
      <c r="E117" s="10">
        <v>8</v>
      </c>
      <c r="F117" s="10">
        <v>165</v>
      </c>
      <c r="G117" s="6">
        <v>-0.37</v>
      </c>
      <c r="H117" s="14">
        <f t="shared" si="1"/>
        <v>-0.53000000000000014</v>
      </c>
      <c r="I117" s="23"/>
      <c r="J117" s="7"/>
      <c r="K117" s="7"/>
      <c r="L117" s="24"/>
      <c r="M117" s="11" t="s">
        <v>251</v>
      </c>
    </row>
    <row r="118" spans="1:28">
      <c r="A118" s="82" t="s">
        <v>252</v>
      </c>
      <c r="B118" s="121">
        <v>-2.9233952109999999</v>
      </c>
      <c r="C118" s="71"/>
      <c r="D118" s="12">
        <v>0.16291639539032501</v>
      </c>
      <c r="E118" s="10">
        <v>10</v>
      </c>
      <c r="F118" s="10">
        <v>225</v>
      </c>
      <c r="G118" s="6">
        <v>0.81</v>
      </c>
      <c r="H118" s="14">
        <f t="shared" si="1"/>
        <v>-2.31</v>
      </c>
      <c r="I118" s="23"/>
      <c r="J118" s="7"/>
      <c r="K118" s="7"/>
      <c r="L118" s="24"/>
      <c r="M118" s="11" t="s">
        <v>253</v>
      </c>
    </row>
    <row r="119" spans="1:28">
      <c r="A119" s="82" t="s">
        <v>254</v>
      </c>
      <c r="B119" s="121">
        <v>-3.8060458060000002</v>
      </c>
      <c r="C119" s="71"/>
      <c r="D119" s="12">
        <v>0.21166647357477791</v>
      </c>
      <c r="E119" s="10">
        <v>5</v>
      </c>
      <c r="F119" s="10">
        <v>270</v>
      </c>
      <c r="G119" s="6">
        <v>0.62</v>
      </c>
      <c r="H119" s="14">
        <f t="shared" si="1"/>
        <v>-2.5700000000000003</v>
      </c>
      <c r="I119" s="23"/>
      <c r="J119" s="7"/>
      <c r="K119" s="7"/>
      <c r="L119" s="24"/>
      <c r="M119" s="11" t="s">
        <v>255</v>
      </c>
    </row>
    <row r="120" spans="1:28">
      <c r="A120" s="81" t="s">
        <v>256</v>
      </c>
      <c r="B120" s="121">
        <v>-4.4158627800000003</v>
      </c>
      <c r="C120" s="71"/>
      <c r="D120" s="12">
        <v>0.14175650298978676</v>
      </c>
      <c r="E120" s="10">
        <v>9</v>
      </c>
      <c r="F120" s="10">
        <v>312.66666666666669</v>
      </c>
      <c r="G120" s="6">
        <v>0.83</v>
      </c>
      <c r="H120" s="14">
        <f t="shared" si="1"/>
        <v>-3.206666666666667</v>
      </c>
      <c r="I120" s="23"/>
      <c r="J120" s="7"/>
      <c r="K120" s="7"/>
      <c r="L120" s="24"/>
      <c r="M120" s="11" t="s">
        <v>257</v>
      </c>
    </row>
    <row r="121" spans="1:28">
      <c r="A121" s="82" t="s">
        <v>258</v>
      </c>
      <c r="B121" s="121">
        <v>-4.6231855619999997</v>
      </c>
      <c r="C121" s="71"/>
      <c r="D121" s="12">
        <v>0.2034688635346244</v>
      </c>
      <c r="E121" s="10">
        <v>11</v>
      </c>
      <c r="F121" s="10">
        <v>161</v>
      </c>
      <c r="G121" s="6">
        <v>3.61</v>
      </c>
      <c r="H121" s="14">
        <f t="shared" si="1"/>
        <v>-4.47</v>
      </c>
      <c r="I121" s="23"/>
      <c r="J121" s="7"/>
      <c r="K121" s="7"/>
      <c r="L121" s="24"/>
      <c r="M121" s="11" t="s">
        <v>259</v>
      </c>
    </row>
    <row r="122" spans="1:28">
      <c r="A122" s="81" t="s">
        <v>109</v>
      </c>
      <c r="B122" s="121">
        <v>-2.5694212489999999</v>
      </c>
      <c r="C122" s="71"/>
      <c r="D122" s="12">
        <v>0.20579636821699754</v>
      </c>
      <c r="E122" s="10">
        <v>3</v>
      </c>
      <c r="F122" s="10">
        <v>300</v>
      </c>
      <c r="G122" s="6">
        <v>-1.06</v>
      </c>
      <c r="H122" s="14">
        <f t="shared" si="1"/>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s="120">
        <v>-2.8001846549999998</v>
      </c>
      <c r="C129" s="73" t="s">
        <v>30</v>
      </c>
      <c r="D129" s="12">
        <v>0.50033555401430185</v>
      </c>
      <c r="E129" s="10">
        <v>3</v>
      </c>
      <c r="F129" s="10">
        <v>180</v>
      </c>
      <c r="G129" s="1">
        <v>1.91</v>
      </c>
      <c r="H129" s="14">
        <f t="shared" ref="H129:H160" si="2">0.5-G129-0.01*(F129-25)</f>
        <v>-2.96</v>
      </c>
      <c r="I129" s="53" t="s">
        <v>31</v>
      </c>
      <c r="J129" s="54"/>
      <c r="K129" s="14"/>
      <c r="L129" s="14"/>
      <c r="M129" s="3" t="s">
        <v>269</v>
      </c>
    </row>
    <row r="130" spans="1:13">
      <c r="A130" s="82" t="s">
        <v>270</v>
      </c>
      <c r="B130" s="29">
        <v>-11.07578408</v>
      </c>
      <c r="C130" s="73" t="s">
        <v>36</v>
      </c>
      <c r="D130" s="12">
        <v>0.5</v>
      </c>
      <c r="E130" s="6">
        <v>5</v>
      </c>
      <c r="F130" s="10">
        <v>156</v>
      </c>
      <c r="G130" s="1">
        <v>6.94</v>
      </c>
      <c r="H130" s="14">
        <f t="shared" si="2"/>
        <v>-7.75</v>
      </c>
      <c r="I130" s="53" t="s">
        <v>37</v>
      </c>
      <c r="J130" s="54"/>
      <c r="K130" s="14"/>
      <c r="L130" s="14"/>
      <c r="M130" s="3" t="s">
        <v>271</v>
      </c>
    </row>
    <row r="131" spans="1:13">
      <c r="A131" s="83" t="s">
        <v>272</v>
      </c>
      <c r="B131" s="121">
        <v>-4.8426367670000001</v>
      </c>
      <c r="C131" s="73" t="s">
        <v>41</v>
      </c>
      <c r="D131" s="12">
        <v>0.6530957900260097</v>
      </c>
      <c r="E131" s="10">
        <v>3</v>
      </c>
      <c r="F131" s="10">
        <v>208</v>
      </c>
      <c r="G131" s="1">
        <v>5.18</v>
      </c>
      <c r="H131" s="14">
        <f t="shared" si="2"/>
        <v>-6.51</v>
      </c>
      <c r="I131" s="53" t="s">
        <v>42</v>
      </c>
      <c r="J131" s="54"/>
      <c r="K131" s="14"/>
      <c r="L131" s="14"/>
      <c r="M131" s="3" t="s">
        <v>273</v>
      </c>
    </row>
    <row r="132" spans="1:13">
      <c r="A132" s="82" t="s">
        <v>274</v>
      </c>
      <c r="B132" s="121">
        <v>-2.2904905520000001</v>
      </c>
      <c r="C132" s="73" t="s">
        <v>46</v>
      </c>
      <c r="D132" s="12">
        <v>0.59285217963150294</v>
      </c>
      <c r="E132" s="10">
        <v>3</v>
      </c>
      <c r="F132" s="10">
        <v>100</v>
      </c>
      <c r="G132" s="1">
        <v>2.37</v>
      </c>
      <c r="H132" s="14">
        <f t="shared" si="2"/>
        <v>-2.62</v>
      </c>
      <c r="I132" s="15" t="s">
        <v>47</v>
      </c>
      <c r="J132" s="29" t="s">
        <v>391</v>
      </c>
      <c r="K132" s="14"/>
      <c r="L132" s="14"/>
      <c r="M132" s="3" t="s">
        <v>275</v>
      </c>
    </row>
    <row r="133" spans="1:13">
      <c r="A133" s="82" t="s">
        <v>276</v>
      </c>
      <c r="B133" s="121">
        <v>-7.4470756749999998</v>
      </c>
      <c r="C133" s="73" t="s">
        <v>51</v>
      </c>
      <c r="D133" s="12">
        <v>0.51067901383936642</v>
      </c>
      <c r="E133" s="10">
        <v>5</v>
      </c>
      <c r="F133" s="10">
        <v>217</v>
      </c>
      <c r="G133" s="1">
        <v>3.19</v>
      </c>
      <c r="H133" s="14">
        <f t="shared" si="2"/>
        <v>-4.6099999999999994</v>
      </c>
      <c r="I133" s="15" t="s">
        <v>52</v>
      </c>
      <c r="J133" s="29"/>
      <c r="K133" s="14"/>
      <c r="L133" s="14"/>
      <c r="M133" s="3" t="s">
        <v>277</v>
      </c>
    </row>
    <row r="134" spans="1:13">
      <c r="A134" s="82" t="s">
        <v>278</v>
      </c>
      <c r="B134" s="121">
        <v>-4.2463929599999997</v>
      </c>
      <c r="C134" s="71"/>
      <c r="D134" s="12">
        <v>0.83065522865171437</v>
      </c>
      <c r="E134" s="10">
        <v>3</v>
      </c>
      <c r="F134" s="10">
        <v>209.50000000000003</v>
      </c>
      <c r="G134" s="1">
        <v>4.41</v>
      </c>
      <c r="H134" s="14">
        <f t="shared" si="2"/>
        <v>-5.7550000000000008</v>
      </c>
      <c r="I134" s="15" t="s">
        <v>56</v>
      </c>
      <c r="J134" s="29"/>
      <c r="K134" s="14"/>
      <c r="L134" s="14"/>
      <c r="M134" s="3" t="s">
        <v>279</v>
      </c>
    </row>
    <row r="135" spans="1:13">
      <c r="A135" s="82" t="s">
        <v>280</v>
      </c>
      <c r="B135" s="121">
        <v>-5.7992419670000004</v>
      </c>
      <c r="C135" s="71"/>
      <c r="D135" s="12">
        <v>0.51097181417141646</v>
      </c>
      <c r="E135" s="10">
        <v>6</v>
      </c>
      <c r="F135" s="10">
        <v>97.5</v>
      </c>
      <c r="G135" s="1">
        <v>5.19</v>
      </c>
      <c r="H135" s="14">
        <f t="shared" si="2"/>
        <v>-5.415</v>
      </c>
      <c r="I135" s="15" t="s">
        <v>60</v>
      </c>
      <c r="J135" s="31"/>
      <c r="K135" s="14"/>
      <c r="L135" s="14"/>
      <c r="M135" s="3" t="s">
        <v>281</v>
      </c>
    </row>
    <row r="136" spans="1:13">
      <c r="A136" s="81" t="s">
        <v>282</v>
      </c>
      <c r="B136" s="121">
        <v>-9.6574975439999999</v>
      </c>
      <c r="C136" s="71"/>
      <c r="D136" s="12">
        <v>0.92735432696895004</v>
      </c>
      <c r="E136" s="10">
        <v>5</v>
      </c>
      <c r="F136" s="10">
        <v>211</v>
      </c>
      <c r="G136" s="1">
        <v>7.49</v>
      </c>
      <c r="H136" s="14">
        <f t="shared" si="2"/>
        <v>-8.85</v>
      </c>
      <c r="I136" s="30" t="s">
        <v>64</v>
      </c>
      <c r="J136" s="123"/>
      <c r="K136" s="33"/>
      <c r="L136" s="34"/>
      <c r="M136" s="3" t="s">
        <v>283</v>
      </c>
    </row>
    <row r="137" spans="1:13">
      <c r="A137" s="82" t="s">
        <v>112</v>
      </c>
      <c r="B137" s="121">
        <v>-5.0641362550000002</v>
      </c>
      <c r="C137" s="71"/>
      <c r="D137" s="12">
        <v>0.68239272333923895</v>
      </c>
      <c r="E137" s="10">
        <v>3</v>
      </c>
      <c r="F137" s="10">
        <v>177</v>
      </c>
      <c r="G137" s="1">
        <v>3.37</v>
      </c>
      <c r="H137" s="14">
        <f t="shared" si="2"/>
        <v>-4.3900000000000006</v>
      </c>
      <c r="J137" s="14"/>
      <c r="K137" s="14"/>
      <c r="L137" s="14"/>
      <c r="M137" s="3" t="s">
        <v>284</v>
      </c>
    </row>
    <row r="138" spans="1:13">
      <c r="A138" s="82" t="s">
        <v>285</v>
      </c>
      <c r="B138" s="121">
        <v>-6.3190640849999999</v>
      </c>
      <c r="C138" s="71"/>
      <c r="D138" s="12">
        <v>0.520951861602862</v>
      </c>
      <c r="E138" s="10">
        <v>10</v>
      </c>
      <c r="F138" s="10">
        <v>228.6</v>
      </c>
      <c r="G138" s="1">
        <v>4.22</v>
      </c>
      <c r="H138" s="14">
        <f t="shared" si="2"/>
        <v>-5.7560000000000002</v>
      </c>
      <c r="I138" s="16" t="s">
        <v>286</v>
      </c>
      <c r="J138" s="17"/>
      <c r="K138" s="17"/>
      <c r="L138" s="18"/>
      <c r="M138" s="3" t="s">
        <v>287</v>
      </c>
    </row>
    <row r="139" spans="1:13">
      <c r="A139" s="81" t="s">
        <v>288</v>
      </c>
      <c r="B139" s="121">
        <v>-1.9130207859999999</v>
      </c>
      <c r="C139" s="71"/>
      <c r="D139" s="12">
        <v>0.53906642829149898</v>
      </c>
      <c r="E139" s="10">
        <v>3</v>
      </c>
      <c r="F139" s="10">
        <v>161.5</v>
      </c>
      <c r="G139" s="1">
        <v>-0.21</v>
      </c>
      <c r="H139" s="14">
        <f t="shared" si="2"/>
        <v>-0.65500000000000003</v>
      </c>
      <c r="I139" s="124" t="s">
        <v>393</v>
      </c>
      <c r="J139" s="21"/>
      <c r="K139" s="21"/>
      <c r="L139" s="22"/>
      <c r="M139" s="3" t="s">
        <v>289</v>
      </c>
    </row>
    <row r="140" spans="1:13">
      <c r="A140" s="81" t="s">
        <v>290</v>
      </c>
      <c r="B140" s="121">
        <v>-4.7908940790000001</v>
      </c>
      <c r="C140" s="71"/>
      <c r="D140" s="12">
        <v>0.56233984781338708</v>
      </c>
      <c r="E140" s="10">
        <v>11</v>
      </c>
      <c r="F140" s="10">
        <v>213.49999999999997</v>
      </c>
      <c r="G140" s="1">
        <v>3.04</v>
      </c>
      <c r="H140" s="14">
        <f t="shared" si="2"/>
        <v>-4.4249999999999998</v>
      </c>
      <c r="I140" s="23"/>
      <c r="J140" s="7"/>
      <c r="K140" s="7"/>
      <c r="L140" s="24"/>
      <c r="M140" s="3" t="s">
        <v>291</v>
      </c>
    </row>
    <row r="141" spans="1:13">
      <c r="A141" s="83" t="s">
        <v>292</v>
      </c>
      <c r="B141" s="121">
        <v>-3.3297493880000002</v>
      </c>
      <c r="C141" s="71"/>
      <c r="D141" s="12">
        <v>0.54710381306524825</v>
      </c>
      <c r="E141" s="10">
        <v>4</v>
      </c>
      <c r="F141" s="10">
        <v>168.5</v>
      </c>
      <c r="G141" s="1">
        <v>3.35</v>
      </c>
      <c r="H141" s="14">
        <f t="shared" si="2"/>
        <v>-4.2850000000000001</v>
      </c>
      <c r="I141" s="23"/>
      <c r="J141" s="7"/>
      <c r="K141" s="7"/>
      <c r="L141" s="24"/>
      <c r="M141" s="3" t="s">
        <v>293</v>
      </c>
    </row>
    <row r="142" spans="1:13">
      <c r="A142" s="81" t="s">
        <v>114</v>
      </c>
      <c r="B142" s="121">
        <v>-2.8233788120000001</v>
      </c>
      <c r="C142" s="71"/>
      <c r="D142" s="12">
        <v>0.54612637818466869</v>
      </c>
      <c r="E142" s="10">
        <v>3</v>
      </c>
      <c r="F142" s="13">
        <v>124.1</v>
      </c>
      <c r="G142" s="1">
        <v>2.81</v>
      </c>
      <c r="H142" s="14">
        <f t="shared" si="2"/>
        <v>-3.3010000000000002</v>
      </c>
      <c r="I142" s="25"/>
      <c r="J142" s="7"/>
      <c r="K142" s="7"/>
      <c r="L142" s="24"/>
      <c r="M142" s="3" t="s">
        <v>294</v>
      </c>
    </row>
    <row r="143" spans="1:13">
      <c r="A143" s="81" t="s">
        <v>295</v>
      </c>
      <c r="B143" s="121">
        <v>-6.2121363450000002</v>
      </c>
      <c r="C143" s="71"/>
      <c r="D143" s="12">
        <v>0.51160213896594608</v>
      </c>
      <c r="E143" s="10">
        <v>4</v>
      </c>
      <c r="F143" s="10">
        <v>165</v>
      </c>
      <c r="G143" s="1">
        <v>4.8899999999999997</v>
      </c>
      <c r="H143" s="14">
        <f t="shared" si="2"/>
        <v>-5.79</v>
      </c>
      <c r="I143" s="25"/>
      <c r="J143" s="7"/>
      <c r="K143" s="7"/>
      <c r="L143" s="24"/>
      <c r="M143" s="3" t="s">
        <v>296</v>
      </c>
    </row>
    <row r="144" spans="1:13">
      <c r="A144" s="81" t="s">
        <v>117</v>
      </c>
      <c r="B144" s="121">
        <v>-6.0743888850000003</v>
      </c>
      <c r="C144" s="71"/>
      <c r="D144" s="12">
        <v>0.65141515533308314</v>
      </c>
      <c r="E144" s="10">
        <v>4</v>
      </c>
      <c r="F144" s="10">
        <v>161.1</v>
      </c>
      <c r="G144" s="1">
        <v>4.76</v>
      </c>
      <c r="H144" s="14">
        <f t="shared" si="2"/>
        <v>-5.6209999999999996</v>
      </c>
      <c r="I144" s="25"/>
      <c r="J144" s="7"/>
      <c r="K144" s="7"/>
      <c r="L144" s="24"/>
      <c r="M144" s="3" t="s">
        <v>297</v>
      </c>
    </row>
    <row r="145" spans="1:28">
      <c r="A145" s="83" t="s">
        <v>298</v>
      </c>
      <c r="B145" s="121">
        <v>-3.5901255989999998</v>
      </c>
      <c r="C145" s="71"/>
      <c r="D145" s="12">
        <v>0.65883215509381909</v>
      </c>
      <c r="E145" s="10">
        <v>3</v>
      </c>
      <c r="F145" s="10">
        <v>155</v>
      </c>
      <c r="G145" s="1">
        <v>3.74</v>
      </c>
      <c r="H145" s="14">
        <f t="shared" si="2"/>
        <v>-4.54</v>
      </c>
      <c r="I145" s="25"/>
      <c r="J145" s="7"/>
      <c r="K145" s="7"/>
      <c r="L145" s="24"/>
      <c r="M145" s="3" t="s">
        <v>299</v>
      </c>
    </row>
    <row r="146" spans="1:28">
      <c r="A146" s="82" t="s">
        <v>300</v>
      </c>
      <c r="B146" s="121">
        <v>-10.744458330000001</v>
      </c>
      <c r="C146" s="71"/>
      <c r="D146" s="12">
        <v>0.61400477095750339</v>
      </c>
      <c r="E146" s="10">
        <v>3</v>
      </c>
      <c r="F146" s="10">
        <v>165.4</v>
      </c>
      <c r="G146" s="1">
        <v>5.58</v>
      </c>
      <c r="H146" s="14">
        <f t="shared" si="2"/>
        <v>-6.484</v>
      </c>
      <c r="I146" s="25"/>
      <c r="J146" s="7"/>
      <c r="K146" s="7"/>
      <c r="L146" s="24"/>
      <c r="M146" s="3" t="s">
        <v>301</v>
      </c>
    </row>
    <row r="147" spans="1:28">
      <c r="A147" s="82" t="s">
        <v>302</v>
      </c>
      <c r="B147" s="121">
        <v>-6.2543074479999996</v>
      </c>
      <c r="C147" s="71"/>
      <c r="D147" s="12">
        <v>0.50406532001413251</v>
      </c>
      <c r="E147" s="10">
        <v>6</v>
      </c>
      <c r="F147" s="10">
        <v>161</v>
      </c>
      <c r="G147" s="1">
        <v>6.45</v>
      </c>
      <c r="H147" s="14">
        <f t="shared" si="2"/>
        <v>-7.3100000000000005</v>
      </c>
      <c r="I147" s="26"/>
      <c r="J147" s="27"/>
      <c r="K147" s="27"/>
      <c r="L147" s="28"/>
      <c r="M147" s="3" t="s">
        <v>303</v>
      </c>
    </row>
    <row r="148" spans="1:28">
      <c r="A148" s="82" t="s">
        <v>304</v>
      </c>
      <c r="B148" s="121">
        <v>-7.9098860369999997</v>
      </c>
      <c r="C148" s="71"/>
      <c r="D148" s="12">
        <v>0.75493366325441691</v>
      </c>
      <c r="E148" s="10">
        <v>4</v>
      </c>
      <c r="F148" s="10">
        <v>193.5</v>
      </c>
      <c r="G148" s="1">
        <v>5.41</v>
      </c>
      <c r="H148" s="14">
        <f t="shared" si="2"/>
        <v>-6.5950000000000006</v>
      </c>
      <c r="J148" s="14"/>
      <c r="K148" s="14"/>
      <c r="L148" s="14"/>
      <c r="M148" s="3" t="s">
        <v>305</v>
      </c>
    </row>
    <row r="149" spans="1:28">
      <c r="A149" s="82" t="s">
        <v>306</v>
      </c>
      <c r="B149" s="121">
        <v>-4.4584092660000003</v>
      </c>
      <c r="C149" s="71"/>
      <c r="D149" s="12">
        <v>0.50089358058597189</v>
      </c>
      <c r="E149" s="10">
        <v>3</v>
      </c>
      <c r="F149" s="10">
        <v>156</v>
      </c>
      <c r="G149" s="1">
        <v>2.9</v>
      </c>
      <c r="H149" s="14">
        <f t="shared" si="2"/>
        <v>-3.71</v>
      </c>
      <c r="I149" s="70" t="s">
        <v>133</v>
      </c>
      <c r="J149" s="32">
        <v>93</v>
      </c>
      <c r="K149" s="34"/>
      <c r="L149" s="14"/>
      <c r="M149" s="3" t="s">
        <v>307</v>
      </c>
    </row>
    <row r="150" spans="1:28">
      <c r="A150" s="83" t="s">
        <v>308</v>
      </c>
      <c r="B150" s="121">
        <v>-5.6442611229999997</v>
      </c>
      <c r="C150" s="71"/>
      <c r="D150" s="12">
        <v>0.6587984329866341</v>
      </c>
      <c r="E150" s="10">
        <v>4</v>
      </c>
      <c r="F150" s="10">
        <v>183.5</v>
      </c>
      <c r="G150" s="1">
        <v>3.16</v>
      </c>
      <c r="H150" s="14">
        <f t="shared" si="2"/>
        <v>-4.2450000000000001</v>
      </c>
      <c r="I150" s="70" t="s">
        <v>136</v>
      </c>
      <c r="J150" s="32">
        <v>31</v>
      </c>
      <c r="K150" s="34"/>
      <c r="L150" s="14"/>
      <c r="M150" s="3" t="s">
        <v>309</v>
      </c>
    </row>
    <row r="151" spans="1:28">
      <c r="A151" s="83" t="s">
        <v>310</v>
      </c>
      <c r="B151" s="121">
        <v>-2.1204172909999999</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s="121">
        <v>-4.3135216789999999</v>
      </c>
      <c r="C152" s="71"/>
      <c r="D152" s="12">
        <v>0.57115657899345518</v>
      </c>
      <c r="E152" s="10">
        <v>7</v>
      </c>
      <c r="F152" s="10">
        <v>177</v>
      </c>
      <c r="G152" s="1">
        <v>3.17</v>
      </c>
      <c r="H152" s="14">
        <f t="shared" si="2"/>
        <v>-4.1899999999999995</v>
      </c>
      <c r="I152" s="14"/>
      <c r="J152" s="14"/>
      <c r="K152" s="14"/>
      <c r="L152" s="14"/>
      <c r="M152" s="3" t="s">
        <v>313</v>
      </c>
    </row>
    <row r="153" spans="1:28">
      <c r="A153" s="81" t="s">
        <v>314</v>
      </c>
      <c r="B153" s="121">
        <v>-6.2949459159999996</v>
      </c>
      <c r="C153" s="71"/>
      <c r="D153" s="12">
        <v>0.55807775121880254</v>
      </c>
      <c r="E153" s="10">
        <v>6</v>
      </c>
      <c r="F153" s="10">
        <v>145</v>
      </c>
      <c r="G153" s="1">
        <v>6.08</v>
      </c>
      <c r="H153" s="14">
        <f t="shared" si="2"/>
        <v>-6.78</v>
      </c>
      <c r="I153" s="19" t="s">
        <v>144</v>
      </c>
      <c r="J153" s="17"/>
      <c r="K153" s="17"/>
      <c r="L153" s="18"/>
      <c r="M153" s="3" t="s">
        <v>315</v>
      </c>
    </row>
    <row r="154" spans="1:28">
      <c r="A154" s="81" t="s">
        <v>316</v>
      </c>
      <c r="B154" s="121">
        <v>-8.2591137640000003</v>
      </c>
      <c r="C154" s="71"/>
      <c r="D154" s="12">
        <v>0.66417698790166113</v>
      </c>
      <c r="E154" s="10">
        <v>3</v>
      </c>
      <c r="F154" s="13">
        <v>175.8</v>
      </c>
      <c r="G154" s="1">
        <v>4.62</v>
      </c>
      <c r="H154" s="14">
        <f t="shared" si="2"/>
        <v>-5.6280000000000001</v>
      </c>
      <c r="I154" s="20" t="s">
        <v>409</v>
      </c>
      <c r="J154" s="21"/>
      <c r="K154" s="21"/>
      <c r="L154" s="22"/>
      <c r="M154" s="3" t="s">
        <v>317</v>
      </c>
    </row>
    <row r="155" spans="1:28" ht="252">
      <c r="A155" s="82" t="s">
        <v>318</v>
      </c>
      <c r="B155" s="121">
        <v>-6.7168874609999998</v>
      </c>
      <c r="C155" s="71"/>
      <c r="D155" s="12">
        <v>0.57716593661781801</v>
      </c>
      <c r="E155" s="10">
        <v>3</v>
      </c>
      <c r="F155" s="10">
        <v>349.84</v>
      </c>
      <c r="G155" s="1">
        <v>3.09</v>
      </c>
      <c r="H155" s="14">
        <f t="shared" si="2"/>
        <v>-5.8384</v>
      </c>
      <c r="I155" s="126" t="s">
        <v>410</v>
      </c>
      <c r="J155" s="7"/>
      <c r="K155" s="7"/>
      <c r="L155" s="24"/>
      <c r="M155" s="3" t="s">
        <v>319</v>
      </c>
    </row>
    <row r="156" spans="1:28">
      <c r="A156" s="83" t="s">
        <v>320</v>
      </c>
      <c r="B156" s="121">
        <v>-3.1833837210000002</v>
      </c>
      <c r="C156" s="71"/>
      <c r="D156" s="12">
        <v>0.70324590282883903</v>
      </c>
      <c r="E156" s="10">
        <v>3</v>
      </c>
      <c r="F156" s="10">
        <v>204</v>
      </c>
      <c r="G156" s="1">
        <v>0.88</v>
      </c>
      <c r="H156" s="14">
        <f t="shared" si="2"/>
        <v>-2.17</v>
      </c>
      <c r="I156" s="23" t="s">
        <v>397</v>
      </c>
      <c r="J156" s="7"/>
      <c r="K156" s="7"/>
      <c r="L156" s="24"/>
      <c r="M156" s="3" t="s">
        <v>321</v>
      </c>
    </row>
    <row r="157" spans="1:28">
      <c r="A157" s="82" t="s">
        <v>322</v>
      </c>
      <c r="B157" s="121">
        <v>-6.6624506229999998</v>
      </c>
      <c r="C157" s="71"/>
      <c r="D157" s="12">
        <v>0.7237903588794764</v>
      </c>
      <c r="E157" s="10">
        <v>7</v>
      </c>
      <c r="F157" s="10">
        <v>97.8</v>
      </c>
      <c r="G157" s="1">
        <v>6</v>
      </c>
      <c r="H157" s="14">
        <f t="shared" si="2"/>
        <v>-6.2279999999999998</v>
      </c>
      <c r="I157" s="23" t="s">
        <v>398</v>
      </c>
      <c r="J157" s="7"/>
      <c r="K157" s="7"/>
      <c r="L157" s="24"/>
      <c r="M157" s="3" t="s">
        <v>323</v>
      </c>
    </row>
    <row r="158" spans="1:28">
      <c r="A158" s="82" t="s">
        <v>324</v>
      </c>
      <c r="B158" s="121">
        <v>-12.34230498</v>
      </c>
      <c r="C158" s="71"/>
      <c r="D158" s="12">
        <v>0.84033450922624497</v>
      </c>
      <c r="E158" s="10">
        <v>5</v>
      </c>
      <c r="F158" s="10">
        <v>262</v>
      </c>
      <c r="G158" s="1">
        <v>7.26</v>
      </c>
      <c r="H158" s="14">
        <f t="shared" si="2"/>
        <v>-9.129999999999999</v>
      </c>
      <c r="I158" s="23" t="s">
        <v>399</v>
      </c>
      <c r="J158" s="7"/>
      <c r="K158" s="7"/>
      <c r="L158" s="24"/>
      <c r="M158" s="3" t="s">
        <v>325</v>
      </c>
    </row>
    <row r="159" spans="1:28">
      <c r="A159" s="82" t="s">
        <v>326</v>
      </c>
      <c r="B159" s="121">
        <v>-7.7181491969999998</v>
      </c>
      <c r="C159" s="71"/>
      <c r="D159" s="12">
        <v>0.70969645885144073</v>
      </c>
      <c r="E159" s="10">
        <v>11</v>
      </c>
      <c r="F159" s="10">
        <v>149.6</v>
      </c>
      <c r="G159" s="1">
        <v>6.45</v>
      </c>
      <c r="H159" s="14">
        <f t="shared" si="2"/>
        <v>-7.1959999999999997</v>
      </c>
      <c r="I159" s="23" t="s">
        <v>400</v>
      </c>
      <c r="J159" s="7"/>
      <c r="K159" s="7"/>
      <c r="L159" s="24"/>
      <c r="M159" s="3" t="s">
        <v>327</v>
      </c>
    </row>
    <row r="160" spans="1:28" s="62" customFormat="1">
      <c r="A160" s="81" t="s">
        <v>328</v>
      </c>
      <c r="B160" s="121">
        <v>-4.5317790819999999</v>
      </c>
      <c r="C160" s="71"/>
      <c r="D160" s="12">
        <v>0.49644864464459931</v>
      </c>
      <c r="E160" s="10">
        <v>4</v>
      </c>
      <c r="F160" s="10">
        <v>304.5</v>
      </c>
      <c r="G160" s="1">
        <v>2.69</v>
      </c>
      <c r="H160" s="14">
        <f t="shared" si="2"/>
        <v>-4.9849999999999994</v>
      </c>
      <c r="I160" s="23" t="s">
        <v>401</v>
      </c>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23" t="s">
        <v>402</v>
      </c>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23" t="s">
        <v>403</v>
      </c>
      <c r="J162" s="6"/>
      <c r="K162" s="6"/>
      <c r="L162" s="6"/>
      <c r="M162" s="11"/>
    </row>
    <row r="163" spans="1:28">
      <c r="A163" s="11"/>
      <c r="C163" s="65" t="s">
        <v>265</v>
      </c>
      <c r="D163" s="80">
        <f>MAX(D129:D160)</f>
        <v>0.92735432696895004</v>
      </c>
      <c r="E163" s="67"/>
      <c r="F163" s="68"/>
      <c r="G163" s="68"/>
      <c r="H163" s="69"/>
      <c r="I163" s="23" t="s">
        <v>404</v>
      </c>
      <c r="J163" s="6"/>
      <c r="K163" s="6"/>
      <c r="L163" s="6"/>
      <c r="M163" s="11"/>
    </row>
    <row r="164" spans="1:28">
      <c r="I164" s="23" t="s">
        <v>405</v>
      </c>
    </row>
    <row r="165" spans="1:28">
      <c r="A165" t="s">
        <v>331</v>
      </c>
      <c r="I165" s="23" t="s">
        <v>406</v>
      </c>
    </row>
    <row r="166" spans="1:28">
      <c r="A166" t="s">
        <v>332</v>
      </c>
      <c r="I166" s="23" t="s">
        <v>407</v>
      </c>
    </row>
    <row r="167" spans="1:28">
      <c r="I167" s="23" t="s">
        <v>408</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43" t="s">
        <v>393</v>
      </c>
      <c r="B194" s="44"/>
      <c r="C194" s="44"/>
      <c r="D194" s="44"/>
      <c r="E194" s="44"/>
      <c r="F194" s="44"/>
      <c r="G194" s="44"/>
      <c r="H194" s="44"/>
      <c r="I194" s="44"/>
      <c r="J194" s="44"/>
      <c r="K194" s="44"/>
      <c r="L194" s="44"/>
      <c r="M194" s="48"/>
      <c r="N194" s="44"/>
      <c r="O194" s="44"/>
      <c r="P194" s="44"/>
      <c r="Q194" s="45"/>
    </row>
  </sheetData>
  <pageMargins left="0" right="0" top="0" bottom="0" header="0.3" footer="0.3"/>
  <pageSetup scale="54"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E6467-A81A-4040-9527-674005810771}">
  <dimension ref="A1:AB194"/>
  <sheetViews>
    <sheetView zoomScaleNormal="100" workbookViewId="0">
      <selection activeCell="B4" sqref="B4:B9"/>
    </sheetView>
  </sheetViews>
  <sheetFormatPr baseColWidth="10" defaultColWidth="9.1640625" defaultRowHeight="15"/>
  <cols>
    <col min="1" max="1" width="18.6640625" customWidth="1"/>
    <col min="2" max="3" width="11.33203125" customWidth="1"/>
    <col min="4" max="5" width="7.6640625" customWidth="1"/>
    <col min="6" max="6" width="10.1640625" customWidth="1"/>
    <col min="7" max="7" width="11.33203125" customWidth="1"/>
    <col min="9" max="9" width="13.1640625" customWidth="1"/>
    <col min="10" max="10" width="4.3320312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138"/>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43"/>
      <c r="C8" s="44"/>
      <c r="D8" s="44"/>
      <c r="E8" s="44"/>
      <c r="F8" s="44"/>
      <c r="G8" s="44"/>
      <c r="H8" s="44"/>
      <c r="I8" s="44"/>
      <c r="J8" s="44"/>
      <c r="K8" s="44"/>
      <c r="L8" s="44"/>
      <c r="M8" s="48"/>
      <c r="N8" s="44"/>
      <c r="O8" s="44"/>
      <c r="P8" s="44"/>
      <c r="Q8" s="44"/>
      <c r="R8" s="45"/>
    </row>
    <row r="9" spans="1:25">
      <c r="A9" s="36" t="s">
        <v>7</v>
      </c>
      <c r="B9" s="139"/>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40" t="s">
        <v>374</v>
      </c>
      <c r="C14" t="s">
        <v>11</v>
      </c>
    </row>
    <row r="15" spans="1:25" s="90" customFormat="1">
      <c r="A15" s="89" t="s">
        <v>12</v>
      </c>
    </row>
    <row r="16" spans="1:25">
      <c r="B16" s="117"/>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s="120">
        <v>0.65447199999999994</v>
      </c>
      <c r="C23" s="73" t="s">
        <v>30</v>
      </c>
      <c r="D23" s="12">
        <v>0.17592262140645501</v>
      </c>
      <c r="E23" s="10">
        <v>11</v>
      </c>
      <c r="F23" s="10">
        <v>258.5</v>
      </c>
      <c r="G23" s="6">
        <v>-0.86</v>
      </c>
      <c r="H23" s="14">
        <f t="shared" ref="H23:H86" si="0">0.5-G23-0.01*(F23-25)</f>
        <v>-0.97500000000000009</v>
      </c>
      <c r="I23" s="53" t="s">
        <v>31</v>
      </c>
      <c r="J23" s="54"/>
      <c r="K23" s="14"/>
      <c r="L23" s="14"/>
      <c r="M23" s="11" t="s">
        <v>33</v>
      </c>
    </row>
    <row r="24" spans="1:28">
      <c r="A24" s="82" t="s">
        <v>35</v>
      </c>
      <c r="B24" s="121">
        <v>-3.1548559999999997</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s="121">
        <v>-0.22193599999999991</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s="121">
        <v>-6.7682300000000009</v>
      </c>
      <c r="C26" s="73" t="s">
        <v>46</v>
      </c>
      <c r="D26" s="12">
        <v>0.16999222507469616</v>
      </c>
      <c r="E26" s="10">
        <v>3</v>
      </c>
      <c r="F26" s="10">
        <v>234</v>
      </c>
      <c r="G26" s="6">
        <v>3.19</v>
      </c>
      <c r="H26" s="14">
        <f t="shared" si="0"/>
        <v>-4.7799999999999994</v>
      </c>
      <c r="I26" s="15" t="s">
        <v>47</v>
      </c>
      <c r="J26" s="29" t="s">
        <v>374</v>
      </c>
      <c r="K26" s="14"/>
      <c r="L26" s="14"/>
      <c r="M26" s="11" t="s">
        <v>48</v>
      </c>
    </row>
    <row r="27" spans="1:28">
      <c r="A27" s="82" t="s">
        <v>50</v>
      </c>
      <c r="B27" s="121">
        <v>-4.3113000000000001</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s="121">
        <v>-6.0747099999999996</v>
      </c>
      <c r="C28" s="71"/>
      <c r="D28" s="12">
        <v>0.18412396392404196</v>
      </c>
      <c r="E28" s="10">
        <v>3</v>
      </c>
      <c r="F28" s="10">
        <v>224.00000000000003</v>
      </c>
      <c r="G28" s="6">
        <v>5.51</v>
      </c>
      <c r="H28" s="14">
        <f t="shared" si="0"/>
        <v>-7</v>
      </c>
      <c r="I28" s="15" t="s">
        <v>56</v>
      </c>
      <c r="J28" s="29"/>
      <c r="K28" s="14"/>
      <c r="L28" s="14"/>
      <c r="M28" s="11" t="s">
        <v>57</v>
      </c>
    </row>
    <row r="29" spans="1:28">
      <c r="A29" s="81" t="s">
        <v>59</v>
      </c>
      <c r="B29" s="121">
        <v>-5.202216</v>
      </c>
      <c r="C29" s="71"/>
      <c r="D29" s="12">
        <v>0.14933733874523175</v>
      </c>
      <c r="E29" s="10">
        <v>6</v>
      </c>
      <c r="F29" s="10">
        <v>172.5</v>
      </c>
      <c r="G29" s="6">
        <v>1.78</v>
      </c>
      <c r="H29" s="14">
        <f t="shared" si="0"/>
        <v>-2.7549999999999999</v>
      </c>
      <c r="I29" s="15" t="s">
        <v>60</v>
      </c>
      <c r="J29" s="31"/>
      <c r="K29" s="14"/>
      <c r="L29" s="14"/>
      <c r="M29" s="11" t="s">
        <v>61</v>
      </c>
    </row>
    <row r="30" spans="1:28">
      <c r="A30" s="81" t="s">
        <v>63</v>
      </c>
      <c r="B30" s="121">
        <v>-0.82069600000000009</v>
      </c>
      <c r="C30" s="71"/>
      <c r="D30" s="12">
        <v>0.14842266063120066</v>
      </c>
      <c r="E30" s="10">
        <v>4</v>
      </c>
      <c r="F30" s="10">
        <v>207.50000000000003</v>
      </c>
      <c r="G30" s="6">
        <v>1.86</v>
      </c>
      <c r="H30" s="14">
        <f t="shared" si="0"/>
        <v>-3.1850000000000005</v>
      </c>
      <c r="I30" s="30" t="s">
        <v>64</v>
      </c>
      <c r="J30" s="32"/>
      <c r="K30" s="33"/>
      <c r="L30" s="34"/>
      <c r="M30" s="11" t="s">
        <v>65</v>
      </c>
    </row>
    <row r="31" spans="1:28">
      <c r="A31" s="83" t="s">
        <v>66</v>
      </c>
      <c r="B31" s="121">
        <v>-4.9088560000000001</v>
      </c>
      <c r="C31" s="71"/>
      <c r="D31" s="12">
        <v>0.1617973106900604</v>
      </c>
      <c r="E31" s="10">
        <v>10</v>
      </c>
      <c r="F31" s="10">
        <v>166.5</v>
      </c>
      <c r="G31" s="6">
        <v>0.79</v>
      </c>
      <c r="H31" s="14">
        <f t="shared" si="0"/>
        <v>-1.7050000000000001</v>
      </c>
      <c r="J31" s="14"/>
      <c r="K31" s="14"/>
      <c r="L31" s="14"/>
      <c r="M31" s="11" t="s">
        <v>67</v>
      </c>
    </row>
    <row r="32" spans="1:28">
      <c r="A32" s="82" t="s">
        <v>68</v>
      </c>
      <c r="B32" s="121">
        <v>-1.8585500000000001</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s="122">
        <v>-3.6143700000000001</v>
      </c>
      <c r="C33" s="72"/>
      <c r="D33" s="4">
        <v>0.12912520605069597</v>
      </c>
      <c r="E33" s="2">
        <v>3</v>
      </c>
      <c r="F33" s="13">
        <v>192.7</v>
      </c>
      <c r="G33" s="6">
        <v>2.63</v>
      </c>
      <c r="H33" s="14">
        <f t="shared" si="0"/>
        <v>-3.8069999999999995</v>
      </c>
      <c r="I33" s="124" t="s">
        <v>411</v>
      </c>
      <c r="J33" s="21"/>
      <c r="K33" s="21"/>
      <c r="L33" s="22"/>
      <c r="M33" s="11" t="s">
        <v>72</v>
      </c>
    </row>
    <row r="34" spans="1:13">
      <c r="A34" s="81" t="s">
        <v>74</v>
      </c>
      <c r="B34" s="121">
        <v>0.76796299999999995</v>
      </c>
      <c r="C34" s="71"/>
      <c r="D34" s="12">
        <v>0.14911462098310888</v>
      </c>
      <c r="E34" s="10">
        <v>6</v>
      </c>
      <c r="F34" s="10">
        <v>167</v>
      </c>
      <c r="G34" s="6">
        <v>6.32</v>
      </c>
      <c r="H34" s="14">
        <f t="shared" si="0"/>
        <v>-7.24</v>
      </c>
      <c r="I34" s="23"/>
      <c r="J34" s="7"/>
      <c r="K34" s="7"/>
      <c r="L34" s="24"/>
      <c r="M34" s="11" t="s">
        <v>75</v>
      </c>
    </row>
    <row r="35" spans="1:13">
      <c r="A35" s="82" t="s">
        <v>77</v>
      </c>
      <c r="B35" s="121">
        <v>-6.1449999999999996</v>
      </c>
      <c r="C35" s="71"/>
      <c r="D35" s="12">
        <v>0.15809078703524676</v>
      </c>
      <c r="E35" s="10">
        <v>15</v>
      </c>
      <c r="F35" s="10">
        <v>191.5</v>
      </c>
      <c r="G35" s="6">
        <v>3.39</v>
      </c>
      <c r="H35" s="14">
        <f t="shared" si="0"/>
        <v>-4.5549999999999997</v>
      </c>
      <c r="I35" s="23"/>
      <c r="J35" s="7"/>
      <c r="K35" s="7"/>
      <c r="L35" s="24"/>
      <c r="M35" s="11" t="s">
        <v>78</v>
      </c>
    </row>
    <row r="36" spans="1:13">
      <c r="A36" s="83" t="s">
        <v>80</v>
      </c>
      <c r="B36" s="121">
        <v>-0.80242400000000003</v>
      </c>
      <c r="C36" s="71"/>
      <c r="D36" s="12">
        <v>0.1911503089068218</v>
      </c>
      <c r="E36" s="10">
        <v>3</v>
      </c>
      <c r="F36" s="10">
        <v>246.2</v>
      </c>
      <c r="G36" s="6">
        <v>3.32</v>
      </c>
      <c r="H36" s="14">
        <f t="shared" si="0"/>
        <v>-5.032</v>
      </c>
      <c r="I36" s="25"/>
      <c r="J36" s="7"/>
      <c r="K36" s="7"/>
      <c r="L36" s="24"/>
      <c r="M36" s="11" t="s">
        <v>81</v>
      </c>
    </row>
    <row r="37" spans="1:13">
      <c r="A37" s="83" t="s">
        <v>73</v>
      </c>
      <c r="B37" s="121">
        <v>-1.2077599999999999</v>
      </c>
      <c r="C37" s="71"/>
      <c r="D37" s="12">
        <v>0.19050575600734274</v>
      </c>
      <c r="E37" s="10">
        <v>4</v>
      </c>
      <c r="F37" s="10">
        <v>304</v>
      </c>
      <c r="G37" s="6">
        <v>1.74</v>
      </c>
      <c r="H37" s="14">
        <f t="shared" si="0"/>
        <v>-4.03</v>
      </c>
      <c r="I37" s="25"/>
      <c r="J37" s="7"/>
      <c r="K37" s="7"/>
      <c r="L37" s="24"/>
      <c r="M37" s="11" t="s">
        <v>83</v>
      </c>
    </row>
    <row r="38" spans="1:13">
      <c r="A38" s="81" t="s">
        <v>76</v>
      </c>
      <c r="B38" s="121">
        <v>-4.536219</v>
      </c>
      <c r="C38" s="71"/>
      <c r="D38" s="12">
        <v>0.13682393527498057</v>
      </c>
      <c r="E38" s="10">
        <v>7</v>
      </c>
      <c r="F38" s="10">
        <v>187</v>
      </c>
      <c r="G38" s="6">
        <v>-0.87</v>
      </c>
      <c r="H38" s="14">
        <f t="shared" si="0"/>
        <v>-0.25</v>
      </c>
      <c r="I38" s="25"/>
      <c r="J38" s="7"/>
      <c r="K38" s="7"/>
      <c r="L38" s="24"/>
      <c r="M38" s="66" t="s">
        <v>85</v>
      </c>
    </row>
    <row r="39" spans="1:13">
      <c r="A39" s="81" t="s">
        <v>87</v>
      </c>
      <c r="B39" s="121">
        <v>-0.25294999999999979</v>
      </c>
      <c r="C39" s="71"/>
      <c r="D39" s="12">
        <v>0.20462356367492032</v>
      </c>
      <c r="E39" s="10">
        <v>4</v>
      </c>
      <c r="F39" s="10">
        <v>221.5</v>
      </c>
      <c r="G39" s="6">
        <v>0.71</v>
      </c>
      <c r="H39" s="14">
        <f t="shared" si="0"/>
        <v>-2.1749999999999998</v>
      </c>
      <c r="I39" s="25"/>
      <c r="J39" s="7"/>
      <c r="K39" s="7"/>
      <c r="L39" s="24"/>
      <c r="M39" s="11" t="s">
        <v>88</v>
      </c>
    </row>
    <row r="40" spans="1:13">
      <c r="A40" s="81" t="s">
        <v>90</v>
      </c>
      <c r="B40" s="121">
        <v>-5.9054500000000001</v>
      </c>
      <c r="C40" s="71"/>
      <c r="D40" s="12">
        <v>0.18274602564465547</v>
      </c>
      <c r="E40" s="10">
        <v>6</v>
      </c>
      <c r="F40" s="10">
        <v>157.83333333333334</v>
      </c>
      <c r="G40" s="6">
        <v>3.51</v>
      </c>
      <c r="H40" s="14">
        <f t="shared" si="0"/>
        <v>-4.3383333333333329</v>
      </c>
      <c r="I40" s="25"/>
      <c r="J40" s="39"/>
      <c r="K40" s="39"/>
      <c r="L40" s="40"/>
      <c r="M40" s="11" t="s">
        <v>91</v>
      </c>
    </row>
    <row r="41" spans="1:13">
      <c r="A41" s="84" t="s">
        <v>93</v>
      </c>
      <c r="B41" s="122">
        <v>-4.4581400000000002</v>
      </c>
      <c r="C41" s="72"/>
      <c r="D41" s="4">
        <v>0.12610247911779729</v>
      </c>
      <c r="E41" s="2">
        <v>8</v>
      </c>
      <c r="F41" s="10">
        <v>140</v>
      </c>
      <c r="G41" s="6">
        <v>0.35</v>
      </c>
      <c r="H41" s="14">
        <f t="shared" si="0"/>
        <v>-1</v>
      </c>
      <c r="I41" s="25"/>
      <c r="J41" s="39"/>
      <c r="K41" s="39"/>
      <c r="L41" s="40"/>
      <c r="M41" s="11" t="s">
        <v>94</v>
      </c>
    </row>
    <row r="42" spans="1:13">
      <c r="A42" s="82" t="s">
        <v>96</v>
      </c>
      <c r="B42" s="121">
        <v>-1.3211919999999999</v>
      </c>
      <c r="C42" s="71"/>
      <c r="D42" s="12">
        <v>0.14493441954543959</v>
      </c>
      <c r="E42" s="10">
        <v>7</v>
      </c>
      <c r="F42" s="10">
        <v>127.93333333333334</v>
      </c>
      <c r="G42" s="6">
        <v>1.74</v>
      </c>
      <c r="H42" s="14">
        <f t="shared" si="0"/>
        <v>-2.2693333333333334</v>
      </c>
      <c r="I42" s="25"/>
      <c r="J42" s="39"/>
      <c r="K42" s="39"/>
      <c r="L42" s="40"/>
      <c r="M42" s="11" t="s">
        <v>97</v>
      </c>
    </row>
    <row r="43" spans="1:13">
      <c r="A43" s="82" t="s">
        <v>79</v>
      </c>
      <c r="B43" s="121">
        <v>-3.5991100000000005</v>
      </c>
      <c r="C43" s="71"/>
      <c r="D43" s="12">
        <v>0.14861388626870758</v>
      </c>
      <c r="E43" s="10">
        <v>7</v>
      </c>
      <c r="F43" s="10">
        <v>176</v>
      </c>
      <c r="G43" s="6">
        <v>4.4800000000000004</v>
      </c>
      <c r="H43" s="14">
        <f t="shared" si="0"/>
        <v>-5.49</v>
      </c>
      <c r="I43" s="25"/>
      <c r="J43" s="39"/>
      <c r="K43" s="39"/>
      <c r="L43" s="40"/>
      <c r="M43" s="11" t="s">
        <v>99</v>
      </c>
    </row>
    <row r="44" spans="1:13">
      <c r="A44" s="85" t="s">
        <v>101</v>
      </c>
      <c r="B44" s="122">
        <v>-5.0398700000000005</v>
      </c>
      <c r="C44" s="72"/>
      <c r="D44" s="4">
        <v>0.1280711495400205</v>
      </c>
      <c r="E44" s="2">
        <v>3</v>
      </c>
      <c r="F44" s="10">
        <v>159.69999999999999</v>
      </c>
      <c r="G44" s="6">
        <v>3.46</v>
      </c>
      <c r="H44" s="14">
        <f t="shared" si="0"/>
        <v>-4.3070000000000004</v>
      </c>
      <c r="I44" s="25"/>
      <c r="J44" s="39"/>
      <c r="K44" s="39"/>
      <c r="L44" s="40"/>
      <c r="M44" s="11" t="s">
        <v>102</v>
      </c>
    </row>
    <row r="45" spans="1:13">
      <c r="A45" s="84" t="s">
        <v>104</v>
      </c>
      <c r="B45" s="122">
        <v>-4.5078399999999998</v>
      </c>
      <c r="C45" s="72"/>
      <c r="D45" s="4">
        <v>0.21683500301481054</v>
      </c>
      <c r="E45" s="2">
        <v>8</v>
      </c>
      <c r="F45" s="10">
        <v>142</v>
      </c>
      <c r="G45" s="6">
        <v>0.6</v>
      </c>
      <c r="H45" s="14">
        <f t="shared" si="0"/>
        <v>-1.27</v>
      </c>
      <c r="I45" s="25"/>
      <c r="J45" s="39"/>
      <c r="K45" s="39"/>
      <c r="L45" s="40"/>
      <c r="M45" s="11" t="s">
        <v>105</v>
      </c>
    </row>
    <row r="46" spans="1:13">
      <c r="A46" s="82" t="s">
        <v>107</v>
      </c>
      <c r="B46" s="121">
        <v>-3.7605900000000005</v>
      </c>
      <c r="C46" s="71"/>
      <c r="D46" s="12">
        <v>0.18255878892749886</v>
      </c>
      <c r="E46" s="10">
        <v>20</v>
      </c>
      <c r="F46" s="10">
        <v>267</v>
      </c>
      <c r="G46" s="6">
        <v>1.58</v>
      </c>
      <c r="H46" s="14">
        <f t="shared" si="0"/>
        <v>-3.5</v>
      </c>
      <c r="I46" s="25"/>
      <c r="J46" s="39"/>
      <c r="K46" s="39"/>
      <c r="L46" s="40"/>
      <c r="M46" s="11" t="s">
        <v>108</v>
      </c>
    </row>
    <row r="47" spans="1:13">
      <c r="A47" s="81" t="s">
        <v>110</v>
      </c>
      <c r="B47" s="121">
        <v>-5.6806900000000002</v>
      </c>
      <c r="C47" s="71"/>
      <c r="D47" s="12">
        <v>0.16704647063532602</v>
      </c>
      <c r="E47" s="10">
        <v>6</v>
      </c>
      <c r="F47" s="10">
        <v>110.00000000000001</v>
      </c>
      <c r="G47" s="6">
        <v>3.36</v>
      </c>
      <c r="H47" s="14">
        <f t="shared" si="0"/>
        <v>-3.71</v>
      </c>
      <c r="I47" s="25"/>
      <c r="J47" s="39"/>
      <c r="K47" s="39"/>
      <c r="L47" s="40"/>
      <c r="M47" s="11" t="s">
        <v>111</v>
      </c>
    </row>
    <row r="48" spans="1:13">
      <c r="A48" s="82" t="s">
        <v>82</v>
      </c>
      <c r="B48" s="121">
        <v>-4.1213600000000001</v>
      </c>
      <c r="C48" s="71"/>
      <c r="D48" s="12">
        <v>0.17164501312359953</v>
      </c>
      <c r="E48" s="10">
        <v>7</v>
      </c>
      <c r="F48" s="10">
        <v>182</v>
      </c>
      <c r="G48" s="6">
        <v>2.67</v>
      </c>
      <c r="H48" s="14">
        <f t="shared" si="0"/>
        <v>-3.74</v>
      </c>
      <c r="I48" s="25"/>
      <c r="J48" s="39"/>
      <c r="K48" s="39"/>
      <c r="L48" s="40"/>
      <c r="M48" s="11" t="s">
        <v>113</v>
      </c>
    </row>
    <row r="49" spans="1:13">
      <c r="A49" s="84" t="s">
        <v>115</v>
      </c>
      <c r="B49" s="122">
        <v>-5.1650200000000002</v>
      </c>
      <c r="C49" s="72"/>
      <c r="D49" s="4">
        <v>0.12558353028546052</v>
      </c>
      <c r="E49" s="2">
        <v>4</v>
      </c>
      <c r="F49" s="10">
        <v>222.00000000000003</v>
      </c>
      <c r="G49" s="6">
        <v>2.56</v>
      </c>
      <c r="H49" s="14">
        <f t="shared" si="0"/>
        <v>-4.03</v>
      </c>
      <c r="I49" s="25"/>
      <c r="J49" s="39"/>
      <c r="K49" s="39"/>
      <c r="L49" s="40"/>
      <c r="M49" s="11" t="s">
        <v>116</v>
      </c>
    </row>
    <row r="50" spans="1:13">
      <c r="A50" s="82" t="s">
        <v>118</v>
      </c>
      <c r="B50" s="121">
        <v>-8.1941330000000008</v>
      </c>
      <c r="C50" s="71"/>
      <c r="D50" s="12">
        <v>0.1568133990664792</v>
      </c>
      <c r="E50" s="10">
        <v>6</v>
      </c>
      <c r="F50" s="10">
        <v>151</v>
      </c>
      <c r="G50" s="6">
        <v>3.27</v>
      </c>
      <c r="H50" s="14">
        <f t="shared" si="0"/>
        <v>-4.03</v>
      </c>
      <c r="I50" s="25"/>
      <c r="J50" s="39"/>
      <c r="K50" s="39"/>
      <c r="L50" s="40"/>
      <c r="M50" s="11" t="s">
        <v>119</v>
      </c>
    </row>
    <row r="51" spans="1:13">
      <c r="A51" s="85" t="s">
        <v>84</v>
      </c>
      <c r="B51" s="122">
        <v>-1.4877359999999999</v>
      </c>
      <c r="C51" s="72"/>
      <c r="D51" s="4">
        <v>0.12789394574374285</v>
      </c>
      <c r="E51" s="2">
        <v>5</v>
      </c>
      <c r="F51" s="10">
        <v>330</v>
      </c>
      <c r="G51" s="6">
        <v>2.87</v>
      </c>
      <c r="H51" s="14">
        <f t="shared" si="0"/>
        <v>-5.42</v>
      </c>
      <c r="I51" s="25"/>
      <c r="J51" s="39"/>
      <c r="K51" s="39"/>
      <c r="L51" s="40"/>
      <c r="M51" s="11" t="s">
        <v>120</v>
      </c>
    </row>
    <row r="52" spans="1:13">
      <c r="A52" s="82" t="s">
        <v>121</v>
      </c>
      <c r="B52" s="121">
        <v>-1.6600079999999999</v>
      </c>
      <c r="C52" s="71"/>
      <c r="D52" s="12">
        <v>0.18012800124370357</v>
      </c>
      <c r="E52" s="10">
        <v>3</v>
      </c>
      <c r="F52" s="10">
        <v>100</v>
      </c>
      <c r="G52" s="6">
        <v>3.53</v>
      </c>
      <c r="H52" s="14">
        <f t="shared" si="0"/>
        <v>-3.78</v>
      </c>
      <c r="I52" s="23"/>
      <c r="J52" s="7"/>
      <c r="K52" s="7"/>
      <c r="L52" s="24"/>
      <c r="M52" s="11" t="s">
        <v>122</v>
      </c>
    </row>
    <row r="53" spans="1:13">
      <c r="A53" s="81" t="s">
        <v>123</v>
      </c>
      <c r="B53" s="121">
        <v>-3.6955900000000002</v>
      </c>
      <c r="C53" s="71"/>
      <c r="D53" s="12">
        <v>0.18062104750721683</v>
      </c>
      <c r="E53" s="10">
        <v>16</v>
      </c>
      <c r="F53" s="10">
        <v>262.5</v>
      </c>
      <c r="G53" s="6">
        <v>1.9</v>
      </c>
      <c r="H53" s="14">
        <f t="shared" si="0"/>
        <v>-3.7749999999999999</v>
      </c>
      <c r="I53" s="23"/>
      <c r="J53" s="7"/>
      <c r="K53" s="7"/>
      <c r="L53" s="24"/>
      <c r="M53" s="11" t="s">
        <v>124</v>
      </c>
    </row>
    <row r="54" spans="1:13">
      <c r="A54" s="84" t="s">
        <v>125</v>
      </c>
      <c r="B54" s="122">
        <v>-4.990488</v>
      </c>
      <c r="C54" s="72"/>
      <c r="D54" s="4">
        <v>0.22156244268660033</v>
      </c>
      <c r="E54" s="2">
        <v>4</v>
      </c>
      <c r="F54" s="10">
        <v>328.85</v>
      </c>
      <c r="G54" s="6">
        <v>1.87</v>
      </c>
      <c r="H54" s="14">
        <f t="shared" si="0"/>
        <v>-4.4085000000000001</v>
      </c>
      <c r="I54" s="23"/>
      <c r="J54" s="7"/>
      <c r="K54" s="7"/>
      <c r="L54" s="24"/>
      <c r="M54" s="11" t="s">
        <v>126</v>
      </c>
    </row>
    <row r="55" spans="1:13">
      <c r="A55" s="82" t="s">
        <v>127</v>
      </c>
      <c r="B55" s="121">
        <v>-5.3777600000000003</v>
      </c>
      <c r="C55" s="71"/>
      <c r="D55" s="12">
        <v>0.18450811780713378</v>
      </c>
      <c r="E55" s="10">
        <v>33</v>
      </c>
      <c r="F55" s="10">
        <v>167.5</v>
      </c>
      <c r="G55" s="6">
        <v>4.3600000000000003</v>
      </c>
      <c r="H55" s="14">
        <f t="shared" si="0"/>
        <v>-5.2850000000000001</v>
      </c>
      <c r="I55" s="23"/>
      <c r="J55" s="7"/>
      <c r="K55" s="7"/>
      <c r="L55" s="24"/>
      <c r="M55" s="11" t="s">
        <v>128</v>
      </c>
    </row>
    <row r="56" spans="1:13">
      <c r="A56" s="82" t="s">
        <v>86</v>
      </c>
      <c r="B56" s="121">
        <v>-6.0844799999999992</v>
      </c>
      <c r="C56" s="71"/>
      <c r="D56" s="12">
        <v>0.15609203233531485</v>
      </c>
      <c r="E56" s="10">
        <v>3</v>
      </c>
      <c r="F56" s="10">
        <v>223</v>
      </c>
      <c r="G56" s="6">
        <v>2.99</v>
      </c>
      <c r="H56" s="14">
        <f t="shared" si="0"/>
        <v>-4.4700000000000006</v>
      </c>
      <c r="I56" s="23"/>
      <c r="J56" s="7"/>
      <c r="K56" s="7"/>
      <c r="L56" s="24"/>
      <c r="M56" s="11" t="s">
        <v>129</v>
      </c>
    </row>
    <row r="57" spans="1:13">
      <c r="A57" s="82" t="s">
        <v>89</v>
      </c>
      <c r="B57" s="121">
        <v>-1.5018600000000002</v>
      </c>
      <c r="C57" s="71"/>
      <c r="D57" s="12">
        <v>0.20872343532408041</v>
      </c>
      <c r="E57" s="10">
        <v>3</v>
      </c>
      <c r="F57" s="10">
        <v>210.5</v>
      </c>
      <c r="G57" s="6">
        <v>2.72</v>
      </c>
      <c r="H57" s="14">
        <f t="shared" si="0"/>
        <v>-4.0750000000000002</v>
      </c>
      <c r="I57" s="26"/>
      <c r="J57" s="27"/>
      <c r="K57" s="27"/>
      <c r="L57" s="28"/>
      <c r="M57" s="11" t="s">
        <v>130</v>
      </c>
    </row>
    <row r="58" spans="1:13">
      <c r="A58" s="84" t="s">
        <v>131</v>
      </c>
      <c r="B58" s="122">
        <v>-0.25294999999999979</v>
      </c>
      <c r="C58" s="72"/>
      <c r="D58" s="4">
        <v>0.1297319013416561</v>
      </c>
      <c r="E58" s="2">
        <v>3</v>
      </c>
      <c r="F58" s="10">
        <v>209.75</v>
      </c>
      <c r="G58" s="6">
        <v>3.37</v>
      </c>
      <c r="H58" s="14">
        <f t="shared" si="0"/>
        <v>-4.7175000000000002</v>
      </c>
      <c r="J58" s="14"/>
      <c r="K58" s="14"/>
      <c r="L58" s="14"/>
      <c r="M58" s="11" t="s">
        <v>132</v>
      </c>
    </row>
    <row r="59" spans="1:13">
      <c r="A59" s="81" t="s">
        <v>92</v>
      </c>
      <c r="B59" s="121">
        <v>-5.5694400000000002</v>
      </c>
      <c r="C59" s="71"/>
      <c r="D59" s="12">
        <v>0.14124198841117766</v>
      </c>
      <c r="E59" s="10">
        <v>3</v>
      </c>
      <c r="F59" s="10">
        <v>53.5</v>
      </c>
      <c r="G59" s="6">
        <v>3.43</v>
      </c>
      <c r="H59" s="14">
        <f t="shared" si="0"/>
        <v>-3.2150000000000003</v>
      </c>
      <c r="I59" s="70" t="s">
        <v>133</v>
      </c>
      <c r="J59" s="75">
        <v>222</v>
      </c>
      <c r="K59" s="34"/>
      <c r="L59" s="14"/>
      <c r="M59" s="11" t="s">
        <v>134</v>
      </c>
    </row>
    <row r="60" spans="1:13">
      <c r="A60" s="81" t="s">
        <v>135</v>
      </c>
      <c r="B60" s="121">
        <v>-4.5738320000000003</v>
      </c>
      <c r="C60" s="71"/>
      <c r="D60" s="12">
        <v>0.17069281866408892</v>
      </c>
      <c r="E60" s="10">
        <v>6</v>
      </c>
      <c r="F60" s="10">
        <v>270</v>
      </c>
      <c r="G60" s="6">
        <v>0.05</v>
      </c>
      <c r="H60" s="14">
        <f t="shared" si="0"/>
        <v>-2</v>
      </c>
      <c r="I60" s="70" t="s">
        <v>136</v>
      </c>
      <c r="J60" s="32"/>
      <c r="K60" s="34"/>
      <c r="L60" s="14"/>
      <c r="M60" s="11" t="s">
        <v>137</v>
      </c>
    </row>
    <row r="61" spans="1:13">
      <c r="A61" s="82" t="s">
        <v>138</v>
      </c>
      <c r="B61" s="121">
        <v>-3.7404400000000004</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s="121">
        <v>-5.1774880000000003</v>
      </c>
      <c r="C62" s="71"/>
      <c r="D62" s="12">
        <v>0.18021422622763517</v>
      </c>
      <c r="E62" s="10">
        <v>5</v>
      </c>
      <c r="F62" s="10">
        <v>214.5</v>
      </c>
      <c r="G62" s="6">
        <v>3.61</v>
      </c>
      <c r="H62" s="14">
        <f t="shared" si="0"/>
        <v>-5.0049999999999999</v>
      </c>
      <c r="I62" s="14"/>
      <c r="J62" s="14"/>
      <c r="K62" s="14"/>
      <c r="L62" s="14"/>
      <c r="M62" s="11" t="s">
        <v>142</v>
      </c>
    </row>
    <row r="63" spans="1:13">
      <c r="A63" s="82" t="s">
        <v>143</v>
      </c>
      <c r="B63" s="121">
        <v>-4.836576</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s="121">
        <v>-2.2820559999999999</v>
      </c>
      <c r="C64" s="71"/>
      <c r="D64" s="12">
        <v>0.17</v>
      </c>
      <c r="E64" s="10">
        <v>3</v>
      </c>
      <c r="F64" s="10">
        <v>189</v>
      </c>
      <c r="G64" s="6">
        <v>1.34</v>
      </c>
      <c r="H64" s="14">
        <f t="shared" si="0"/>
        <v>-2.4800000000000004</v>
      </c>
      <c r="I64" s="124" t="s">
        <v>412</v>
      </c>
      <c r="J64" s="21"/>
      <c r="K64" s="21"/>
      <c r="L64" s="22"/>
      <c r="M64" s="11" t="s">
        <v>148</v>
      </c>
    </row>
    <row r="65" spans="1:13">
      <c r="A65" s="82" t="s">
        <v>149</v>
      </c>
      <c r="B65" s="121">
        <v>-5.9204980000000003</v>
      </c>
      <c r="C65" s="71"/>
      <c r="D65" s="12">
        <v>0.19794493160510693</v>
      </c>
      <c r="E65" s="10">
        <v>4</v>
      </c>
      <c r="F65" s="10">
        <v>243.5</v>
      </c>
      <c r="G65" s="6">
        <v>1.34</v>
      </c>
      <c r="H65" s="14">
        <f t="shared" si="0"/>
        <v>-3.0250000000000004</v>
      </c>
      <c r="I65" s="23"/>
      <c r="J65" s="7"/>
      <c r="K65" s="7"/>
      <c r="L65" s="24"/>
      <c r="M65" s="11" t="s">
        <v>151</v>
      </c>
    </row>
    <row r="66" spans="1:13">
      <c r="A66" s="81" t="s">
        <v>95</v>
      </c>
      <c r="B66" s="121">
        <v>-3.1548559999999997</v>
      </c>
      <c r="C66" s="71"/>
      <c r="D66" s="12">
        <v>0.21056099074293383</v>
      </c>
      <c r="E66" s="10">
        <v>3</v>
      </c>
      <c r="F66" s="10">
        <v>36.5</v>
      </c>
      <c r="G66" s="6">
        <v>2.74</v>
      </c>
      <c r="H66" s="14">
        <f t="shared" si="0"/>
        <v>-2.3550000000000004</v>
      </c>
      <c r="I66" s="23"/>
      <c r="J66" s="7"/>
      <c r="K66" s="7"/>
      <c r="L66" s="24"/>
      <c r="M66" s="11" t="s">
        <v>152</v>
      </c>
    </row>
    <row r="67" spans="1:13">
      <c r="A67" s="83" t="s">
        <v>153</v>
      </c>
      <c r="B67" s="121">
        <v>-5.295248</v>
      </c>
      <c r="C67" s="71"/>
      <c r="D67" s="12">
        <v>0.21092434073951916</v>
      </c>
      <c r="E67" s="10">
        <v>10</v>
      </c>
      <c r="F67" s="10">
        <v>186</v>
      </c>
      <c r="G67" s="6">
        <v>3.4</v>
      </c>
      <c r="H67" s="14">
        <f t="shared" si="0"/>
        <v>-4.51</v>
      </c>
      <c r="I67" s="23"/>
      <c r="J67" s="7"/>
      <c r="K67" s="7"/>
      <c r="L67" s="24"/>
      <c r="M67" s="11" t="s">
        <v>154</v>
      </c>
    </row>
    <row r="68" spans="1:13">
      <c r="A68" s="81" t="s">
        <v>98</v>
      </c>
      <c r="B68" s="121">
        <v>-4.3939519999999996</v>
      </c>
      <c r="C68" s="71"/>
      <c r="D68" s="12">
        <v>0.18695478693957188</v>
      </c>
      <c r="E68" s="10">
        <v>3</v>
      </c>
      <c r="F68" s="10">
        <v>252.99999999999997</v>
      </c>
      <c r="G68" s="6">
        <v>2.35</v>
      </c>
      <c r="H68" s="14">
        <f t="shared" si="0"/>
        <v>-4.13</v>
      </c>
      <c r="I68" s="23"/>
      <c r="J68" s="7"/>
      <c r="K68" s="7"/>
      <c r="L68" s="24"/>
      <c r="M68" s="11" t="s">
        <v>155</v>
      </c>
    </row>
    <row r="69" spans="1:13">
      <c r="A69" s="83" t="s">
        <v>156</v>
      </c>
      <c r="B69" s="121">
        <v>-3.4021280000000003</v>
      </c>
      <c r="C69" s="71"/>
      <c r="D69" s="12">
        <v>0.20491085989689112</v>
      </c>
      <c r="E69" s="10">
        <v>23</v>
      </c>
      <c r="F69" s="10">
        <v>111.00000000000001</v>
      </c>
      <c r="G69" s="6">
        <v>3.68</v>
      </c>
      <c r="H69" s="14">
        <f t="shared" si="0"/>
        <v>-4.04</v>
      </c>
      <c r="I69" s="23"/>
      <c r="J69" s="7"/>
      <c r="K69" s="7"/>
      <c r="L69" s="24"/>
      <c r="M69" s="11" t="s">
        <v>157</v>
      </c>
    </row>
    <row r="70" spans="1:13">
      <c r="A70" s="81" t="s">
        <v>158</v>
      </c>
      <c r="B70" s="121">
        <v>-3.5991100000000005</v>
      </c>
      <c r="C70" s="71"/>
      <c r="D70" s="12">
        <v>0.15545016183846921</v>
      </c>
      <c r="E70" s="10">
        <v>6</v>
      </c>
      <c r="F70" s="10">
        <v>250</v>
      </c>
      <c r="G70" s="6">
        <v>-0.04</v>
      </c>
      <c r="H70" s="14">
        <f t="shared" si="0"/>
        <v>-1.71</v>
      </c>
      <c r="I70" s="23"/>
      <c r="J70" s="7"/>
      <c r="K70" s="7"/>
      <c r="L70" s="24"/>
      <c r="M70" s="11" t="s">
        <v>159</v>
      </c>
    </row>
    <row r="71" spans="1:13">
      <c r="A71" s="82" t="s">
        <v>160</v>
      </c>
      <c r="B71" s="121">
        <v>-4.964912</v>
      </c>
      <c r="C71" s="71"/>
      <c r="D71" s="12">
        <v>0.13261436390895148</v>
      </c>
      <c r="E71" s="10">
        <v>3</v>
      </c>
      <c r="F71" s="10">
        <v>250</v>
      </c>
      <c r="G71" s="6">
        <v>-1.97</v>
      </c>
      <c r="H71" s="14">
        <f t="shared" si="0"/>
        <v>0.21999999999999975</v>
      </c>
      <c r="I71" s="23"/>
      <c r="J71" s="7"/>
      <c r="K71" s="7"/>
      <c r="L71" s="24"/>
      <c r="M71" s="11" t="s">
        <v>161</v>
      </c>
    </row>
    <row r="72" spans="1:13">
      <c r="A72" s="82" t="s">
        <v>162</v>
      </c>
      <c r="B72" s="121">
        <v>-1.5018600000000002</v>
      </c>
      <c r="C72" s="71"/>
      <c r="D72" s="12">
        <v>0.21159815676624968</v>
      </c>
      <c r="E72" s="10">
        <v>9</v>
      </c>
      <c r="F72" s="10">
        <v>208.5</v>
      </c>
      <c r="G72" s="6">
        <v>2.08</v>
      </c>
      <c r="H72" s="14">
        <f t="shared" si="0"/>
        <v>-3.415</v>
      </c>
      <c r="I72" s="23"/>
      <c r="J72" s="7"/>
      <c r="K72" s="7"/>
      <c r="L72" s="24"/>
      <c r="M72" s="11" t="s">
        <v>163</v>
      </c>
    </row>
    <row r="73" spans="1:13">
      <c r="A73" s="82" t="s">
        <v>164</v>
      </c>
      <c r="B73" s="121">
        <v>-5.7194799999999999</v>
      </c>
      <c r="C73" s="71"/>
      <c r="D73" s="12">
        <v>0.1900151243705871</v>
      </c>
      <c r="E73" s="10">
        <v>15</v>
      </c>
      <c r="F73" s="10">
        <v>220.00000000000003</v>
      </c>
      <c r="G73" s="6">
        <v>2.69</v>
      </c>
      <c r="H73" s="14">
        <f t="shared" si="0"/>
        <v>-4.1400000000000006</v>
      </c>
      <c r="I73" s="23"/>
      <c r="J73" s="7"/>
      <c r="K73" s="7"/>
      <c r="L73" s="24"/>
      <c r="M73" s="11" t="s">
        <v>165</v>
      </c>
    </row>
    <row r="74" spans="1:13">
      <c r="A74" s="82" t="s">
        <v>166</v>
      </c>
      <c r="B74" s="121">
        <v>-4.4581400000000002</v>
      </c>
      <c r="C74" s="71"/>
      <c r="D74" s="12">
        <v>0.16978183023026608</v>
      </c>
      <c r="E74" s="10">
        <v>10</v>
      </c>
      <c r="F74" s="10">
        <v>151</v>
      </c>
      <c r="G74" s="6">
        <v>4.43</v>
      </c>
      <c r="H74" s="14">
        <f t="shared" si="0"/>
        <v>-5.1899999999999995</v>
      </c>
      <c r="I74" s="23"/>
      <c r="J74" s="7"/>
      <c r="K74" s="7"/>
      <c r="L74" s="24"/>
      <c r="M74" s="11" t="s">
        <v>167</v>
      </c>
    </row>
    <row r="75" spans="1:13">
      <c r="A75" s="83" t="s">
        <v>100</v>
      </c>
      <c r="B75" s="121">
        <v>-5.6806900000000002</v>
      </c>
      <c r="C75" s="71"/>
      <c r="D75" s="12">
        <v>0.19416214604145643</v>
      </c>
      <c r="E75" s="10">
        <v>7</v>
      </c>
      <c r="F75" s="10">
        <v>154.5</v>
      </c>
      <c r="G75" s="6">
        <v>4.22</v>
      </c>
      <c r="H75" s="14">
        <f t="shared" si="0"/>
        <v>-5.0149999999999997</v>
      </c>
      <c r="I75" s="23"/>
      <c r="J75" s="7"/>
      <c r="K75" s="7"/>
      <c r="L75" s="24"/>
      <c r="M75" s="11" t="s">
        <v>168</v>
      </c>
    </row>
    <row r="76" spans="1:13">
      <c r="A76" s="82" t="s">
        <v>169</v>
      </c>
      <c r="B76" s="121">
        <v>-8.3908229999999993</v>
      </c>
      <c r="C76" s="71"/>
      <c r="D76" s="12">
        <v>0.16048013551961601</v>
      </c>
      <c r="E76" s="10">
        <v>5</v>
      </c>
      <c r="F76" s="10">
        <v>167.75</v>
      </c>
      <c r="G76" s="6">
        <v>2.87</v>
      </c>
      <c r="H76" s="14">
        <f t="shared" si="0"/>
        <v>-3.7975000000000003</v>
      </c>
      <c r="I76" s="23"/>
      <c r="J76" s="7"/>
      <c r="K76" s="7"/>
      <c r="L76" s="24"/>
      <c r="M76" s="11" t="s">
        <v>170</v>
      </c>
    </row>
    <row r="77" spans="1:13">
      <c r="A77" s="84" t="s">
        <v>171</v>
      </c>
      <c r="B77" s="122">
        <v>-2.4756399999999998</v>
      </c>
      <c r="C77" s="72"/>
      <c r="D77" s="4">
        <v>0.22239504833634874</v>
      </c>
      <c r="E77" s="2">
        <v>21</v>
      </c>
      <c r="F77" s="10">
        <v>159</v>
      </c>
      <c r="G77" s="6">
        <v>3.93</v>
      </c>
      <c r="H77" s="14">
        <f t="shared" si="0"/>
        <v>-4.7700000000000005</v>
      </c>
      <c r="I77" s="23"/>
      <c r="J77" s="7"/>
      <c r="K77" s="7"/>
      <c r="L77" s="24"/>
      <c r="M77" s="11" t="s">
        <v>172</v>
      </c>
    </row>
    <row r="78" spans="1:13">
      <c r="A78" s="82" t="s">
        <v>173</v>
      </c>
      <c r="B78" s="121">
        <v>-5.3901839999999996</v>
      </c>
      <c r="C78" s="71"/>
      <c r="D78" s="12">
        <v>0.21209434799218393</v>
      </c>
      <c r="E78" s="10">
        <v>5</v>
      </c>
      <c r="F78" s="10">
        <v>213.49999999999997</v>
      </c>
      <c r="G78" s="6">
        <v>3.04</v>
      </c>
      <c r="H78" s="14">
        <f t="shared" si="0"/>
        <v>-4.4249999999999998</v>
      </c>
      <c r="I78" s="23"/>
      <c r="J78" s="7"/>
      <c r="K78" s="7"/>
      <c r="L78" s="24"/>
      <c r="M78" s="11" t="s">
        <v>174</v>
      </c>
    </row>
    <row r="79" spans="1:13">
      <c r="A79" s="82" t="s">
        <v>175</v>
      </c>
      <c r="B79" s="121">
        <v>-9.1112310000000001</v>
      </c>
      <c r="C79" s="71"/>
      <c r="D79" s="12">
        <v>0.1407224156406931</v>
      </c>
      <c r="E79" s="10">
        <v>11</v>
      </c>
      <c r="F79" s="10">
        <v>146</v>
      </c>
      <c r="G79" s="6">
        <v>4.21</v>
      </c>
      <c r="H79" s="14">
        <f t="shared" si="0"/>
        <v>-4.92</v>
      </c>
      <c r="I79" s="23"/>
      <c r="J79" s="7"/>
      <c r="K79" s="7"/>
      <c r="L79" s="24"/>
      <c r="M79" s="11" t="s">
        <v>176</v>
      </c>
    </row>
    <row r="80" spans="1:13">
      <c r="A80" s="82" t="s">
        <v>177</v>
      </c>
      <c r="B80" s="121">
        <v>-6.1449999999999996</v>
      </c>
      <c r="C80" s="71"/>
      <c r="D80" s="12">
        <v>0.21748916450754371</v>
      </c>
      <c r="E80" s="10">
        <v>5</v>
      </c>
      <c r="F80" s="10">
        <v>92.333333333333329</v>
      </c>
      <c r="G80" s="6">
        <v>4.21</v>
      </c>
      <c r="H80" s="14">
        <f t="shared" si="0"/>
        <v>-4.3833333333333329</v>
      </c>
      <c r="I80" s="23"/>
      <c r="J80" s="7"/>
      <c r="K80" s="7"/>
      <c r="L80" s="24"/>
      <c r="M80" s="11" t="s">
        <v>178</v>
      </c>
    </row>
    <row r="81" spans="1:13">
      <c r="A81" s="81" t="s">
        <v>179</v>
      </c>
      <c r="B81" s="121">
        <v>-3.8814799999999998</v>
      </c>
      <c r="C81" s="71"/>
      <c r="D81" s="12">
        <v>0.20531013145176411</v>
      </c>
      <c r="E81" s="10">
        <v>8</v>
      </c>
      <c r="F81" s="10">
        <v>256</v>
      </c>
      <c r="G81" s="6">
        <v>2.71</v>
      </c>
      <c r="H81" s="14">
        <f t="shared" si="0"/>
        <v>-4.5199999999999996</v>
      </c>
      <c r="I81" s="23"/>
      <c r="J81" s="7"/>
      <c r="K81" s="7"/>
      <c r="L81" s="24"/>
      <c r="M81" s="11" t="s">
        <v>180</v>
      </c>
    </row>
    <row r="82" spans="1:13">
      <c r="A82" s="81" t="s">
        <v>181</v>
      </c>
      <c r="B82" s="121">
        <v>-5.1945439999999996</v>
      </c>
      <c r="C82" s="71"/>
      <c r="D82" s="12">
        <v>0.21176785142223761</v>
      </c>
      <c r="E82" s="10">
        <v>3</v>
      </c>
      <c r="F82" s="10">
        <v>80</v>
      </c>
      <c r="G82" s="6">
        <v>3.37</v>
      </c>
      <c r="H82" s="14">
        <f t="shared" si="0"/>
        <v>-3.42</v>
      </c>
      <c r="I82" s="23"/>
      <c r="J82" s="7"/>
      <c r="K82" s="7"/>
      <c r="L82" s="24"/>
      <c r="M82" s="11" t="s">
        <v>182</v>
      </c>
    </row>
    <row r="83" spans="1:13">
      <c r="A83" s="81" t="s">
        <v>183</v>
      </c>
      <c r="B83" s="121">
        <v>-1.7208000000000001</v>
      </c>
      <c r="C83" s="71"/>
      <c r="D83" s="12">
        <v>0.16217657762412213</v>
      </c>
      <c r="E83" s="10">
        <v>17</v>
      </c>
      <c r="F83" s="10">
        <v>153</v>
      </c>
      <c r="G83" s="6">
        <v>3.04</v>
      </c>
      <c r="H83" s="14">
        <f t="shared" si="0"/>
        <v>-3.8200000000000003</v>
      </c>
      <c r="I83" s="23"/>
      <c r="J83" s="7"/>
      <c r="K83" s="7"/>
      <c r="L83" s="24"/>
      <c r="M83" s="11" t="s">
        <v>184</v>
      </c>
    </row>
    <row r="84" spans="1:13">
      <c r="A84" s="82" t="s">
        <v>185</v>
      </c>
      <c r="B84" s="121">
        <v>-2.206099</v>
      </c>
      <c r="C84" s="71"/>
      <c r="D84" s="12">
        <v>0.20448827496623867</v>
      </c>
      <c r="E84" s="10">
        <v>3</v>
      </c>
      <c r="F84" s="10">
        <v>349.84</v>
      </c>
      <c r="G84" s="6">
        <v>4.75</v>
      </c>
      <c r="H84" s="14">
        <f t="shared" si="0"/>
        <v>-7.4984000000000002</v>
      </c>
      <c r="I84" s="23"/>
      <c r="J84" s="7"/>
      <c r="K84" s="7"/>
      <c r="L84" s="24"/>
      <c r="M84" s="11" t="s">
        <v>186</v>
      </c>
    </row>
    <row r="85" spans="1:13">
      <c r="A85" s="82" t="s">
        <v>187</v>
      </c>
      <c r="B85" s="121">
        <v>0.54466400000000004</v>
      </c>
      <c r="C85" s="71"/>
      <c r="D85" s="12">
        <v>0.14358294446577732</v>
      </c>
      <c r="E85" s="10">
        <v>6</v>
      </c>
      <c r="F85" s="10">
        <v>248</v>
      </c>
      <c r="G85" s="6">
        <v>2.65</v>
      </c>
      <c r="H85" s="14">
        <f t="shared" si="0"/>
        <v>-4.38</v>
      </c>
      <c r="I85" s="23"/>
      <c r="J85" s="7"/>
      <c r="K85" s="7"/>
      <c r="L85" s="24"/>
      <c r="M85" s="11" t="s">
        <v>188</v>
      </c>
    </row>
    <row r="86" spans="1:13">
      <c r="A86" s="82" t="s">
        <v>189</v>
      </c>
      <c r="B86" s="121">
        <v>-6.7682300000000009</v>
      </c>
      <c r="C86" s="71"/>
      <c r="D86" s="12">
        <v>0.15384096988991314</v>
      </c>
      <c r="E86" s="10">
        <v>11</v>
      </c>
      <c r="F86" s="10">
        <v>173</v>
      </c>
      <c r="G86" s="6">
        <v>2.1800000000000002</v>
      </c>
      <c r="H86" s="14">
        <f t="shared" si="0"/>
        <v>-3.16</v>
      </c>
      <c r="I86" s="23"/>
      <c r="J86" s="7"/>
      <c r="K86" s="7"/>
      <c r="L86" s="24"/>
      <c r="M86" s="11" t="s">
        <v>190</v>
      </c>
    </row>
    <row r="87" spans="1:13">
      <c r="A87" s="82" t="s">
        <v>191</v>
      </c>
      <c r="B87" s="121">
        <v>-3.63483</v>
      </c>
      <c r="C87" s="71"/>
      <c r="D87" s="12">
        <v>0.14176528631434945</v>
      </c>
      <c r="E87" s="10">
        <v>5</v>
      </c>
      <c r="F87" s="10">
        <v>143.75</v>
      </c>
      <c r="G87" s="6">
        <v>2.76</v>
      </c>
      <c r="H87" s="14">
        <f t="shared" ref="H87:H122" si="1">0.5-G87-0.01*(F87-25)</f>
        <v>-3.4474999999999998</v>
      </c>
      <c r="I87" s="23"/>
      <c r="J87" s="7"/>
      <c r="K87" s="7"/>
      <c r="L87" s="24"/>
      <c r="M87" s="11" t="s">
        <v>192</v>
      </c>
    </row>
    <row r="88" spans="1:13">
      <c r="A88" s="82" t="s">
        <v>193</v>
      </c>
      <c r="B88" s="121">
        <v>-5.5903799999999997</v>
      </c>
      <c r="C88" s="71"/>
      <c r="D88" s="12">
        <v>0.16213928191469343</v>
      </c>
      <c r="E88" s="10">
        <v>19</v>
      </c>
      <c r="F88" s="10">
        <v>220.5</v>
      </c>
      <c r="G88" s="6">
        <v>1.27</v>
      </c>
      <c r="H88" s="14">
        <f t="shared" si="1"/>
        <v>-2.7250000000000001</v>
      </c>
      <c r="I88" s="23"/>
      <c r="J88" s="7"/>
      <c r="K88" s="7"/>
      <c r="L88" s="24"/>
      <c r="M88" s="11" t="s">
        <v>194</v>
      </c>
    </row>
    <row r="89" spans="1:13">
      <c r="A89" s="82" t="s">
        <v>195</v>
      </c>
      <c r="B89" s="121">
        <v>-5.8706719999999999</v>
      </c>
      <c r="C89" s="71"/>
      <c r="D89" s="12">
        <v>0.16127920198135692</v>
      </c>
      <c r="E89" s="10">
        <v>5</v>
      </c>
      <c r="F89" s="10">
        <v>214</v>
      </c>
      <c r="G89" s="6">
        <v>3.83</v>
      </c>
      <c r="H89" s="14">
        <f t="shared" si="1"/>
        <v>-5.2200000000000006</v>
      </c>
      <c r="I89" s="23"/>
      <c r="J89" s="7"/>
      <c r="K89" s="7"/>
      <c r="L89" s="24"/>
      <c r="M89" s="11" t="s">
        <v>196</v>
      </c>
    </row>
    <row r="90" spans="1:13">
      <c r="A90" s="83" t="s">
        <v>197</v>
      </c>
      <c r="B90" s="121">
        <v>-4.8995299999999995</v>
      </c>
      <c r="C90" s="71"/>
      <c r="D90" s="12">
        <v>0.13869006117838048</v>
      </c>
      <c r="E90" s="10">
        <v>3</v>
      </c>
      <c r="F90" s="10">
        <v>176</v>
      </c>
      <c r="G90" s="6">
        <v>2.88</v>
      </c>
      <c r="H90" s="14">
        <f t="shared" si="1"/>
        <v>-3.8899999999999997</v>
      </c>
      <c r="I90" s="23"/>
      <c r="J90" s="7"/>
      <c r="K90" s="7"/>
      <c r="L90" s="24"/>
      <c r="M90" s="11" t="s">
        <v>198</v>
      </c>
    </row>
    <row r="91" spans="1:13">
      <c r="A91" s="85" t="s">
        <v>199</v>
      </c>
      <c r="B91" s="122">
        <v>-3.7605900000000005</v>
      </c>
      <c r="C91" s="72"/>
      <c r="D91" s="4">
        <v>0.1259834086188602</v>
      </c>
      <c r="E91" s="2">
        <v>14</v>
      </c>
      <c r="F91" s="10">
        <v>253.5</v>
      </c>
      <c r="G91" s="6">
        <v>1.54</v>
      </c>
      <c r="H91" s="14">
        <f t="shared" si="1"/>
        <v>-3.3250000000000002</v>
      </c>
      <c r="I91" s="23"/>
      <c r="J91" s="7"/>
      <c r="K91" s="7"/>
      <c r="L91" s="24"/>
      <c r="M91" s="11" t="s">
        <v>200</v>
      </c>
    </row>
    <row r="92" spans="1:13">
      <c r="A92" s="82" t="s">
        <v>201</v>
      </c>
      <c r="B92" s="121">
        <v>-6.0256239999999996</v>
      </c>
      <c r="C92" s="71"/>
      <c r="D92" s="12">
        <v>0.16504944177542516</v>
      </c>
      <c r="E92" s="10">
        <v>5</v>
      </c>
      <c r="F92" s="10">
        <v>205.50000000000003</v>
      </c>
      <c r="G92" s="6">
        <v>2.4500000000000002</v>
      </c>
      <c r="H92" s="14">
        <f t="shared" si="1"/>
        <v>-3.7550000000000008</v>
      </c>
      <c r="I92" s="23"/>
      <c r="J92" s="7"/>
      <c r="K92" s="7"/>
      <c r="L92" s="24"/>
      <c r="M92" s="11" t="s">
        <v>202</v>
      </c>
    </row>
    <row r="93" spans="1:13">
      <c r="A93" s="83" t="s">
        <v>203</v>
      </c>
      <c r="B93" s="121">
        <v>-4.008280000000001</v>
      </c>
      <c r="C93" s="71"/>
      <c r="D93" s="12">
        <v>0.19426266518058349</v>
      </c>
      <c r="E93" s="10">
        <v>3</v>
      </c>
      <c r="F93" s="10">
        <v>96</v>
      </c>
      <c r="G93" s="6">
        <v>3.49</v>
      </c>
      <c r="H93" s="14">
        <f t="shared" si="1"/>
        <v>-3.7</v>
      </c>
      <c r="I93" s="23"/>
      <c r="J93" s="7"/>
      <c r="K93" s="7"/>
      <c r="L93" s="24"/>
      <c r="M93" s="11" t="s">
        <v>204</v>
      </c>
    </row>
    <row r="94" spans="1:13">
      <c r="A94" s="82" t="s">
        <v>205</v>
      </c>
      <c r="B94" s="121">
        <v>-5.8520199999999996</v>
      </c>
      <c r="C94" s="71"/>
      <c r="D94" s="12">
        <v>0.18894337149737056</v>
      </c>
      <c r="E94" s="10">
        <v>12</v>
      </c>
      <c r="F94" s="10">
        <v>147.25</v>
      </c>
      <c r="G94" s="6">
        <v>3.86</v>
      </c>
      <c r="H94" s="14">
        <f t="shared" si="1"/>
        <v>-4.5824999999999996</v>
      </c>
      <c r="I94" s="23"/>
      <c r="J94" s="7"/>
      <c r="K94" s="7"/>
      <c r="L94" s="24"/>
      <c r="M94" s="11" t="s">
        <v>206</v>
      </c>
    </row>
    <row r="95" spans="1:13">
      <c r="A95" s="82" t="s">
        <v>207</v>
      </c>
      <c r="B95" s="121">
        <v>-1.5018600000000002</v>
      </c>
      <c r="C95" s="71"/>
      <c r="D95" s="12">
        <v>0.17391407185160324</v>
      </c>
      <c r="E95" s="10">
        <v>6</v>
      </c>
      <c r="F95" s="10">
        <v>97</v>
      </c>
      <c r="G95" s="6">
        <v>3.94</v>
      </c>
      <c r="H95" s="14">
        <f t="shared" si="1"/>
        <v>-4.16</v>
      </c>
      <c r="I95" s="23"/>
      <c r="J95" s="7"/>
      <c r="K95" s="7"/>
      <c r="L95" s="24"/>
      <c r="M95" s="11" t="s">
        <v>208</v>
      </c>
    </row>
    <row r="96" spans="1:13">
      <c r="A96" s="81" t="s">
        <v>209</v>
      </c>
      <c r="B96" s="121">
        <v>-2.1109360000000001</v>
      </c>
      <c r="C96" s="71"/>
      <c r="D96" s="12">
        <v>0.13764369691033657</v>
      </c>
      <c r="E96" s="10">
        <v>10</v>
      </c>
      <c r="F96" s="10">
        <v>134.5</v>
      </c>
      <c r="G96" s="6">
        <v>2.04</v>
      </c>
      <c r="H96" s="14">
        <f t="shared" si="1"/>
        <v>-2.6349999999999998</v>
      </c>
      <c r="I96" s="23"/>
      <c r="J96" s="7"/>
      <c r="K96" s="7"/>
      <c r="L96" s="24"/>
      <c r="M96" s="11" t="s">
        <v>210</v>
      </c>
    </row>
    <row r="97" spans="1:13">
      <c r="A97" s="82" t="s">
        <v>211</v>
      </c>
      <c r="B97" s="121">
        <v>-0.83486400000000005</v>
      </c>
      <c r="C97" s="71"/>
      <c r="D97" s="12">
        <v>0.16245746888591447</v>
      </c>
      <c r="E97" s="10">
        <v>7</v>
      </c>
      <c r="F97" s="10">
        <v>139</v>
      </c>
      <c r="G97" s="6">
        <v>2.66</v>
      </c>
      <c r="H97" s="14">
        <f t="shared" si="1"/>
        <v>-3.3000000000000003</v>
      </c>
      <c r="I97" s="23"/>
      <c r="J97" s="7"/>
      <c r="K97" s="7"/>
      <c r="L97" s="24"/>
      <c r="M97" s="11" t="s">
        <v>212</v>
      </c>
    </row>
    <row r="98" spans="1:13">
      <c r="A98" s="82" t="s">
        <v>213</v>
      </c>
      <c r="B98" s="121">
        <v>-5.3832000000000004</v>
      </c>
      <c r="C98" s="71"/>
      <c r="D98" s="12">
        <v>0.15322122505052199</v>
      </c>
      <c r="E98" s="10">
        <v>9</v>
      </c>
      <c r="F98" s="10">
        <v>170</v>
      </c>
      <c r="G98" s="6">
        <v>1.91</v>
      </c>
      <c r="H98" s="14">
        <f t="shared" si="1"/>
        <v>-2.86</v>
      </c>
      <c r="I98" s="23"/>
      <c r="J98" s="7"/>
      <c r="K98" s="7"/>
      <c r="L98" s="24"/>
      <c r="M98" s="11" t="s">
        <v>214</v>
      </c>
    </row>
    <row r="99" spans="1:13">
      <c r="A99" s="81" t="s">
        <v>215</v>
      </c>
      <c r="B99" s="121">
        <v>-6.8263999999999996</v>
      </c>
      <c r="C99" s="71"/>
      <c r="D99" s="12">
        <v>0.15273607916541068</v>
      </c>
      <c r="E99" s="10">
        <v>10</v>
      </c>
      <c r="F99" s="10">
        <v>326</v>
      </c>
      <c r="G99" s="6">
        <v>2.44</v>
      </c>
      <c r="H99" s="14">
        <f t="shared" si="1"/>
        <v>-4.95</v>
      </c>
      <c r="I99" s="23"/>
      <c r="J99" s="7"/>
      <c r="K99" s="7"/>
      <c r="L99" s="24"/>
      <c r="M99" s="11" t="s">
        <v>216</v>
      </c>
    </row>
    <row r="100" spans="1:13">
      <c r="A100" s="82" t="s">
        <v>217</v>
      </c>
      <c r="B100" s="121">
        <v>-3.6921099999999996</v>
      </c>
      <c r="C100" s="71"/>
      <c r="D100" s="12">
        <v>0.18404701512102448</v>
      </c>
      <c r="E100" s="10">
        <v>5</v>
      </c>
      <c r="F100" s="10">
        <v>232.50000000000003</v>
      </c>
      <c r="G100" s="6">
        <v>1.8</v>
      </c>
      <c r="H100" s="14">
        <f t="shared" si="1"/>
        <v>-3.375</v>
      </c>
      <c r="I100" s="23"/>
      <c r="J100" s="7"/>
      <c r="K100" s="7"/>
      <c r="L100" s="24"/>
      <c r="M100" s="11" t="s">
        <v>218</v>
      </c>
    </row>
    <row r="101" spans="1:13">
      <c r="A101" s="82" t="s">
        <v>219</v>
      </c>
      <c r="B101" s="121">
        <v>-2.3335439999999998</v>
      </c>
      <c r="C101" s="71"/>
      <c r="D101" s="12">
        <v>0.13604063752604376</v>
      </c>
      <c r="E101" s="10">
        <v>4</v>
      </c>
      <c r="F101" s="10">
        <v>281.5</v>
      </c>
      <c r="G101" s="6">
        <v>0.54</v>
      </c>
      <c r="H101" s="14">
        <f t="shared" si="1"/>
        <v>-2.605</v>
      </c>
      <c r="I101" s="23"/>
      <c r="J101" s="7"/>
      <c r="K101" s="7"/>
      <c r="L101" s="24"/>
      <c r="M101" s="11" t="s">
        <v>220</v>
      </c>
    </row>
    <row r="102" spans="1:13">
      <c r="A102" s="82" t="s">
        <v>221</v>
      </c>
      <c r="B102" s="121">
        <v>-0.8255840000000001</v>
      </c>
      <c r="C102" s="71"/>
      <c r="D102" s="12">
        <v>0.19798964803022484</v>
      </c>
      <c r="E102" s="10">
        <v>4</v>
      </c>
      <c r="F102" s="10">
        <v>197.1</v>
      </c>
      <c r="G102" s="6">
        <v>2.2000000000000002</v>
      </c>
      <c r="H102" s="14">
        <f t="shared" si="1"/>
        <v>-3.4210000000000003</v>
      </c>
      <c r="I102" s="23"/>
      <c r="J102" s="7"/>
      <c r="K102" s="7"/>
      <c r="L102" s="24"/>
      <c r="M102" s="11" t="s">
        <v>222</v>
      </c>
    </row>
    <row r="103" spans="1:13">
      <c r="A103" s="83" t="s">
        <v>223</v>
      </c>
      <c r="B103" s="121">
        <v>-2.9567679999999998</v>
      </c>
      <c r="C103" s="71"/>
      <c r="D103" s="12">
        <v>0.13486720020739137</v>
      </c>
      <c r="E103" s="10">
        <v>4</v>
      </c>
      <c r="F103" s="10">
        <v>33</v>
      </c>
      <c r="G103" s="6">
        <v>4.24</v>
      </c>
      <c r="H103" s="14">
        <f t="shared" si="1"/>
        <v>-3.8200000000000003</v>
      </c>
      <c r="I103" s="23"/>
      <c r="J103" s="7"/>
      <c r="K103" s="7"/>
      <c r="L103" s="24"/>
      <c r="M103" s="11" t="s">
        <v>224</v>
      </c>
    </row>
    <row r="104" spans="1:13">
      <c r="A104" s="82" t="s">
        <v>225</v>
      </c>
      <c r="B104" s="121">
        <v>-6.1449999999999996</v>
      </c>
      <c r="C104" s="71"/>
      <c r="D104" s="12">
        <v>0.18801274760604275</v>
      </c>
      <c r="E104" s="10">
        <v>11</v>
      </c>
      <c r="F104" s="10">
        <v>60</v>
      </c>
      <c r="G104" s="6">
        <v>4.24</v>
      </c>
      <c r="H104" s="14">
        <f t="shared" si="1"/>
        <v>-4.09</v>
      </c>
      <c r="I104" s="23"/>
      <c r="J104" s="7"/>
      <c r="K104" s="7"/>
      <c r="L104" s="24"/>
      <c r="M104" s="11" t="s">
        <v>226</v>
      </c>
    </row>
    <row r="105" spans="1:13">
      <c r="A105" s="82" t="s">
        <v>227</v>
      </c>
      <c r="B105" s="121">
        <v>-6.8263999999999996</v>
      </c>
      <c r="C105" s="71"/>
      <c r="D105" s="12">
        <v>0.1664014074224209</v>
      </c>
      <c r="E105" s="10">
        <v>4</v>
      </c>
      <c r="F105" s="10">
        <v>130.5</v>
      </c>
      <c r="G105" s="6">
        <v>5.22</v>
      </c>
      <c r="H105" s="14">
        <f t="shared" si="1"/>
        <v>-5.7749999999999995</v>
      </c>
      <c r="I105" s="23"/>
      <c r="J105" s="7"/>
      <c r="K105" s="7"/>
      <c r="L105" s="24"/>
      <c r="M105" s="11" t="s">
        <v>228</v>
      </c>
    </row>
    <row r="106" spans="1:13">
      <c r="A106" s="83" t="s">
        <v>103</v>
      </c>
      <c r="B106" s="121">
        <v>4.5312000000000019E-2</v>
      </c>
      <c r="C106" s="71"/>
      <c r="D106" s="12">
        <v>0.17506472136100007</v>
      </c>
      <c r="E106" s="10">
        <v>7</v>
      </c>
      <c r="F106" s="10">
        <v>254</v>
      </c>
      <c r="G106" s="6">
        <v>2.97</v>
      </c>
      <c r="H106" s="14">
        <f t="shared" si="1"/>
        <v>-4.76</v>
      </c>
      <c r="I106" s="23"/>
      <c r="J106" s="7"/>
      <c r="K106" s="7"/>
      <c r="L106" s="24"/>
      <c r="M106" s="11" t="s">
        <v>229</v>
      </c>
    </row>
    <row r="107" spans="1:13">
      <c r="A107" s="83" t="s">
        <v>230</v>
      </c>
      <c r="B107" s="121">
        <v>-10.112387</v>
      </c>
      <c r="C107" s="71"/>
      <c r="D107" s="12">
        <v>0.1605416460069265</v>
      </c>
      <c r="E107" s="10">
        <v>5</v>
      </c>
      <c r="F107" s="10">
        <v>121</v>
      </c>
      <c r="G107" s="6">
        <v>5.91</v>
      </c>
      <c r="H107" s="14">
        <f t="shared" si="1"/>
        <v>-6.37</v>
      </c>
      <c r="I107" s="23"/>
      <c r="J107" s="7"/>
      <c r="K107" s="7"/>
      <c r="L107" s="24"/>
      <c r="M107" s="11" t="s">
        <v>231</v>
      </c>
    </row>
    <row r="108" spans="1:13">
      <c r="A108" s="82" t="s">
        <v>232</v>
      </c>
      <c r="B108" s="121">
        <v>-3.5683699999999998</v>
      </c>
      <c r="C108" s="71"/>
      <c r="D108" s="12">
        <v>0.15756984748208766</v>
      </c>
      <c r="E108" s="10">
        <v>5</v>
      </c>
      <c r="F108" s="10">
        <v>206.99999999999997</v>
      </c>
      <c r="G108" s="6">
        <v>2.56</v>
      </c>
      <c r="H108" s="14">
        <f t="shared" si="1"/>
        <v>-3.88</v>
      </c>
      <c r="I108" s="23"/>
      <c r="J108" s="7"/>
      <c r="K108" s="7"/>
      <c r="L108" s="24"/>
      <c r="M108" s="11" t="s">
        <v>233</v>
      </c>
    </row>
    <row r="109" spans="1:13">
      <c r="A109" s="81" t="s">
        <v>234</v>
      </c>
      <c r="B109" s="121">
        <v>-6.0844799999999992</v>
      </c>
      <c r="C109" s="71"/>
      <c r="D109" s="12">
        <v>0.16160362353179636</v>
      </c>
      <c r="E109" s="10">
        <v>6</v>
      </c>
      <c r="F109" s="10">
        <v>134.5</v>
      </c>
      <c r="G109" s="6">
        <v>4.8499999999999996</v>
      </c>
      <c r="H109" s="14">
        <f t="shared" si="1"/>
        <v>-5.4449999999999994</v>
      </c>
      <c r="I109" s="23"/>
      <c r="J109" s="7"/>
      <c r="K109" s="7"/>
      <c r="L109" s="24"/>
      <c r="M109" s="11" t="s">
        <v>235</v>
      </c>
    </row>
    <row r="110" spans="1:13">
      <c r="A110" s="81" t="s">
        <v>236</v>
      </c>
      <c r="B110" s="121">
        <v>-6.7682300000000009</v>
      </c>
      <c r="C110" s="71"/>
      <c r="D110" s="12">
        <v>0.18685765827673947</v>
      </c>
      <c r="E110" s="10">
        <v>6</v>
      </c>
      <c r="F110" s="10">
        <v>275</v>
      </c>
      <c r="G110" s="6">
        <v>2.09</v>
      </c>
      <c r="H110" s="14">
        <f t="shared" si="1"/>
        <v>-4.09</v>
      </c>
      <c r="I110" s="23"/>
      <c r="J110" s="7"/>
      <c r="K110" s="7"/>
      <c r="L110" s="24"/>
      <c r="M110" s="11" t="s">
        <v>237</v>
      </c>
    </row>
    <row r="111" spans="1:13">
      <c r="A111" s="82" t="s">
        <v>238</v>
      </c>
      <c r="B111" s="121">
        <v>-5.3777099999999995</v>
      </c>
      <c r="C111" s="71"/>
      <c r="D111" s="12">
        <v>0.13950112944748669</v>
      </c>
      <c r="E111" s="10">
        <v>9</v>
      </c>
      <c r="F111" s="10">
        <v>220.00000000000003</v>
      </c>
      <c r="G111" s="6">
        <v>1.8</v>
      </c>
      <c r="H111" s="14">
        <f t="shared" si="1"/>
        <v>-3.2500000000000004</v>
      </c>
      <c r="I111" s="23"/>
      <c r="J111" s="7"/>
      <c r="K111" s="7"/>
      <c r="L111" s="24"/>
      <c r="M111" s="11" t="s">
        <v>239</v>
      </c>
    </row>
    <row r="112" spans="1:13">
      <c r="A112" s="85" t="s">
        <v>240</v>
      </c>
      <c r="B112" s="122">
        <v>-2.3326319999999998</v>
      </c>
      <c r="C112" s="72"/>
      <c r="D112" s="4">
        <v>0.22014005046870977</v>
      </c>
      <c r="E112" s="2">
        <v>9</v>
      </c>
      <c r="F112" s="10">
        <v>202</v>
      </c>
      <c r="G112" s="6">
        <v>1.53</v>
      </c>
      <c r="H112" s="14">
        <f t="shared" si="1"/>
        <v>-2.8</v>
      </c>
      <c r="I112" s="23"/>
      <c r="J112" s="7"/>
      <c r="K112" s="7"/>
      <c r="L112" s="24"/>
      <c r="M112" s="11" t="s">
        <v>241</v>
      </c>
    </row>
    <row r="113" spans="1:28">
      <c r="A113" s="82" t="s">
        <v>242</v>
      </c>
      <c r="B113" s="121">
        <v>-4.7843200000000001</v>
      </c>
      <c r="C113" s="71"/>
      <c r="D113" s="12">
        <v>0.14014083879485537</v>
      </c>
      <c r="E113" s="10">
        <v>3</v>
      </c>
      <c r="F113" s="10">
        <v>243.00000000000003</v>
      </c>
      <c r="G113" s="6">
        <v>1.48</v>
      </c>
      <c r="H113" s="14">
        <f t="shared" si="1"/>
        <v>-3.16</v>
      </c>
      <c r="I113" s="23"/>
      <c r="J113" s="7"/>
      <c r="K113" s="7"/>
      <c r="L113" s="24"/>
      <c r="M113" s="11" t="s">
        <v>243</v>
      </c>
    </row>
    <row r="114" spans="1:28">
      <c r="A114" s="83" t="s">
        <v>244</v>
      </c>
      <c r="B114" s="121">
        <v>-4.7843200000000001</v>
      </c>
      <c r="C114" s="71"/>
      <c r="D114" s="12">
        <v>0.13726989684757951</v>
      </c>
      <c r="E114" s="10">
        <v>3</v>
      </c>
      <c r="F114" s="10">
        <v>191</v>
      </c>
      <c r="G114" s="6">
        <v>1.67</v>
      </c>
      <c r="H114" s="14">
        <f t="shared" si="1"/>
        <v>-2.83</v>
      </c>
      <c r="I114" s="23"/>
      <c r="J114" s="7"/>
      <c r="K114" s="7"/>
      <c r="L114" s="24"/>
      <c r="M114" s="11" t="s">
        <v>245</v>
      </c>
    </row>
    <row r="115" spans="1:28">
      <c r="A115" s="82" t="s">
        <v>246</v>
      </c>
      <c r="B115" s="121">
        <v>-3.0572799999999996</v>
      </c>
      <c r="C115" s="71"/>
      <c r="D115" s="12">
        <v>0.21357402153711522</v>
      </c>
      <c r="E115" s="10">
        <v>7</v>
      </c>
      <c r="F115" s="10">
        <v>183.5</v>
      </c>
      <c r="G115" s="6">
        <v>4.37</v>
      </c>
      <c r="H115" s="14">
        <f t="shared" si="1"/>
        <v>-5.4550000000000001</v>
      </c>
      <c r="I115" s="23"/>
      <c r="J115" s="7"/>
      <c r="K115" s="7"/>
      <c r="L115" s="24"/>
      <c r="M115" s="11" t="s">
        <v>247</v>
      </c>
    </row>
    <row r="116" spans="1:28">
      <c r="A116" s="82" t="s">
        <v>248</v>
      </c>
      <c r="B116" s="121">
        <v>1.8623999999999974E-2</v>
      </c>
      <c r="C116" s="71"/>
      <c r="D116" s="12">
        <v>0.10564411177747912</v>
      </c>
      <c r="E116" s="10">
        <v>3</v>
      </c>
      <c r="F116" s="10">
        <v>149</v>
      </c>
      <c r="G116" s="6">
        <v>2.62</v>
      </c>
      <c r="H116" s="14">
        <f t="shared" si="1"/>
        <v>-3.3600000000000003</v>
      </c>
      <c r="I116" s="23"/>
      <c r="J116" s="7"/>
      <c r="K116" s="7"/>
      <c r="L116" s="24"/>
      <c r="M116" s="11" t="s">
        <v>249</v>
      </c>
    </row>
    <row r="117" spans="1:28">
      <c r="A117" s="81" t="s">
        <v>250</v>
      </c>
      <c r="B117" s="121">
        <v>-3.4178099999999993</v>
      </c>
      <c r="C117" s="71"/>
      <c r="D117" s="12">
        <v>0.14623917640453388</v>
      </c>
      <c r="E117" s="10">
        <v>8</v>
      </c>
      <c r="F117" s="10">
        <v>165</v>
      </c>
      <c r="G117" s="6">
        <v>-0.37</v>
      </c>
      <c r="H117" s="14">
        <f t="shared" si="1"/>
        <v>-0.53000000000000014</v>
      </c>
      <c r="I117" s="23"/>
      <c r="J117" s="7"/>
      <c r="K117" s="7"/>
      <c r="L117" s="24"/>
      <c r="M117" s="11" t="s">
        <v>251</v>
      </c>
    </row>
    <row r="118" spans="1:28">
      <c r="A118" s="82" t="s">
        <v>252</v>
      </c>
      <c r="B118" s="121">
        <v>-5.0237040000000004</v>
      </c>
      <c r="C118" s="71"/>
      <c r="D118" s="12">
        <v>0.16291639539032501</v>
      </c>
      <c r="E118" s="10">
        <v>10</v>
      </c>
      <c r="F118" s="10">
        <v>225</v>
      </c>
      <c r="G118" s="6">
        <v>0.81</v>
      </c>
      <c r="H118" s="14">
        <f t="shared" si="1"/>
        <v>-2.31</v>
      </c>
      <c r="I118" s="23"/>
      <c r="J118" s="7"/>
      <c r="K118" s="7"/>
      <c r="L118" s="24"/>
      <c r="M118" s="11" t="s">
        <v>253</v>
      </c>
    </row>
    <row r="119" spans="1:28">
      <c r="A119" s="82" t="s">
        <v>254</v>
      </c>
      <c r="B119" s="121">
        <v>-6.8263999999999996</v>
      </c>
      <c r="C119" s="71"/>
      <c r="D119" s="12">
        <v>0.21166647357477791</v>
      </c>
      <c r="E119" s="10">
        <v>5</v>
      </c>
      <c r="F119" s="10">
        <v>270</v>
      </c>
      <c r="G119" s="6">
        <v>0.62</v>
      </c>
      <c r="H119" s="14">
        <f t="shared" si="1"/>
        <v>-2.5700000000000003</v>
      </c>
      <c r="I119" s="23"/>
      <c r="J119" s="7"/>
      <c r="K119" s="7"/>
      <c r="L119" s="24"/>
      <c r="M119" s="11" t="s">
        <v>255</v>
      </c>
    </row>
    <row r="120" spans="1:28">
      <c r="A120" s="81" t="s">
        <v>256</v>
      </c>
      <c r="B120" s="121">
        <v>-4.3578960000000002</v>
      </c>
      <c r="C120" s="71"/>
      <c r="D120" s="12">
        <v>0.14175650298978676</v>
      </c>
      <c r="E120" s="10">
        <v>9</v>
      </c>
      <c r="F120" s="10">
        <v>312.66666666666669</v>
      </c>
      <c r="G120" s="6">
        <v>0.83</v>
      </c>
      <c r="H120" s="14">
        <f t="shared" si="1"/>
        <v>-3.206666666666667</v>
      </c>
      <c r="I120" s="23"/>
      <c r="J120" s="7"/>
      <c r="K120" s="7"/>
      <c r="L120" s="24"/>
      <c r="M120" s="11" t="s">
        <v>257</v>
      </c>
    </row>
    <row r="121" spans="1:28">
      <c r="A121" s="82" t="s">
        <v>258</v>
      </c>
      <c r="B121" s="121">
        <v>-3.9257499999999999</v>
      </c>
      <c r="C121" s="71"/>
      <c r="D121" s="12">
        <v>0.2034688635346244</v>
      </c>
      <c r="E121" s="10">
        <v>11</v>
      </c>
      <c r="F121" s="10">
        <v>161</v>
      </c>
      <c r="G121" s="6">
        <v>3.61</v>
      </c>
      <c r="H121" s="14">
        <f t="shared" si="1"/>
        <v>-4.47</v>
      </c>
      <c r="I121" s="23"/>
      <c r="J121" s="7"/>
      <c r="K121" s="7"/>
      <c r="L121" s="24"/>
      <c r="M121" s="11" t="s">
        <v>259</v>
      </c>
    </row>
    <row r="122" spans="1:28">
      <c r="A122" s="81" t="s">
        <v>109</v>
      </c>
      <c r="B122" s="121">
        <v>0.10211199999999998</v>
      </c>
      <c r="C122" s="71"/>
      <c r="D122" s="12">
        <v>0.20579636821699754</v>
      </c>
      <c r="E122" s="10">
        <v>3</v>
      </c>
      <c r="F122" s="10">
        <v>300</v>
      </c>
      <c r="G122" s="6">
        <v>-1.06</v>
      </c>
      <c r="H122" s="14">
        <f t="shared" si="1"/>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s="120">
        <v>-1.6267520000000002</v>
      </c>
      <c r="C129" s="73" t="s">
        <v>30</v>
      </c>
      <c r="D129" s="12">
        <v>0.50033555401430185</v>
      </c>
      <c r="E129" s="10">
        <v>3</v>
      </c>
      <c r="F129" s="10">
        <v>180</v>
      </c>
      <c r="G129" s="1">
        <v>1.91</v>
      </c>
      <c r="H129" s="14">
        <f t="shared" ref="H129:H160" si="2">0.5-G129-0.01*(F129-25)</f>
        <v>-2.96</v>
      </c>
      <c r="I129" s="53" t="s">
        <v>31</v>
      </c>
      <c r="J129" s="54"/>
      <c r="K129" s="14"/>
      <c r="L129" s="14"/>
      <c r="M129" s="3" t="s">
        <v>269</v>
      </c>
    </row>
    <row r="130" spans="1:13">
      <c r="A130" s="82" t="s">
        <v>270</v>
      </c>
      <c r="B130" s="29">
        <v>-4.338000000000001</v>
      </c>
      <c r="C130" s="73" t="s">
        <v>36</v>
      </c>
      <c r="D130" s="12">
        <v>0.5</v>
      </c>
      <c r="E130" s="6">
        <v>5</v>
      </c>
      <c r="F130" s="10">
        <v>156</v>
      </c>
      <c r="G130" s="1">
        <v>6.94</v>
      </c>
      <c r="H130" s="14">
        <f t="shared" si="2"/>
        <v>-7.75</v>
      </c>
      <c r="I130" s="53" t="s">
        <v>37</v>
      </c>
      <c r="J130" s="54"/>
      <c r="K130" s="14"/>
      <c r="L130" s="14"/>
      <c r="M130" s="3" t="s">
        <v>271</v>
      </c>
    </row>
    <row r="131" spans="1:13">
      <c r="A131" s="83" t="s">
        <v>272</v>
      </c>
      <c r="B131" s="121">
        <v>-5.0423299999999998</v>
      </c>
      <c r="C131" s="73" t="s">
        <v>41</v>
      </c>
      <c r="D131" s="12">
        <v>0.6530957900260097</v>
      </c>
      <c r="E131" s="10">
        <v>3</v>
      </c>
      <c r="F131" s="10">
        <v>208</v>
      </c>
      <c r="G131" s="1">
        <v>5.18</v>
      </c>
      <c r="H131" s="14">
        <f t="shared" si="2"/>
        <v>-6.51</v>
      </c>
      <c r="I131" s="53" t="s">
        <v>42</v>
      </c>
      <c r="J131" s="54"/>
      <c r="K131" s="14"/>
      <c r="L131" s="14"/>
      <c r="M131" s="3" t="s">
        <v>273</v>
      </c>
    </row>
    <row r="132" spans="1:13">
      <c r="A132" s="82" t="s">
        <v>274</v>
      </c>
      <c r="B132" s="121">
        <v>-4.9388700000000005</v>
      </c>
      <c r="C132" s="73" t="s">
        <v>46</v>
      </c>
      <c r="D132" s="12">
        <v>0.59285217963150294</v>
      </c>
      <c r="E132" s="10">
        <v>3</v>
      </c>
      <c r="F132" s="10">
        <v>100</v>
      </c>
      <c r="G132" s="1">
        <v>2.37</v>
      </c>
      <c r="H132" s="14">
        <f t="shared" si="2"/>
        <v>-2.62</v>
      </c>
      <c r="I132" s="15" t="s">
        <v>47</v>
      </c>
      <c r="J132" s="29" t="s">
        <v>374</v>
      </c>
      <c r="K132" s="14"/>
      <c r="L132" s="14"/>
      <c r="M132" s="3" t="s">
        <v>275</v>
      </c>
    </row>
    <row r="133" spans="1:13">
      <c r="A133" s="82" t="s">
        <v>276</v>
      </c>
      <c r="B133" s="121">
        <v>-9.2663599999999988</v>
      </c>
      <c r="C133" s="73" t="s">
        <v>51</v>
      </c>
      <c r="D133" s="12">
        <v>0.51067901383936642</v>
      </c>
      <c r="E133" s="10">
        <v>5</v>
      </c>
      <c r="F133" s="10">
        <v>217</v>
      </c>
      <c r="G133" s="1">
        <v>3.19</v>
      </c>
      <c r="H133" s="14">
        <f t="shared" si="2"/>
        <v>-4.6099999999999994</v>
      </c>
      <c r="I133" s="15" t="s">
        <v>52</v>
      </c>
      <c r="J133" s="29"/>
      <c r="K133" s="14"/>
      <c r="L133" s="14"/>
      <c r="M133" s="3" t="s">
        <v>277</v>
      </c>
    </row>
    <row r="134" spans="1:13">
      <c r="A134" s="82" t="s">
        <v>278</v>
      </c>
      <c r="B134" s="121">
        <v>-5.6806900000000002</v>
      </c>
      <c r="C134" s="71"/>
      <c r="D134" s="12">
        <v>0.83065522865171437</v>
      </c>
      <c r="E134" s="10">
        <v>3</v>
      </c>
      <c r="F134" s="10">
        <v>209.50000000000003</v>
      </c>
      <c r="G134" s="1">
        <v>4.41</v>
      </c>
      <c r="H134" s="14">
        <f t="shared" si="2"/>
        <v>-5.7550000000000008</v>
      </c>
      <c r="I134" s="15" t="s">
        <v>56</v>
      </c>
      <c r="J134" s="29"/>
      <c r="K134" s="14"/>
      <c r="L134" s="14"/>
      <c r="M134" s="3" t="s">
        <v>279</v>
      </c>
    </row>
    <row r="135" spans="1:13">
      <c r="A135" s="82" t="s">
        <v>280</v>
      </c>
      <c r="B135" s="121">
        <v>-3.9257499999999999</v>
      </c>
      <c r="C135" s="71"/>
      <c r="D135" s="12">
        <v>0.51097181417141646</v>
      </c>
      <c r="E135" s="10">
        <v>6</v>
      </c>
      <c r="F135" s="10">
        <v>97.5</v>
      </c>
      <c r="G135" s="1">
        <v>5.19</v>
      </c>
      <c r="H135" s="14">
        <f t="shared" si="2"/>
        <v>-5.415</v>
      </c>
      <c r="I135" s="15" t="s">
        <v>60</v>
      </c>
      <c r="J135" s="31"/>
      <c r="K135" s="14"/>
      <c r="L135" s="14"/>
      <c r="M135" s="3" t="s">
        <v>281</v>
      </c>
    </row>
    <row r="136" spans="1:13">
      <c r="A136" s="81" t="s">
        <v>282</v>
      </c>
      <c r="B136" s="121">
        <v>-5.50312</v>
      </c>
      <c r="C136" s="71"/>
      <c r="D136" s="12">
        <v>0.92735432696895004</v>
      </c>
      <c r="E136" s="10">
        <v>5</v>
      </c>
      <c r="F136" s="10">
        <v>211</v>
      </c>
      <c r="G136" s="1">
        <v>7.49</v>
      </c>
      <c r="H136" s="14">
        <f t="shared" si="2"/>
        <v>-8.85</v>
      </c>
      <c r="I136" s="30" t="s">
        <v>64</v>
      </c>
      <c r="J136" s="32"/>
      <c r="K136" s="33"/>
      <c r="L136" s="34"/>
      <c r="M136" s="3" t="s">
        <v>283</v>
      </c>
    </row>
    <row r="137" spans="1:13">
      <c r="A137" s="82" t="s">
        <v>112</v>
      </c>
      <c r="B137" s="121">
        <v>-5.9346800000000002</v>
      </c>
      <c r="C137" s="71"/>
      <c r="D137" s="12">
        <v>0.68239272333923895</v>
      </c>
      <c r="E137" s="10">
        <v>3</v>
      </c>
      <c r="F137" s="10">
        <v>177</v>
      </c>
      <c r="G137" s="1">
        <v>3.37</v>
      </c>
      <c r="H137" s="14">
        <f t="shared" si="2"/>
        <v>-4.3900000000000006</v>
      </c>
      <c r="J137" s="14"/>
      <c r="K137" s="14"/>
      <c r="L137" s="14"/>
      <c r="M137" s="3" t="s">
        <v>284</v>
      </c>
    </row>
    <row r="138" spans="1:13">
      <c r="A138" s="82" t="s">
        <v>285</v>
      </c>
      <c r="B138" s="121">
        <v>-5.8520199999999996</v>
      </c>
      <c r="C138" s="71"/>
      <c r="D138" s="12">
        <v>0.520951861602862</v>
      </c>
      <c r="E138" s="10">
        <v>10</v>
      </c>
      <c r="F138" s="10">
        <v>228.6</v>
      </c>
      <c r="G138" s="1">
        <v>4.22</v>
      </c>
      <c r="H138" s="14">
        <f t="shared" si="2"/>
        <v>-5.7560000000000002</v>
      </c>
      <c r="I138" s="16" t="s">
        <v>286</v>
      </c>
      <c r="J138" s="17"/>
      <c r="K138" s="17"/>
      <c r="L138" s="18"/>
      <c r="M138" s="3" t="s">
        <v>287</v>
      </c>
    </row>
    <row r="139" spans="1:13">
      <c r="A139" s="81" t="s">
        <v>288</v>
      </c>
      <c r="B139" s="121">
        <v>-3.818568</v>
      </c>
      <c r="C139" s="71"/>
      <c r="D139" s="12">
        <v>0.53906642829149898</v>
      </c>
      <c r="E139" s="10">
        <v>3</v>
      </c>
      <c r="F139" s="10">
        <v>161.5</v>
      </c>
      <c r="G139" s="1">
        <v>-0.21</v>
      </c>
      <c r="H139" s="14">
        <f t="shared" si="2"/>
        <v>-0.65500000000000003</v>
      </c>
      <c r="I139" s="124" t="s">
        <v>411</v>
      </c>
      <c r="J139" s="21"/>
      <c r="K139" s="21"/>
      <c r="L139" s="22"/>
      <c r="M139" s="3" t="s">
        <v>289</v>
      </c>
    </row>
    <row r="140" spans="1:13">
      <c r="A140" s="81" t="s">
        <v>290</v>
      </c>
      <c r="B140" s="121">
        <v>-5.1774880000000003</v>
      </c>
      <c r="C140" s="71"/>
      <c r="D140" s="12">
        <v>0.56233984781338708</v>
      </c>
      <c r="E140" s="10">
        <v>11</v>
      </c>
      <c r="F140" s="10">
        <v>213.49999999999997</v>
      </c>
      <c r="G140" s="1">
        <v>3.04</v>
      </c>
      <c r="H140" s="14">
        <f t="shared" si="2"/>
        <v>-4.4249999999999998</v>
      </c>
      <c r="I140" s="23"/>
      <c r="J140" s="7"/>
      <c r="K140" s="7"/>
      <c r="L140" s="24"/>
      <c r="M140" s="3" t="s">
        <v>291</v>
      </c>
    </row>
    <row r="141" spans="1:13">
      <c r="A141" s="83" t="s">
        <v>292</v>
      </c>
      <c r="B141" s="121">
        <v>-2.464912</v>
      </c>
      <c r="C141" s="71"/>
      <c r="D141" s="12">
        <v>0.54710381306524825</v>
      </c>
      <c r="E141" s="10">
        <v>4</v>
      </c>
      <c r="F141" s="10">
        <v>168.5</v>
      </c>
      <c r="G141" s="1">
        <v>3.35</v>
      </c>
      <c r="H141" s="14">
        <f t="shared" si="2"/>
        <v>-4.2850000000000001</v>
      </c>
      <c r="I141" s="23"/>
      <c r="J141" s="7"/>
      <c r="K141" s="7"/>
      <c r="L141" s="24"/>
      <c r="M141" s="3" t="s">
        <v>293</v>
      </c>
    </row>
    <row r="142" spans="1:13">
      <c r="A142" s="81" t="s">
        <v>114</v>
      </c>
      <c r="B142" s="121">
        <v>-2.1264479999999999</v>
      </c>
      <c r="C142" s="71"/>
      <c r="D142" s="12">
        <v>0.54612637818466869</v>
      </c>
      <c r="E142" s="10">
        <v>3</v>
      </c>
      <c r="F142" s="13">
        <v>124.1</v>
      </c>
      <c r="G142" s="1">
        <v>2.81</v>
      </c>
      <c r="H142" s="14">
        <f t="shared" si="2"/>
        <v>-3.3010000000000002</v>
      </c>
      <c r="I142" s="25"/>
      <c r="J142" s="7"/>
      <c r="K142" s="7"/>
      <c r="L142" s="24"/>
      <c r="M142" s="3" t="s">
        <v>294</v>
      </c>
    </row>
    <row r="143" spans="1:13">
      <c r="A143" s="81" t="s">
        <v>295</v>
      </c>
      <c r="B143" s="121">
        <v>-4.8405899999999997</v>
      </c>
      <c r="C143" s="71"/>
      <c r="D143" s="12">
        <v>0.51160213896594608</v>
      </c>
      <c r="E143" s="10">
        <v>4</v>
      </c>
      <c r="F143" s="10">
        <v>165</v>
      </c>
      <c r="G143" s="1">
        <v>4.8899999999999997</v>
      </c>
      <c r="H143" s="14">
        <f t="shared" si="2"/>
        <v>-5.79</v>
      </c>
      <c r="I143" s="25"/>
      <c r="J143" s="7"/>
      <c r="K143" s="7"/>
      <c r="L143" s="24"/>
      <c r="M143" s="3" t="s">
        <v>296</v>
      </c>
    </row>
    <row r="144" spans="1:13">
      <c r="A144" s="81" t="s">
        <v>117</v>
      </c>
      <c r="B144" s="121">
        <v>-6.4848099999999995</v>
      </c>
      <c r="C144" s="71"/>
      <c r="D144" s="12">
        <v>0.65141515533308314</v>
      </c>
      <c r="E144" s="10">
        <v>4</v>
      </c>
      <c r="F144" s="10">
        <v>161.1</v>
      </c>
      <c r="G144" s="1">
        <v>4.76</v>
      </c>
      <c r="H144" s="14">
        <f t="shared" si="2"/>
        <v>-5.6209999999999996</v>
      </c>
      <c r="I144" s="25"/>
      <c r="J144" s="7"/>
      <c r="K144" s="7"/>
      <c r="L144" s="24"/>
      <c r="M144" s="3" t="s">
        <v>297</v>
      </c>
    </row>
    <row r="145" spans="1:28">
      <c r="A145" s="83" t="s">
        <v>298</v>
      </c>
      <c r="B145" s="121">
        <v>-2.5474299999999999</v>
      </c>
      <c r="C145" s="71"/>
      <c r="D145" s="12">
        <v>0.65883215509381909</v>
      </c>
      <c r="E145" s="10">
        <v>3</v>
      </c>
      <c r="F145" s="10">
        <v>155</v>
      </c>
      <c r="G145" s="1">
        <v>3.74</v>
      </c>
      <c r="H145" s="14">
        <f t="shared" si="2"/>
        <v>-4.54</v>
      </c>
      <c r="I145" s="25"/>
      <c r="J145" s="7"/>
      <c r="K145" s="7"/>
      <c r="L145" s="24"/>
      <c r="M145" s="3" t="s">
        <v>299</v>
      </c>
    </row>
    <row r="146" spans="1:28">
      <c r="A146" s="82" t="s">
        <v>300</v>
      </c>
      <c r="B146" s="121">
        <v>-8.3192190000000004</v>
      </c>
      <c r="C146" s="71"/>
      <c r="D146" s="12">
        <v>0.61400477095750339</v>
      </c>
      <c r="E146" s="10">
        <v>3</v>
      </c>
      <c r="F146" s="10">
        <v>165.4</v>
      </c>
      <c r="G146" s="1">
        <v>5.58</v>
      </c>
      <c r="H146" s="14">
        <f t="shared" si="2"/>
        <v>-6.484</v>
      </c>
      <c r="I146" s="25"/>
      <c r="J146" s="7"/>
      <c r="K146" s="7"/>
      <c r="L146" s="24"/>
      <c r="M146" s="3" t="s">
        <v>301</v>
      </c>
    </row>
    <row r="147" spans="1:28">
      <c r="A147" s="82" t="s">
        <v>302</v>
      </c>
      <c r="B147" s="121">
        <v>-4.9210899999999995</v>
      </c>
      <c r="C147" s="71"/>
      <c r="D147" s="12">
        <v>0.50406532001413251</v>
      </c>
      <c r="E147" s="10">
        <v>6</v>
      </c>
      <c r="F147" s="10">
        <v>161</v>
      </c>
      <c r="G147" s="1">
        <v>6.45</v>
      </c>
      <c r="H147" s="14">
        <f t="shared" si="2"/>
        <v>-7.3100000000000005</v>
      </c>
      <c r="I147" s="26"/>
      <c r="J147" s="27"/>
      <c r="K147" s="27"/>
      <c r="L147" s="28"/>
      <c r="M147" s="3" t="s">
        <v>303</v>
      </c>
    </row>
    <row r="148" spans="1:28">
      <c r="A148" s="82" t="s">
        <v>304</v>
      </c>
      <c r="B148" s="121">
        <v>-4.9210899999999995</v>
      </c>
      <c r="C148" s="71"/>
      <c r="D148" s="12">
        <v>0.75493366325441691</v>
      </c>
      <c r="E148" s="10">
        <v>4</v>
      </c>
      <c r="F148" s="10">
        <v>193.5</v>
      </c>
      <c r="G148" s="1">
        <v>5.41</v>
      </c>
      <c r="H148" s="14">
        <f t="shared" si="2"/>
        <v>-6.5950000000000006</v>
      </c>
      <c r="J148" s="14"/>
      <c r="K148" s="14"/>
      <c r="L148" s="14"/>
      <c r="M148" s="3" t="s">
        <v>305</v>
      </c>
    </row>
    <row r="149" spans="1:28">
      <c r="A149" s="82" t="s">
        <v>306</v>
      </c>
      <c r="B149" s="121">
        <v>-5.3097599999999998</v>
      </c>
      <c r="C149" s="71"/>
      <c r="D149" s="12">
        <v>0.50089358058597189</v>
      </c>
      <c r="E149" s="10">
        <v>3</v>
      </c>
      <c r="F149" s="10">
        <v>156</v>
      </c>
      <c r="G149" s="1">
        <v>2.9</v>
      </c>
      <c r="H149" s="14">
        <f t="shared" si="2"/>
        <v>-3.71</v>
      </c>
      <c r="I149" s="70" t="s">
        <v>133</v>
      </c>
      <c r="J149" s="75">
        <v>222</v>
      </c>
      <c r="K149" s="34"/>
      <c r="L149" s="14"/>
      <c r="M149" s="3" t="s">
        <v>307</v>
      </c>
    </row>
    <row r="150" spans="1:28">
      <c r="A150" s="83" t="s">
        <v>308</v>
      </c>
      <c r="B150" s="121">
        <v>-1.6028699999999998</v>
      </c>
      <c r="C150" s="71"/>
      <c r="D150" s="12">
        <v>0.6587984329866341</v>
      </c>
      <c r="E150" s="10">
        <v>4</v>
      </c>
      <c r="F150" s="10">
        <v>183.5</v>
      </c>
      <c r="G150" s="1">
        <v>3.16</v>
      </c>
      <c r="H150" s="14">
        <f t="shared" si="2"/>
        <v>-4.2450000000000001</v>
      </c>
      <c r="I150" s="70" t="s">
        <v>136</v>
      </c>
      <c r="J150" s="32"/>
      <c r="K150" s="34"/>
      <c r="L150" s="14"/>
      <c r="M150" s="3" t="s">
        <v>309</v>
      </c>
    </row>
    <row r="151" spans="1:28">
      <c r="A151" s="83" t="s">
        <v>310</v>
      </c>
      <c r="B151" s="121">
        <v>-2.0165440000000001</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s="121">
        <v>-3.7404400000000004</v>
      </c>
      <c r="C152" s="71"/>
      <c r="D152" s="12">
        <v>0.57115657899345518</v>
      </c>
      <c r="E152" s="10">
        <v>7</v>
      </c>
      <c r="F152" s="10">
        <v>177</v>
      </c>
      <c r="G152" s="1">
        <v>3.17</v>
      </c>
      <c r="H152" s="14">
        <f t="shared" si="2"/>
        <v>-4.1899999999999995</v>
      </c>
      <c r="I152" s="14"/>
      <c r="J152" s="14"/>
      <c r="K152" s="14"/>
      <c r="L152" s="14"/>
      <c r="M152" s="3" t="s">
        <v>313</v>
      </c>
    </row>
    <row r="153" spans="1:28">
      <c r="A153" s="81" t="s">
        <v>314</v>
      </c>
      <c r="B153" s="121">
        <v>-5.0432899999999998</v>
      </c>
      <c r="C153" s="71"/>
      <c r="D153" s="12">
        <v>0.55807775121880254</v>
      </c>
      <c r="E153" s="10">
        <v>6</v>
      </c>
      <c r="F153" s="10">
        <v>145</v>
      </c>
      <c r="G153" s="1">
        <v>6.08</v>
      </c>
      <c r="H153" s="14">
        <f t="shared" si="2"/>
        <v>-6.78</v>
      </c>
      <c r="I153" s="19" t="s">
        <v>144</v>
      </c>
      <c r="J153" s="17"/>
      <c r="K153" s="17"/>
      <c r="L153" s="18"/>
      <c r="M153" s="3" t="s">
        <v>315</v>
      </c>
    </row>
    <row r="154" spans="1:28">
      <c r="A154" s="81" t="s">
        <v>316</v>
      </c>
      <c r="B154" s="121">
        <v>-1.8255110000000001</v>
      </c>
      <c r="C154" s="71"/>
      <c r="D154" s="12">
        <v>0.66417698790166113</v>
      </c>
      <c r="E154" s="10">
        <v>3</v>
      </c>
      <c r="F154" s="13">
        <v>175.8</v>
      </c>
      <c r="G154" s="1">
        <v>4.62</v>
      </c>
      <c r="H154" s="14">
        <f t="shared" si="2"/>
        <v>-5.6280000000000001</v>
      </c>
      <c r="I154" s="124" t="s">
        <v>412</v>
      </c>
      <c r="J154" s="21"/>
      <c r="K154" s="21"/>
      <c r="L154" s="22"/>
      <c r="M154" s="3" t="s">
        <v>317</v>
      </c>
    </row>
    <row r="155" spans="1:28">
      <c r="A155" s="82" t="s">
        <v>318</v>
      </c>
      <c r="B155" s="121">
        <v>-6.8414439999999992</v>
      </c>
      <c r="C155" s="71"/>
      <c r="D155" s="12">
        <v>0.57716593661781801</v>
      </c>
      <c r="E155" s="10">
        <v>3</v>
      </c>
      <c r="F155" s="10">
        <v>349.84</v>
      </c>
      <c r="G155" s="1">
        <v>3.09</v>
      </c>
      <c r="H155" s="14">
        <f t="shared" si="2"/>
        <v>-5.8384</v>
      </c>
      <c r="I155" s="23"/>
      <c r="J155" s="7"/>
      <c r="K155" s="7"/>
      <c r="L155" s="24"/>
      <c r="M155" s="3" t="s">
        <v>319</v>
      </c>
    </row>
    <row r="156" spans="1:28">
      <c r="A156" s="83" t="s">
        <v>320</v>
      </c>
      <c r="B156" s="121">
        <v>-0.75529000000000002</v>
      </c>
      <c r="C156" s="71"/>
      <c r="D156" s="12">
        <v>0.70324590282883903</v>
      </c>
      <c r="E156" s="10">
        <v>3</v>
      </c>
      <c r="F156" s="10">
        <v>204</v>
      </c>
      <c r="G156" s="1">
        <v>0.88</v>
      </c>
      <c r="H156" s="14">
        <f t="shared" si="2"/>
        <v>-2.17</v>
      </c>
      <c r="I156" s="23"/>
      <c r="J156" s="7"/>
      <c r="K156" s="7"/>
      <c r="L156" s="24"/>
      <c r="M156" s="3" t="s">
        <v>321</v>
      </c>
    </row>
    <row r="157" spans="1:28">
      <c r="A157" s="82" t="s">
        <v>322</v>
      </c>
      <c r="B157" s="121">
        <v>-5.8520199999999996</v>
      </c>
      <c r="C157" s="71"/>
      <c r="D157" s="12">
        <v>0.7237903588794764</v>
      </c>
      <c r="E157" s="10">
        <v>7</v>
      </c>
      <c r="F157" s="10">
        <v>97.8</v>
      </c>
      <c r="G157" s="1">
        <v>6</v>
      </c>
      <c r="H157" s="14">
        <f t="shared" si="2"/>
        <v>-6.2279999999999998</v>
      </c>
      <c r="I157" s="23"/>
      <c r="J157" s="7"/>
      <c r="K157" s="7"/>
      <c r="L157" s="24"/>
      <c r="M157" s="3" t="s">
        <v>323</v>
      </c>
    </row>
    <row r="158" spans="1:28">
      <c r="A158" s="82" t="s">
        <v>324</v>
      </c>
      <c r="B158" s="121">
        <v>-4.6353179999999998</v>
      </c>
      <c r="C158" s="71"/>
      <c r="D158" s="12">
        <v>0.84033450922624497</v>
      </c>
      <c r="E158" s="10">
        <v>5</v>
      </c>
      <c r="F158" s="10">
        <v>262</v>
      </c>
      <c r="G158" s="1">
        <v>7.26</v>
      </c>
      <c r="H158" s="14">
        <f t="shared" si="2"/>
        <v>-9.129999999999999</v>
      </c>
      <c r="I158" s="23"/>
      <c r="J158" s="7"/>
      <c r="K158" s="7"/>
      <c r="L158" s="24"/>
      <c r="M158" s="3" t="s">
        <v>325</v>
      </c>
    </row>
    <row r="159" spans="1:28">
      <c r="A159" s="82" t="s">
        <v>326</v>
      </c>
      <c r="B159" s="121">
        <v>-5.6806900000000002</v>
      </c>
      <c r="C159" s="71"/>
      <c r="D159" s="12">
        <v>0.70969645885144073</v>
      </c>
      <c r="E159" s="10">
        <v>11</v>
      </c>
      <c r="F159" s="10">
        <v>149.6</v>
      </c>
      <c r="G159" s="1">
        <v>6.45</v>
      </c>
      <c r="H159" s="14">
        <f t="shared" si="2"/>
        <v>-7.1959999999999997</v>
      </c>
      <c r="I159" s="23"/>
      <c r="J159" s="7"/>
      <c r="K159" s="7"/>
      <c r="L159" s="24"/>
      <c r="M159" s="3" t="s">
        <v>327</v>
      </c>
    </row>
    <row r="160" spans="1:28" s="62" customFormat="1">
      <c r="A160" s="81" t="s">
        <v>328</v>
      </c>
      <c r="B160" s="121">
        <v>-5.3872400000000003</v>
      </c>
      <c r="C160" s="71"/>
      <c r="D160" s="12">
        <v>0.49644864464459931</v>
      </c>
      <c r="E160" s="10">
        <v>4</v>
      </c>
      <c r="F160" s="10">
        <v>304.5</v>
      </c>
      <c r="G160" s="1">
        <v>2.69</v>
      </c>
      <c r="H160" s="14">
        <f t="shared" si="2"/>
        <v>-4.9849999999999994</v>
      </c>
      <c r="I160" s="35"/>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43"/>
      <c r="B194" s="44"/>
      <c r="C194" s="44"/>
      <c r="D194" s="44"/>
      <c r="E194" s="44"/>
      <c r="F194" s="44"/>
      <c r="G194" s="44"/>
      <c r="H194" s="44"/>
      <c r="I194" s="44"/>
      <c r="J194" s="44"/>
      <c r="K194" s="44"/>
      <c r="L194" s="44"/>
      <c r="M194" s="48"/>
      <c r="N194" s="44"/>
      <c r="O194" s="44"/>
      <c r="P194" s="44"/>
      <c r="Q194" s="45"/>
    </row>
  </sheetData>
  <pageMargins left="0" right="0" top="0" bottom="0" header="0.3" footer="0.3"/>
  <pageSetup scale="54"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6ABA-CBDB-4282-A96F-B83E88EA60B9}">
  <dimension ref="A1:AB196"/>
  <sheetViews>
    <sheetView workbookViewId="0">
      <selection activeCell="B4" sqref="B4:B9"/>
    </sheetView>
  </sheetViews>
  <sheetFormatPr baseColWidth="10" defaultColWidth="9.1640625" defaultRowHeight="15"/>
  <cols>
    <col min="1" max="1" width="18.6640625" customWidth="1"/>
    <col min="2" max="3" width="11.33203125" customWidth="1"/>
    <col min="4" max="5" width="7.6640625" customWidth="1"/>
    <col min="6" max="6" width="10.1640625" customWidth="1"/>
    <col min="7" max="7" width="11.33203125" customWidth="1"/>
    <col min="9" max="9" width="13.1640625" customWidth="1"/>
    <col min="10" max="10" width="4.33203125" customWidth="1"/>
    <col min="12" max="12" width="10.3320312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138"/>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43"/>
      <c r="C8" s="44"/>
      <c r="D8" s="44"/>
      <c r="E8" s="44"/>
      <c r="F8" s="44"/>
      <c r="G8" s="44"/>
      <c r="H8" s="44"/>
      <c r="I8" s="44"/>
      <c r="J8" s="44"/>
      <c r="K8" s="44"/>
      <c r="L8" s="44"/>
      <c r="M8" s="48"/>
      <c r="N8" s="44"/>
      <c r="O8" s="44"/>
      <c r="P8" s="44"/>
      <c r="Q8" s="44"/>
      <c r="R8" s="45"/>
    </row>
    <row r="9" spans="1:25">
      <c r="A9" s="36" t="s">
        <v>7</v>
      </c>
      <c r="B9" s="139"/>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40" t="s">
        <v>374</v>
      </c>
      <c r="C14" t="s">
        <v>11</v>
      </c>
    </row>
    <row r="15" spans="1:25" s="90" customFormat="1">
      <c r="A15" s="89" t="s">
        <v>12</v>
      </c>
    </row>
    <row r="16" spans="1:25">
      <c r="B16" s="117"/>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s="120">
        <v>-0.22085043988269781</v>
      </c>
      <c r="C23" s="73" t="s">
        <v>30</v>
      </c>
      <c r="D23" s="12">
        <v>0.17592262140645501</v>
      </c>
      <c r="E23" s="10">
        <v>11</v>
      </c>
      <c r="F23" s="10">
        <v>258.5</v>
      </c>
      <c r="G23" s="6">
        <v>-0.86</v>
      </c>
      <c r="H23" s="14">
        <f t="shared" ref="H23:H86" si="0">0.5-G23-0.01*(F23-25)</f>
        <v>-0.97500000000000009</v>
      </c>
      <c r="I23" s="53" t="s">
        <v>31</v>
      </c>
      <c r="J23" s="54"/>
      <c r="K23" s="14"/>
      <c r="L23" s="14"/>
      <c r="M23" s="11" t="s">
        <v>33</v>
      </c>
    </row>
    <row r="24" spans="1:28">
      <c r="A24" s="82" t="s">
        <v>35</v>
      </c>
      <c r="B24" s="121">
        <v>-1.8820645161290319</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s="121">
        <v>-3.9731231671554257</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s="121">
        <v>-4.4487243401759535</v>
      </c>
      <c r="C26" s="73" t="s">
        <v>46</v>
      </c>
      <c r="D26" s="12">
        <v>0.16999222507469616</v>
      </c>
      <c r="E26" s="10">
        <v>3</v>
      </c>
      <c r="F26" s="10">
        <v>234</v>
      </c>
      <c r="G26" s="6">
        <v>3.19</v>
      </c>
      <c r="H26" s="14">
        <f t="shared" si="0"/>
        <v>-4.7799999999999994</v>
      </c>
      <c r="I26" s="15" t="s">
        <v>47</v>
      </c>
      <c r="J26" s="29"/>
      <c r="K26" s="14"/>
      <c r="L26" s="14"/>
      <c r="M26" s="11" t="s">
        <v>48</v>
      </c>
    </row>
    <row r="27" spans="1:28">
      <c r="A27" s="82" t="s">
        <v>50</v>
      </c>
      <c r="B27" s="121">
        <v>-8.9973387096774182</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s="121">
        <v>-8.1029765395894451</v>
      </c>
      <c r="C28" s="71"/>
      <c r="D28" s="12">
        <v>0.18412396392404196</v>
      </c>
      <c r="E28" s="10">
        <v>3</v>
      </c>
      <c r="F28" s="10">
        <v>224.00000000000003</v>
      </c>
      <c r="G28" s="6">
        <v>5.51</v>
      </c>
      <c r="H28" s="14">
        <f t="shared" si="0"/>
        <v>-7</v>
      </c>
      <c r="I28" s="15" t="s">
        <v>56</v>
      </c>
      <c r="J28" s="29"/>
      <c r="K28" s="14"/>
      <c r="L28" s="14"/>
      <c r="M28" s="11" t="s">
        <v>57</v>
      </c>
    </row>
    <row r="29" spans="1:28">
      <c r="A29" s="81" t="s">
        <v>59</v>
      </c>
      <c r="B29" s="121">
        <v>-3.3943841642228731</v>
      </c>
      <c r="C29" s="71"/>
      <c r="D29" s="12">
        <v>0.14933733874523175</v>
      </c>
      <c r="E29" s="10">
        <v>6</v>
      </c>
      <c r="F29" s="10">
        <v>172.5</v>
      </c>
      <c r="G29" s="6">
        <v>1.78</v>
      </c>
      <c r="H29" s="14">
        <f t="shared" si="0"/>
        <v>-2.7549999999999999</v>
      </c>
      <c r="I29" s="15" t="s">
        <v>60</v>
      </c>
      <c r="J29" s="31"/>
      <c r="K29" s="14"/>
      <c r="L29" s="14"/>
      <c r="M29" s="11" t="s">
        <v>61</v>
      </c>
    </row>
    <row r="30" spans="1:28">
      <c r="A30" s="81" t="s">
        <v>63</v>
      </c>
      <c r="B30" s="121">
        <v>-3.6294721407624646</v>
      </c>
      <c r="C30" s="71"/>
      <c r="D30" s="12">
        <v>0.14842266063120066</v>
      </c>
      <c r="E30" s="10">
        <v>4</v>
      </c>
      <c r="F30" s="10">
        <v>207.50000000000003</v>
      </c>
      <c r="G30" s="6">
        <v>1.86</v>
      </c>
      <c r="H30" s="14">
        <f t="shared" si="0"/>
        <v>-3.1850000000000005</v>
      </c>
      <c r="I30" s="30" t="s">
        <v>64</v>
      </c>
      <c r="J30" s="123" t="s">
        <v>413</v>
      </c>
      <c r="K30" s="33"/>
      <c r="L30" s="34"/>
      <c r="M30" s="11" t="s">
        <v>65</v>
      </c>
    </row>
    <row r="31" spans="1:28">
      <c r="A31" s="83" t="s">
        <v>66</v>
      </c>
      <c r="B31" s="121">
        <v>-2.2265102639296184</v>
      </c>
      <c r="C31" s="71"/>
      <c r="D31" s="12">
        <v>0.1617973106900604</v>
      </c>
      <c r="E31" s="10">
        <v>10</v>
      </c>
      <c r="F31" s="10">
        <v>166.5</v>
      </c>
      <c r="G31" s="6">
        <v>0.79</v>
      </c>
      <c r="H31" s="14">
        <f t="shared" si="0"/>
        <v>-1.7050000000000001</v>
      </c>
      <c r="J31" s="14"/>
      <c r="K31" s="14"/>
      <c r="L31" s="14"/>
      <c r="M31" s="11" t="s">
        <v>67</v>
      </c>
    </row>
    <row r="32" spans="1:28">
      <c r="A32" s="82" t="s">
        <v>68</v>
      </c>
      <c r="B32" s="121">
        <v>-2.4508504398826974</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s="122">
        <v>-3.6337448680351905</v>
      </c>
      <c r="C33" s="72"/>
      <c r="D33" s="4">
        <v>0.12912520605069597</v>
      </c>
      <c r="E33" s="2">
        <v>3</v>
      </c>
      <c r="F33" s="13">
        <v>192.7</v>
      </c>
      <c r="G33" s="6">
        <v>2.63</v>
      </c>
      <c r="H33" s="14">
        <f t="shared" si="0"/>
        <v>-3.8069999999999995</v>
      </c>
      <c r="I33" s="141" t="s">
        <v>414</v>
      </c>
      <c r="J33" s="21"/>
      <c r="K33" s="21"/>
      <c r="L33" s="22"/>
      <c r="M33" s="11" t="s">
        <v>72</v>
      </c>
    </row>
    <row r="34" spans="1:13">
      <c r="A34" s="81" t="s">
        <v>74</v>
      </c>
      <c r="B34" s="121">
        <v>-6.6610557184750725</v>
      </c>
      <c r="C34" s="71"/>
      <c r="D34" s="12">
        <v>0.14911462098310888</v>
      </c>
      <c r="E34" s="10">
        <v>6</v>
      </c>
      <c r="F34" s="10">
        <v>167</v>
      </c>
      <c r="G34" s="6">
        <v>6.32</v>
      </c>
      <c r="H34" s="14">
        <f t="shared" si="0"/>
        <v>-7.24</v>
      </c>
      <c r="I34" s="141" t="s">
        <v>415</v>
      </c>
      <c r="J34" s="21"/>
      <c r="K34" s="21"/>
      <c r="L34" s="22"/>
      <c r="M34" s="11" t="s">
        <v>75</v>
      </c>
    </row>
    <row r="35" spans="1:13">
      <c r="A35" s="82" t="s">
        <v>77</v>
      </c>
      <c r="B35" s="121">
        <v>-3.3445454545454543</v>
      </c>
      <c r="C35" s="71"/>
      <c r="D35" s="12">
        <v>0.15809078703524676</v>
      </c>
      <c r="E35" s="10">
        <v>15</v>
      </c>
      <c r="F35" s="10">
        <v>191.5</v>
      </c>
      <c r="G35" s="6">
        <v>3.39</v>
      </c>
      <c r="H35" s="14">
        <f t="shared" si="0"/>
        <v>-4.5549999999999997</v>
      </c>
      <c r="I35" s="142" t="s">
        <v>416</v>
      </c>
      <c r="J35" s="7"/>
      <c r="K35" s="7"/>
      <c r="L35" s="24"/>
      <c r="M35" s="11" t="s">
        <v>78</v>
      </c>
    </row>
    <row r="36" spans="1:13">
      <c r="A36" s="83" t="s">
        <v>80</v>
      </c>
      <c r="B36" s="121">
        <v>-6.5082170087976534</v>
      </c>
      <c r="C36" s="71"/>
      <c r="D36" s="12">
        <v>0.1911503089068218</v>
      </c>
      <c r="E36" s="10">
        <v>3</v>
      </c>
      <c r="F36" s="10">
        <v>246.2</v>
      </c>
      <c r="G36" s="6">
        <v>3.32</v>
      </c>
      <c r="H36" s="14">
        <f t="shared" si="0"/>
        <v>-5.032</v>
      </c>
      <c r="I36" s="142" t="s">
        <v>417</v>
      </c>
      <c r="J36" s="7"/>
      <c r="K36" s="7"/>
      <c r="L36" s="24"/>
      <c r="M36" s="11" t="s">
        <v>81</v>
      </c>
    </row>
    <row r="37" spans="1:13">
      <c r="A37" s="83" t="s">
        <v>73</v>
      </c>
      <c r="B37" s="121">
        <v>-3.714560117302053</v>
      </c>
      <c r="C37" s="71"/>
      <c r="D37" s="12">
        <v>0.19050575600734274</v>
      </c>
      <c r="E37" s="10">
        <v>4</v>
      </c>
      <c r="F37" s="10">
        <v>304</v>
      </c>
      <c r="G37" s="6">
        <v>1.74</v>
      </c>
      <c r="H37" s="14">
        <f t="shared" si="0"/>
        <v>-4.03</v>
      </c>
      <c r="I37" s="25"/>
      <c r="J37" s="7"/>
      <c r="K37" s="7"/>
      <c r="L37" s="24"/>
      <c r="M37" s="11" t="s">
        <v>83</v>
      </c>
    </row>
    <row r="38" spans="1:13">
      <c r="A38" s="81" t="s">
        <v>76</v>
      </c>
      <c r="B38" s="121">
        <v>1.1455425219941353</v>
      </c>
      <c r="C38" s="71"/>
      <c r="D38" s="12">
        <v>0.13682393527498057</v>
      </c>
      <c r="E38" s="10">
        <v>7</v>
      </c>
      <c r="F38" s="10">
        <v>187</v>
      </c>
      <c r="G38" s="6">
        <v>-0.87</v>
      </c>
      <c r="H38" s="14">
        <f t="shared" si="0"/>
        <v>-0.25</v>
      </c>
      <c r="I38" s="25"/>
      <c r="J38" s="7"/>
      <c r="K38" s="7"/>
      <c r="L38" s="24"/>
      <c r="M38" s="66" t="s">
        <v>85</v>
      </c>
    </row>
    <row r="39" spans="1:13">
      <c r="A39" s="81" t="s">
        <v>87</v>
      </c>
      <c r="B39" s="121">
        <v>-2.9188856304985324</v>
      </c>
      <c r="C39" s="71"/>
      <c r="D39" s="12">
        <v>0.20462356367492032</v>
      </c>
      <c r="E39" s="10">
        <v>4</v>
      </c>
      <c r="F39" s="10">
        <v>221.5</v>
      </c>
      <c r="G39" s="6">
        <v>0.71</v>
      </c>
      <c r="H39" s="14">
        <f t="shared" si="0"/>
        <v>-2.1749999999999998</v>
      </c>
      <c r="I39" s="25"/>
      <c r="J39" s="7"/>
      <c r="K39" s="7"/>
      <c r="L39" s="24"/>
      <c r="M39" s="11" t="s">
        <v>88</v>
      </c>
    </row>
    <row r="40" spans="1:13">
      <c r="A40" s="81" t="s">
        <v>90</v>
      </c>
      <c r="B40" s="121">
        <v>-4.2784799608993156</v>
      </c>
      <c r="C40" s="71"/>
      <c r="D40" s="12">
        <v>0.18274602564465547</v>
      </c>
      <c r="E40" s="10">
        <v>6</v>
      </c>
      <c r="F40" s="10">
        <v>157.83333333333334</v>
      </c>
      <c r="G40" s="6">
        <v>3.51</v>
      </c>
      <c r="H40" s="14">
        <f t="shared" si="0"/>
        <v>-4.3383333333333329</v>
      </c>
      <c r="I40" s="25"/>
      <c r="J40" s="39"/>
      <c r="K40" s="39"/>
      <c r="L40" s="40"/>
      <c r="M40" s="11" t="s">
        <v>91</v>
      </c>
    </row>
    <row r="41" spans="1:13">
      <c r="A41" s="84" t="s">
        <v>93</v>
      </c>
      <c r="B41" s="122">
        <v>-2.3013929618768332</v>
      </c>
      <c r="C41" s="72"/>
      <c r="D41" s="4">
        <v>0.12610247911779729</v>
      </c>
      <c r="E41" s="2">
        <v>8</v>
      </c>
      <c r="F41" s="10">
        <v>140</v>
      </c>
      <c r="G41" s="6">
        <v>0.35</v>
      </c>
      <c r="H41" s="14">
        <f t="shared" si="0"/>
        <v>-1</v>
      </c>
      <c r="I41" s="25"/>
      <c r="J41" s="39"/>
      <c r="K41" s="39"/>
      <c r="L41" s="40"/>
      <c r="M41" s="11" t="s">
        <v>94</v>
      </c>
    </row>
    <row r="42" spans="1:13">
      <c r="A42" s="82" t="s">
        <v>96</v>
      </c>
      <c r="B42" s="121">
        <v>-2.6303597262952101</v>
      </c>
      <c r="C42" s="71"/>
      <c r="D42" s="12">
        <v>0.14493441954543959</v>
      </c>
      <c r="E42" s="10">
        <v>7</v>
      </c>
      <c r="F42" s="10">
        <v>127.93333333333334</v>
      </c>
      <c r="G42" s="6">
        <v>1.74</v>
      </c>
      <c r="H42" s="14">
        <f t="shared" si="0"/>
        <v>-2.2693333333333334</v>
      </c>
      <c r="I42" s="25"/>
      <c r="J42" s="39"/>
      <c r="K42" s="39"/>
      <c r="L42" s="40"/>
      <c r="M42" s="11" t="s">
        <v>97</v>
      </c>
    </row>
    <row r="43" spans="1:13">
      <c r="A43" s="82" t="s">
        <v>79</v>
      </c>
      <c r="B43" s="121">
        <v>-8.6311876832844572</v>
      </c>
      <c r="C43" s="71"/>
      <c r="D43" s="12">
        <v>0.14861388626870758</v>
      </c>
      <c r="E43" s="10">
        <v>7</v>
      </c>
      <c r="F43" s="10">
        <v>176</v>
      </c>
      <c r="G43" s="6">
        <v>4.4800000000000004</v>
      </c>
      <c r="H43" s="14">
        <f t="shared" si="0"/>
        <v>-5.49</v>
      </c>
      <c r="I43" s="25"/>
      <c r="J43" s="39"/>
      <c r="K43" s="39"/>
      <c r="L43" s="40"/>
      <c r="M43" s="11" t="s">
        <v>99</v>
      </c>
    </row>
    <row r="44" spans="1:13">
      <c r="A44" s="85" t="s">
        <v>101</v>
      </c>
      <c r="B44" s="122">
        <v>-5.0912815249266874</v>
      </c>
      <c r="C44" s="72"/>
      <c r="D44" s="4">
        <v>0.1280711495400205</v>
      </c>
      <c r="E44" s="2">
        <v>3</v>
      </c>
      <c r="F44" s="10">
        <v>159.69999999999999</v>
      </c>
      <c r="G44" s="6">
        <v>3.46</v>
      </c>
      <c r="H44" s="14">
        <f t="shared" si="0"/>
        <v>-4.3070000000000004</v>
      </c>
      <c r="I44" s="25"/>
      <c r="J44" s="39"/>
      <c r="K44" s="39"/>
      <c r="L44" s="40"/>
      <c r="M44" s="11" t="s">
        <v>102</v>
      </c>
    </row>
    <row r="45" spans="1:13">
      <c r="A45" s="84" t="s">
        <v>104</v>
      </c>
      <c r="B45" s="122">
        <v>0.40778592375366585</v>
      </c>
      <c r="C45" s="72"/>
      <c r="D45" s="4">
        <v>0.21683500301481054</v>
      </c>
      <c r="E45" s="2">
        <v>8</v>
      </c>
      <c r="F45" s="10">
        <v>142</v>
      </c>
      <c r="G45" s="6">
        <v>0.6</v>
      </c>
      <c r="H45" s="14">
        <f t="shared" si="0"/>
        <v>-1.27</v>
      </c>
      <c r="I45" s="25"/>
      <c r="J45" s="39"/>
      <c r="K45" s="39"/>
      <c r="L45" s="40"/>
      <c r="M45" s="11" t="s">
        <v>105</v>
      </c>
    </row>
    <row r="46" spans="1:13">
      <c r="A46" s="82" t="s">
        <v>107</v>
      </c>
      <c r="B46" s="121">
        <v>-5.4221260997067455</v>
      </c>
      <c r="C46" s="71"/>
      <c r="D46" s="12">
        <v>0.18255878892749886</v>
      </c>
      <c r="E46" s="10">
        <v>20</v>
      </c>
      <c r="F46" s="10">
        <v>267</v>
      </c>
      <c r="G46" s="6">
        <v>1.58</v>
      </c>
      <c r="H46" s="14">
        <f t="shared" si="0"/>
        <v>-3.5</v>
      </c>
      <c r="I46" s="25"/>
      <c r="J46" s="39"/>
      <c r="K46" s="39"/>
      <c r="L46" s="40"/>
      <c r="M46" s="11" t="s">
        <v>108</v>
      </c>
    </row>
    <row r="47" spans="1:13">
      <c r="A47" s="81" t="s">
        <v>110</v>
      </c>
      <c r="B47" s="121">
        <v>-5.5412756598240458</v>
      </c>
      <c r="C47" s="71"/>
      <c r="D47" s="12">
        <v>0.16704647063532602</v>
      </c>
      <c r="E47" s="10">
        <v>6</v>
      </c>
      <c r="F47" s="10">
        <v>110.00000000000001</v>
      </c>
      <c r="G47" s="6">
        <v>3.36</v>
      </c>
      <c r="H47" s="14">
        <f t="shared" si="0"/>
        <v>-3.71</v>
      </c>
      <c r="I47" s="25"/>
      <c r="J47" s="39"/>
      <c r="K47" s="39"/>
      <c r="L47" s="40"/>
      <c r="M47" s="11" t="s">
        <v>111</v>
      </c>
    </row>
    <row r="48" spans="1:13">
      <c r="A48" s="82" t="s">
        <v>82</v>
      </c>
      <c r="B48" s="121">
        <v>-6.6408211143695022</v>
      </c>
      <c r="C48" s="71"/>
      <c r="D48" s="12">
        <v>0.17164501312359953</v>
      </c>
      <c r="E48" s="10">
        <v>7</v>
      </c>
      <c r="F48" s="10">
        <v>182</v>
      </c>
      <c r="G48" s="6">
        <v>2.67</v>
      </c>
      <c r="H48" s="14">
        <f t="shared" si="0"/>
        <v>-3.74</v>
      </c>
      <c r="I48" s="25"/>
      <c r="J48" s="39"/>
      <c r="K48" s="39"/>
      <c r="L48" s="40"/>
      <c r="M48" s="11" t="s">
        <v>113</v>
      </c>
    </row>
    <row r="49" spans="1:13">
      <c r="A49" s="84" t="s">
        <v>115</v>
      </c>
      <c r="B49" s="122">
        <v>-6.1936803519061572</v>
      </c>
      <c r="C49" s="72"/>
      <c r="D49" s="4">
        <v>0.12558353028546052</v>
      </c>
      <c r="E49" s="2">
        <v>4</v>
      </c>
      <c r="F49" s="10">
        <v>222.00000000000003</v>
      </c>
      <c r="G49" s="6">
        <v>2.56</v>
      </c>
      <c r="H49" s="14">
        <f t="shared" si="0"/>
        <v>-4.03</v>
      </c>
      <c r="I49" s="25"/>
      <c r="J49" s="39"/>
      <c r="K49" s="39"/>
      <c r="L49" s="40"/>
      <c r="M49" s="11" t="s">
        <v>116</v>
      </c>
    </row>
    <row r="50" spans="1:13">
      <c r="A50" s="82" t="s">
        <v>118</v>
      </c>
      <c r="B50" s="121">
        <v>-6.6069208211143717</v>
      </c>
      <c r="C50" s="71"/>
      <c r="D50" s="12">
        <v>0.1568133990664792</v>
      </c>
      <c r="E50" s="10">
        <v>6</v>
      </c>
      <c r="F50" s="10">
        <v>151</v>
      </c>
      <c r="G50" s="6">
        <v>3.27</v>
      </c>
      <c r="H50" s="14">
        <f t="shared" si="0"/>
        <v>-4.03</v>
      </c>
      <c r="I50" s="25"/>
      <c r="J50" s="39"/>
      <c r="K50" s="39"/>
      <c r="L50" s="40"/>
      <c r="M50" s="11" t="s">
        <v>119</v>
      </c>
    </row>
    <row r="51" spans="1:13">
      <c r="A51" s="85" t="s">
        <v>84</v>
      </c>
      <c r="B51" s="122">
        <v>-5.4205278592375361</v>
      </c>
      <c r="C51" s="72"/>
      <c r="D51" s="4">
        <v>0.12789394574374285</v>
      </c>
      <c r="E51" s="2">
        <v>5</v>
      </c>
      <c r="F51" s="10">
        <v>330</v>
      </c>
      <c r="G51" s="6">
        <v>2.87</v>
      </c>
      <c r="H51" s="14">
        <f t="shared" si="0"/>
        <v>-5.42</v>
      </c>
      <c r="I51" s="25"/>
      <c r="J51" s="39"/>
      <c r="K51" s="39"/>
      <c r="L51" s="40"/>
      <c r="M51" s="11" t="s">
        <v>120</v>
      </c>
    </row>
    <row r="52" spans="1:13">
      <c r="A52" s="82" t="s">
        <v>121</v>
      </c>
      <c r="B52" s="121">
        <v>-4.9963343108504397</v>
      </c>
      <c r="C52" s="71"/>
      <c r="D52" s="12">
        <v>0.18012800124370357</v>
      </c>
      <c r="E52" s="10">
        <v>3</v>
      </c>
      <c r="F52" s="10">
        <v>100</v>
      </c>
      <c r="G52" s="6">
        <v>3.53</v>
      </c>
      <c r="H52" s="14">
        <f t="shared" si="0"/>
        <v>-3.78</v>
      </c>
      <c r="I52" s="23"/>
      <c r="J52" s="7"/>
      <c r="K52" s="7"/>
      <c r="L52" s="24"/>
      <c r="M52" s="11" t="s">
        <v>122</v>
      </c>
    </row>
    <row r="53" spans="1:13">
      <c r="A53" s="81" t="s">
        <v>123</v>
      </c>
      <c r="B53" s="121">
        <v>-6.5888563049853364</v>
      </c>
      <c r="C53" s="71"/>
      <c r="D53" s="12">
        <v>0.18062104750721683</v>
      </c>
      <c r="E53" s="10">
        <v>16</v>
      </c>
      <c r="F53" s="10">
        <v>262.5</v>
      </c>
      <c r="G53" s="6">
        <v>1.9</v>
      </c>
      <c r="H53" s="14">
        <f t="shared" si="0"/>
        <v>-3.7749999999999999</v>
      </c>
      <c r="I53" s="23"/>
      <c r="J53" s="7"/>
      <c r="K53" s="7"/>
      <c r="L53" s="24"/>
      <c r="M53" s="11" t="s">
        <v>124</v>
      </c>
    </row>
    <row r="54" spans="1:13">
      <c r="A54" s="84" t="s">
        <v>125</v>
      </c>
      <c r="B54" s="122">
        <v>-5.0604061583577717</v>
      </c>
      <c r="C54" s="72"/>
      <c r="D54" s="4">
        <v>0.22156244268660033</v>
      </c>
      <c r="E54" s="2">
        <v>4</v>
      </c>
      <c r="F54" s="10">
        <v>328.85</v>
      </c>
      <c r="G54" s="6">
        <v>1.87</v>
      </c>
      <c r="H54" s="14">
        <f t="shared" si="0"/>
        <v>-4.4085000000000001</v>
      </c>
      <c r="I54" s="23"/>
      <c r="J54" s="7"/>
      <c r="K54" s="7"/>
      <c r="L54" s="24"/>
      <c r="M54" s="11" t="s">
        <v>126</v>
      </c>
    </row>
    <row r="55" spans="1:13">
      <c r="A55" s="82" t="s">
        <v>127</v>
      </c>
      <c r="B55" s="121">
        <v>-5.8920967741935479</v>
      </c>
      <c r="C55" s="71"/>
      <c r="D55" s="12">
        <v>0.18450811780713378</v>
      </c>
      <c r="E55" s="10">
        <v>33</v>
      </c>
      <c r="F55" s="10">
        <v>167.5</v>
      </c>
      <c r="G55" s="6">
        <v>4.3600000000000003</v>
      </c>
      <c r="H55" s="14">
        <f t="shared" si="0"/>
        <v>-5.2850000000000001</v>
      </c>
      <c r="I55" s="23"/>
      <c r="J55" s="7"/>
      <c r="K55" s="7"/>
      <c r="L55" s="24"/>
      <c r="M55" s="11" t="s">
        <v>128</v>
      </c>
    </row>
    <row r="56" spans="1:13">
      <c r="A56" s="82" t="s">
        <v>86</v>
      </c>
      <c r="B56" s="121">
        <v>-7.6375513196480913</v>
      </c>
      <c r="C56" s="71"/>
      <c r="D56" s="12">
        <v>0.15609203233531485</v>
      </c>
      <c r="E56" s="10">
        <v>3</v>
      </c>
      <c r="F56" s="10">
        <v>223</v>
      </c>
      <c r="G56" s="6">
        <v>2.99</v>
      </c>
      <c r="H56" s="14">
        <f t="shared" si="0"/>
        <v>-4.4700000000000006</v>
      </c>
      <c r="I56" s="23"/>
      <c r="J56" s="7"/>
      <c r="K56" s="7"/>
      <c r="L56" s="24"/>
      <c r="M56" s="11" t="s">
        <v>129</v>
      </c>
    </row>
    <row r="57" spans="1:13">
      <c r="A57" s="82" t="s">
        <v>89</v>
      </c>
      <c r="B57" s="121">
        <v>-6.7241348973607042</v>
      </c>
      <c r="C57" s="71"/>
      <c r="D57" s="12">
        <v>0.20872343532408041</v>
      </c>
      <c r="E57" s="10">
        <v>3</v>
      </c>
      <c r="F57" s="10">
        <v>210.5</v>
      </c>
      <c r="G57" s="6">
        <v>2.72</v>
      </c>
      <c r="H57" s="14">
        <f t="shared" si="0"/>
        <v>-4.0750000000000002</v>
      </c>
      <c r="I57" s="26"/>
      <c r="J57" s="27"/>
      <c r="K57" s="27"/>
      <c r="L57" s="28"/>
      <c r="M57" s="11" t="s">
        <v>130</v>
      </c>
    </row>
    <row r="58" spans="1:13">
      <c r="A58" s="84" t="s">
        <v>131</v>
      </c>
      <c r="B58" s="122">
        <v>-5.0151686217008802</v>
      </c>
      <c r="C58" s="72"/>
      <c r="D58" s="4">
        <v>0.1297319013416561</v>
      </c>
      <c r="E58" s="2">
        <v>3</v>
      </c>
      <c r="F58" s="10">
        <v>209.75</v>
      </c>
      <c r="G58" s="6">
        <v>3.37</v>
      </c>
      <c r="H58" s="14">
        <f t="shared" si="0"/>
        <v>-4.7175000000000002</v>
      </c>
      <c r="J58" s="14"/>
      <c r="K58" s="14"/>
      <c r="L58" s="14"/>
      <c r="M58" s="11" t="s">
        <v>132</v>
      </c>
    </row>
    <row r="59" spans="1:13">
      <c r="A59" s="81" t="s">
        <v>92</v>
      </c>
      <c r="B59" s="121">
        <v>-3.1725513196480932</v>
      </c>
      <c r="C59" s="71"/>
      <c r="D59" s="12">
        <v>0.14124198841117766</v>
      </c>
      <c r="E59" s="10">
        <v>3</v>
      </c>
      <c r="F59" s="10">
        <v>53.5</v>
      </c>
      <c r="G59" s="6">
        <v>3.43</v>
      </c>
      <c r="H59" s="14">
        <f t="shared" si="0"/>
        <v>-3.2150000000000003</v>
      </c>
      <c r="I59" s="70" t="s">
        <v>133</v>
      </c>
      <c r="J59" s="143">
        <v>371</v>
      </c>
      <c r="K59" s="34"/>
      <c r="L59" s="14"/>
      <c r="M59" s="11" t="s">
        <v>134</v>
      </c>
    </row>
    <row r="60" spans="1:13">
      <c r="A60" s="81" t="s">
        <v>135</v>
      </c>
      <c r="B60" s="121">
        <v>-2.1532991202346063</v>
      </c>
      <c r="C60" s="71"/>
      <c r="D60" s="12">
        <v>0.17069281866408892</v>
      </c>
      <c r="E60" s="10">
        <v>6</v>
      </c>
      <c r="F60" s="10">
        <v>270</v>
      </c>
      <c r="G60" s="6">
        <v>0.05</v>
      </c>
      <c r="H60" s="14">
        <f t="shared" si="0"/>
        <v>-2</v>
      </c>
      <c r="I60" s="70" t="s">
        <v>136</v>
      </c>
      <c r="J60" s="32"/>
      <c r="K60" s="34"/>
      <c r="L60" s="14"/>
      <c r="M60" s="11" t="s">
        <v>137</v>
      </c>
    </row>
    <row r="61" spans="1:13">
      <c r="A61" s="82" t="s">
        <v>138</v>
      </c>
      <c r="B61" s="121">
        <v>-3.4694648093841627</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s="121">
        <v>-8.2511436950146617</v>
      </c>
      <c r="C62" s="71"/>
      <c r="D62" s="12">
        <v>0.18021422622763517</v>
      </c>
      <c r="E62" s="10">
        <v>5</v>
      </c>
      <c r="F62" s="10">
        <v>214.5</v>
      </c>
      <c r="G62" s="6">
        <v>3.61</v>
      </c>
      <c r="H62" s="14">
        <f t="shared" si="0"/>
        <v>-5.0049999999999999</v>
      </c>
      <c r="I62" s="14"/>
      <c r="J62" s="14"/>
      <c r="K62" s="14"/>
      <c r="L62" s="14"/>
      <c r="M62" s="11" t="s">
        <v>142</v>
      </c>
    </row>
    <row r="63" spans="1:13">
      <c r="A63" s="82" t="s">
        <v>143</v>
      </c>
      <c r="B63" s="121">
        <v>-8.6388870967741944</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s="121">
        <v>-1.9564222873900283</v>
      </c>
      <c r="C64" s="71"/>
      <c r="D64" s="12">
        <v>0.17</v>
      </c>
      <c r="E64" s="10">
        <v>3</v>
      </c>
      <c r="F64" s="10">
        <v>189</v>
      </c>
      <c r="G64" s="6">
        <v>1.34</v>
      </c>
      <c r="H64" s="14">
        <f t="shared" si="0"/>
        <v>-2.4800000000000004</v>
      </c>
      <c r="I64" s="20" t="s">
        <v>418</v>
      </c>
      <c r="J64" s="21"/>
      <c r="K64" s="21"/>
      <c r="L64" s="22"/>
      <c r="M64" s="11" t="s">
        <v>148</v>
      </c>
    </row>
    <row r="65" spans="1:13">
      <c r="A65" s="82" t="s">
        <v>149</v>
      </c>
      <c r="B65" s="121">
        <v>-5.2364662756598239</v>
      </c>
      <c r="C65" s="71"/>
      <c r="D65" s="12">
        <v>0.19794493160510693</v>
      </c>
      <c r="E65" s="10">
        <v>4</v>
      </c>
      <c r="F65" s="10">
        <v>243.5</v>
      </c>
      <c r="G65" s="6">
        <v>1.34</v>
      </c>
      <c r="H65" s="14">
        <f t="shared" si="0"/>
        <v>-3.0250000000000004</v>
      </c>
      <c r="I65" s="23"/>
      <c r="J65" s="7"/>
      <c r="K65" s="7"/>
      <c r="L65" s="24"/>
      <c r="M65" s="11" t="s">
        <v>151</v>
      </c>
    </row>
    <row r="66" spans="1:13">
      <c r="A66" s="81" t="s">
        <v>95</v>
      </c>
      <c r="B66" s="121">
        <v>-3.8627272727272732</v>
      </c>
      <c r="C66" s="71"/>
      <c r="D66" s="12">
        <v>0.21056099074293383</v>
      </c>
      <c r="E66" s="10">
        <v>3</v>
      </c>
      <c r="F66" s="10">
        <v>36.5</v>
      </c>
      <c r="G66" s="6">
        <v>2.74</v>
      </c>
      <c r="H66" s="14">
        <f t="shared" si="0"/>
        <v>-2.3550000000000004</v>
      </c>
      <c r="I66" s="23"/>
      <c r="J66" s="7"/>
      <c r="K66" s="7"/>
      <c r="L66" s="24"/>
      <c r="M66" s="11" t="s">
        <v>152</v>
      </c>
    </row>
    <row r="67" spans="1:13">
      <c r="A67" s="83" t="s">
        <v>153</v>
      </c>
      <c r="B67" s="121">
        <v>-4.8723900293255147</v>
      </c>
      <c r="C67" s="71"/>
      <c r="D67" s="12">
        <v>0.21092434073951916</v>
      </c>
      <c r="E67" s="10">
        <v>10</v>
      </c>
      <c r="F67" s="10">
        <v>186</v>
      </c>
      <c r="G67" s="6">
        <v>3.4</v>
      </c>
      <c r="H67" s="14">
        <f t="shared" si="0"/>
        <v>-4.51</v>
      </c>
      <c r="I67" s="23"/>
      <c r="J67" s="7"/>
      <c r="K67" s="7"/>
      <c r="L67" s="24"/>
      <c r="M67" s="11" t="s">
        <v>154</v>
      </c>
    </row>
    <row r="68" spans="1:13">
      <c r="A68" s="81" t="s">
        <v>98</v>
      </c>
      <c r="B68" s="121">
        <v>-5.6591788856304985</v>
      </c>
      <c r="C68" s="71"/>
      <c r="D68" s="12">
        <v>0.18695478693957188</v>
      </c>
      <c r="E68" s="10">
        <v>3</v>
      </c>
      <c r="F68" s="10">
        <v>252.99999999999997</v>
      </c>
      <c r="G68" s="6">
        <v>2.35</v>
      </c>
      <c r="H68" s="14">
        <f t="shared" si="0"/>
        <v>-4.13</v>
      </c>
      <c r="I68" s="23"/>
      <c r="J68" s="7"/>
      <c r="K68" s="7"/>
      <c r="L68" s="24"/>
      <c r="M68" s="11" t="s">
        <v>155</v>
      </c>
    </row>
    <row r="69" spans="1:13">
      <c r="A69" s="83" t="s">
        <v>156</v>
      </c>
      <c r="B69" s="121">
        <v>-5.4381378299120238</v>
      </c>
      <c r="C69" s="71"/>
      <c r="D69" s="12">
        <v>0.20491085989689112</v>
      </c>
      <c r="E69" s="10">
        <v>23</v>
      </c>
      <c r="F69" s="10">
        <v>111.00000000000001</v>
      </c>
      <c r="G69" s="6">
        <v>3.68</v>
      </c>
      <c r="H69" s="14">
        <f t="shared" si="0"/>
        <v>-4.04</v>
      </c>
      <c r="I69" s="23"/>
      <c r="J69" s="7"/>
      <c r="K69" s="7"/>
      <c r="L69" s="24"/>
      <c r="M69" s="11" t="s">
        <v>157</v>
      </c>
    </row>
    <row r="70" spans="1:13">
      <c r="A70" s="81" t="s">
        <v>158</v>
      </c>
      <c r="B70" s="121">
        <v>-0.97521994134897683</v>
      </c>
      <c r="C70" s="71"/>
      <c r="D70" s="12">
        <v>0.15545016183846921</v>
      </c>
      <c r="E70" s="10">
        <v>6</v>
      </c>
      <c r="F70" s="10">
        <v>250</v>
      </c>
      <c r="G70" s="6">
        <v>-0.04</v>
      </c>
      <c r="H70" s="14">
        <f t="shared" si="0"/>
        <v>-1.71</v>
      </c>
      <c r="I70" s="23"/>
      <c r="J70" s="7"/>
      <c r="K70" s="7"/>
      <c r="L70" s="24"/>
      <c r="M70" s="11" t="s">
        <v>159</v>
      </c>
    </row>
    <row r="71" spans="1:13">
      <c r="A71" s="82" t="s">
        <v>160</v>
      </c>
      <c r="B71" s="121">
        <v>1.2087976539589436</v>
      </c>
      <c r="C71" s="71"/>
      <c r="D71" s="12">
        <v>0.13261436390895148</v>
      </c>
      <c r="E71" s="10">
        <v>3</v>
      </c>
      <c r="F71" s="10">
        <v>250</v>
      </c>
      <c r="G71" s="6">
        <v>-1.97</v>
      </c>
      <c r="H71" s="14">
        <f t="shared" si="0"/>
        <v>0.21999999999999975</v>
      </c>
      <c r="I71" s="23"/>
      <c r="J71" s="7"/>
      <c r="K71" s="7"/>
      <c r="L71" s="24"/>
      <c r="M71" s="11" t="s">
        <v>161</v>
      </c>
    </row>
    <row r="72" spans="1:13">
      <c r="A72" s="82" t="s">
        <v>162</v>
      </c>
      <c r="B72" s="121">
        <v>-4.9644721407624646</v>
      </c>
      <c r="C72" s="71"/>
      <c r="D72" s="12">
        <v>0.21159815676624968</v>
      </c>
      <c r="E72" s="10">
        <v>9</v>
      </c>
      <c r="F72" s="10">
        <v>208.5</v>
      </c>
      <c r="G72" s="6">
        <v>2.08</v>
      </c>
      <c r="H72" s="14">
        <f t="shared" si="0"/>
        <v>-3.415</v>
      </c>
      <c r="I72" s="23"/>
      <c r="J72" s="7"/>
      <c r="K72" s="7"/>
      <c r="L72" s="24"/>
      <c r="M72" s="11" t="s">
        <v>163</v>
      </c>
    </row>
    <row r="73" spans="1:13">
      <c r="A73" s="82" t="s">
        <v>164</v>
      </c>
      <c r="B73" s="121">
        <v>-4.5934750733137841</v>
      </c>
      <c r="C73" s="71"/>
      <c r="D73" s="12">
        <v>0.1900151243705871</v>
      </c>
      <c r="E73" s="10">
        <v>15</v>
      </c>
      <c r="F73" s="10">
        <v>220.00000000000003</v>
      </c>
      <c r="G73" s="6">
        <v>2.69</v>
      </c>
      <c r="H73" s="14">
        <f t="shared" si="0"/>
        <v>-4.1400000000000006</v>
      </c>
      <c r="I73" s="23"/>
      <c r="J73" s="7"/>
      <c r="K73" s="7"/>
      <c r="L73" s="24"/>
      <c r="M73" s="11" t="s">
        <v>165</v>
      </c>
    </row>
    <row r="74" spans="1:13">
      <c r="A74" s="82" t="s">
        <v>166</v>
      </c>
      <c r="B74" s="121">
        <v>-7.8743695014662753</v>
      </c>
      <c r="C74" s="71"/>
      <c r="D74" s="12">
        <v>0.16978183023026608</v>
      </c>
      <c r="E74" s="10">
        <v>10</v>
      </c>
      <c r="F74" s="10">
        <v>151</v>
      </c>
      <c r="G74" s="6">
        <v>4.43</v>
      </c>
      <c r="H74" s="14">
        <f t="shared" si="0"/>
        <v>-5.1899999999999995</v>
      </c>
      <c r="I74" s="23"/>
      <c r="J74" s="7"/>
      <c r="K74" s="7"/>
      <c r="L74" s="24"/>
      <c r="M74" s="11" t="s">
        <v>167</v>
      </c>
    </row>
    <row r="75" spans="1:13">
      <c r="A75" s="83" t="s">
        <v>100</v>
      </c>
      <c r="B75" s="121">
        <v>-4.8439002932551318</v>
      </c>
      <c r="C75" s="71"/>
      <c r="D75" s="12">
        <v>0.19416214604145643</v>
      </c>
      <c r="E75" s="10">
        <v>7</v>
      </c>
      <c r="F75" s="10">
        <v>154.5</v>
      </c>
      <c r="G75" s="6">
        <v>4.22</v>
      </c>
      <c r="H75" s="14">
        <f t="shared" si="0"/>
        <v>-5.0149999999999997</v>
      </c>
      <c r="I75" s="23"/>
      <c r="J75" s="7"/>
      <c r="K75" s="7"/>
      <c r="L75" s="24"/>
      <c r="M75" s="11" t="s">
        <v>168</v>
      </c>
    </row>
    <row r="76" spans="1:13">
      <c r="A76" s="82" t="s">
        <v>169</v>
      </c>
      <c r="B76" s="121">
        <v>-8.241502932551322</v>
      </c>
      <c r="C76" s="71"/>
      <c r="D76" s="12">
        <v>0.16048013551961601</v>
      </c>
      <c r="E76" s="10">
        <v>5</v>
      </c>
      <c r="F76" s="10">
        <v>167.75</v>
      </c>
      <c r="G76" s="6">
        <v>2.87</v>
      </c>
      <c r="H76" s="14">
        <f t="shared" si="0"/>
        <v>-3.7975000000000003</v>
      </c>
      <c r="I76" s="23"/>
      <c r="J76" s="7"/>
      <c r="K76" s="7"/>
      <c r="L76" s="24"/>
      <c r="M76" s="11" t="s">
        <v>170</v>
      </c>
    </row>
    <row r="77" spans="1:13">
      <c r="A77" s="84" t="s">
        <v>171</v>
      </c>
      <c r="B77" s="122">
        <v>-5.3213782991202345</v>
      </c>
      <c r="C77" s="72"/>
      <c r="D77" s="4">
        <v>0.22239504833634874</v>
      </c>
      <c r="E77" s="2">
        <v>21</v>
      </c>
      <c r="F77" s="10">
        <v>159</v>
      </c>
      <c r="G77" s="6">
        <v>3.93</v>
      </c>
      <c r="H77" s="14">
        <f t="shared" si="0"/>
        <v>-4.7700000000000005</v>
      </c>
      <c r="I77" s="23"/>
      <c r="J77" s="7"/>
      <c r="K77" s="7"/>
      <c r="L77" s="24"/>
      <c r="M77" s="11" t="s">
        <v>172</v>
      </c>
    </row>
    <row r="78" spans="1:13">
      <c r="A78" s="82" t="s">
        <v>173</v>
      </c>
      <c r="B78" s="121">
        <v>-5.4871994134897362</v>
      </c>
      <c r="C78" s="71"/>
      <c r="D78" s="12">
        <v>0.21209434799218393</v>
      </c>
      <c r="E78" s="10">
        <v>5</v>
      </c>
      <c r="F78" s="10">
        <v>213.49999999999997</v>
      </c>
      <c r="G78" s="6">
        <v>3.04</v>
      </c>
      <c r="H78" s="14">
        <f t="shared" si="0"/>
        <v>-4.4249999999999998</v>
      </c>
      <c r="I78" s="23"/>
      <c r="J78" s="7"/>
      <c r="K78" s="7"/>
      <c r="L78" s="24"/>
      <c r="M78" s="11" t="s">
        <v>174</v>
      </c>
    </row>
    <row r="79" spans="1:13">
      <c r="A79" s="82" t="s">
        <v>175</v>
      </c>
      <c r="B79" s="121">
        <v>-5.9246627565982397</v>
      </c>
      <c r="C79" s="71"/>
      <c r="D79" s="12">
        <v>0.1407224156406931</v>
      </c>
      <c r="E79" s="10">
        <v>11</v>
      </c>
      <c r="F79" s="10">
        <v>146</v>
      </c>
      <c r="G79" s="6">
        <v>4.21</v>
      </c>
      <c r="H79" s="14">
        <f t="shared" si="0"/>
        <v>-4.92</v>
      </c>
      <c r="I79" s="23"/>
      <c r="J79" s="7"/>
      <c r="K79" s="7"/>
      <c r="L79" s="24"/>
      <c r="M79" s="11" t="s">
        <v>176</v>
      </c>
    </row>
    <row r="80" spans="1:13">
      <c r="A80" s="82" t="s">
        <v>177</v>
      </c>
      <c r="B80" s="121">
        <v>-6.601089931573803</v>
      </c>
      <c r="C80" s="71"/>
      <c r="D80" s="12">
        <v>0.21748916450754371</v>
      </c>
      <c r="E80" s="10">
        <v>5</v>
      </c>
      <c r="F80" s="10">
        <v>92.333333333333329</v>
      </c>
      <c r="G80" s="6">
        <v>4.21</v>
      </c>
      <c r="H80" s="14">
        <f t="shared" si="0"/>
        <v>-4.3833333333333329</v>
      </c>
      <c r="I80" s="23"/>
      <c r="J80" s="7"/>
      <c r="K80" s="7"/>
      <c r="L80" s="24"/>
      <c r="M80" s="11" t="s">
        <v>178</v>
      </c>
    </row>
    <row r="81" spans="1:13">
      <c r="A81" s="81" t="s">
        <v>179</v>
      </c>
      <c r="B81" s="121">
        <v>-3.1877126099706752</v>
      </c>
      <c r="C81" s="71"/>
      <c r="D81" s="12">
        <v>0.20531013145176411</v>
      </c>
      <c r="E81" s="10">
        <v>8</v>
      </c>
      <c r="F81" s="10">
        <v>256</v>
      </c>
      <c r="G81" s="6">
        <v>2.71</v>
      </c>
      <c r="H81" s="14">
        <f t="shared" si="0"/>
        <v>-4.5199999999999996</v>
      </c>
      <c r="I81" s="23"/>
      <c r="J81" s="7"/>
      <c r="K81" s="7"/>
      <c r="L81" s="24"/>
      <c r="M81" s="11" t="s">
        <v>180</v>
      </c>
    </row>
    <row r="82" spans="1:13">
      <c r="A82" s="81" t="s">
        <v>181</v>
      </c>
      <c r="B82" s="121">
        <v>-4.6326906158357763</v>
      </c>
      <c r="C82" s="71"/>
      <c r="D82" s="12">
        <v>0.21176785142223761</v>
      </c>
      <c r="E82" s="10">
        <v>3</v>
      </c>
      <c r="F82" s="10">
        <v>80</v>
      </c>
      <c r="G82" s="6">
        <v>3.37</v>
      </c>
      <c r="H82" s="14">
        <f t="shared" si="0"/>
        <v>-3.42</v>
      </c>
      <c r="I82" s="23"/>
      <c r="J82" s="7"/>
      <c r="K82" s="7"/>
      <c r="L82" s="24"/>
      <c r="M82" s="11" t="s">
        <v>182</v>
      </c>
    </row>
    <row r="83" spans="1:13">
      <c r="A83" s="81" t="s">
        <v>183</v>
      </c>
      <c r="B83" s="121">
        <v>-4.6511583577712612</v>
      </c>
      <c r="C83" s="71"/>
      <c r="D83" s="12">
        <v>0.16217657762412213</v>
      </c>
      <c r="E83" s="10">
        <v>17</v>
      </c>
      <c r="F83" s="10">
        <v>153</v>
      </c>
      <c r="G83" s="6">
        <v>3.04</v>
      </c>
      <c r="H83" s="14">
        <f t="shared" si="0"/>
        <v>-3.8200000000000003</v>
      </c>
      <c r="I83" s="23"/>
      <c r="J83" s="7"/>
      <c r="K83" s="7"/>
      <c r="L83" s="24"/>
      <c r="M83" s="11" t="s">
        <v>184</v>
      </c>
    </row>
    <row r="84" spans="1:13">
      <c r="A84" s="82" t="s">
        <v>185</v>
      </c>
      <c r="B84" s="121">
        <v>-10.476772434017594</v>
      </c>
      <c r="C84" s="71"/>
      <c r="D84" s="12">
        <v>0.20448827496623867</v>
      </c>
      <c r="E84" s="10">
        <v>3</v>
      </c>
      <c r="F84" s="10">
        <v>349.84</v>
      </c>
      <c r="G84" s="6">
        <v>4.75</v>
      </c>
      <c r="H84" s="14">
        <f t="shared" si="0"/>
        <v>-7.4984000000000002</v>
      </c>
      <c r="I84" s="23"/>
      <c r="J84" s="7"/>
      <c r="K84" s="7"/>
      <c r="L84" s="24"/>
      <c r="M84" s="11" t="s">
        <v>186</v>
      </c>
    </row>
    <row r="85" spans="1:13">
      <c r="A85" s="82" t="s">
        <v>187</v>
      </c>
      <c r="B85" s="121">
        <v>-4.2022140762463351</v>
      </c>
      <c r="C85" s="71"/>
      <c r="D85" s="12">
        <v>0.14358294446577732</v>
      </c>
      <c r="E85" s="10">
        <v>6</v>
      </c>
      <c r="F85" s="10">
        <v>248</v>
      </c>
      <c r="G85" s="6">
        <v>2.65</v>
      </c>
      <c r="H85" s="14">
        <f t="shared" si="0"/>
        <v>-4.38</v>
      </c>
      <c r="I85" s="23"/>
      <c r="J85" s="7"/>
      <c r="K85" s="7"/>
      <c r="L85" s="24"/>
      <c r="M85" s="11" t="s">
        <v>188</v>
      </c>
    </row>
    <row r="86" spans="1:13">
      <c r="A86" s="82" t="s">
        <v>189</v>
      </c>
      <c r="B86" s="121">
        <v>-3.6656304985337234</v>
      </c>
      <c r="C86" s="71"/>
      <c r="D86" s="12">
        <v>0.15384096988991314</v>
      </c>
      <c r="E86" s="10">
        <v>11</v>
      </c>
      <c r="F86" s="10">
        <v>173</v>
      </c>
      <c r="G86" s="6">
        <v>2.1800000000000002</v>
      </c>
      <c r="H86" s="14">
        <f t="shared" si="0"/>
        <v>-3.16</v>
      </c>
      <c r="I86" s="23"/>
      <c r="J86" s="7"/>
      <c r="K86" s="7"/>
      <c r="L86" s="24"/>
      <c r="M86" s="11" t="s">
        <v>190</v>
      </c>
    </row>
    <row r="87" spans="1:13">
      <c r="A87" s="82" t="s">
        <v>191</v>
      </c>
      <c r="B87" s="121">
        <v>-1.1719574780058646</v>
      </c>
      <c r="C87" s="71"/>
      <c r="D87" s="12">
        <v>0.14176528631434945</v>
      </c>
      <c r="E87" s="10">
        <v>5</v>
      </c>
      <c r="F87" s="10">
        <v>143.75</v>
      </c>
      <c r="G87" s="6">
        <v>2.76</v>
      </c>
      <c r="H87" s="14">
        <f t="shared" ref="H87:H122" si="1">0.5-G87-0.01*(F87-25)</f>
        <v>-3.4474999999999998</v>
      </c>
      <c r="I87" s="23"/>
      <c r="J87" s="7"/>
      <c r="K87" s="7"/>
      <c r="L87" s="24"/>
      <c r="M87" s="11" t="s">
        <v>192</v>
      </c>
    </row>
    <row r="88" spans="1:13">
      <c r="A88" s="82" t="s">
        <v>193</v>
      </c>
      <c r="B88" s="121">
        <v>-3.2253812316715536</v>
      </c>
      <c r="C88" s="71"/>
      <c r="D88" s="12">
        <v>0.16213928191469343</v>
      </c>
      <c r="E88" s="10">
        <v>19</v>
      </c>
      <c r="F88" s="10">
        <v>220.5</v>
      </c>
      <c r="G88" s="6">
        <v>1.27</v>
      </c>
      <c r="H88" s="14">
        <f t="shared" si="1"/>
        <v>-2.7250000000000001</v>
      </c>
      <c r="I88" s="23"/>
      <c r="J88" s="7"/>
      <c r="K88" s="7"/>
      <c r="L88" s="24"/>
      <c r="M88" s="11" t="s">
        <v>194</v>
      </c>
    </row>
    <row r="89" spans="1:13">
      <c r="A89" s="82" t="s">
        <v>195</v>
      </c>
      <c r="B89" s="121">
        <v>-7.1812390029325517</v>
      </c>
      <c r="C89" s="71"/>
      <c r="D89" s="12">
        <v>0.16127920198135692</v>
      </c>
      <c r="E89" s="10">
        <v>5</v>
      </c>
      <c r="F89" s="10">
        <v>214</v>
      </c>
      <c r="G89" s="6">
        <v>3.83</v>
      </c>
      <c r="H89" s="14">
        <f t="shared" si="1"/>
        <v>-5.2200000000000006</v>
      </c>
      <c r="I89" s="23"/>
      <c r="J89" s="7"/>
      <c r="K89" s="7"/>
      <c r="L89" s="24"/>
      <c r="M89" s="11" t="s">
        <v>196</v>
      </c>
    </row>
    <row r="90" spans="1:13">
      <c r="A90" s="83" t="s">
        <v>197</v>
      </c>
      <c r="B90" s="121">
        <v>-8.631033724340174</v>
      </c>
      <c r="C90" s="71"/>
      <c r="D90" s="12">
        <v>0.13869006117838048</v>
      </c>
      <c r="E90" s="10">
        <v>3</v>
      </c>
      <c r="F90" s="10">
        <v>176</v>
      </c>
      <c r="G90" s="6">
        <v>2.88</v>
      </c>
      <c r="H90" s="14">
        <f t="shared" si="1"/>
        <v>-3.8899999999999997</v>
      </c>
      <c r="I90" s="23"/>
      <c r="J90" s="7"/>
      <c r="K90" s="7"/>
      <c r="L90" s="24"/>
      <c r="M90" s="11" t="s">
        <v>198</v>
      </c>
    </row>
    <row r="91" spans="1:13">
      <c r="A91" s="85" t="s">
        <v>199</v>
      </c>
      <c r="B91" s="122">
        <v>-6.0530351906158355</v>
      </c>
      <c r="C91" s="72"/>
      <c r="D91" s="4">
        <v>0.1259834086188602</v>
      </c>
      <c r="E91" s="2">
        <v>14</v>
      </c>
      <c r="F91" s="10">
        <v>253.5</v>
      </c>
      <c r="G91" s="6">
        <v>1.54</v>
      </c>
      <c r="H91" s="14">
        <f t="shared" si="1"/>
        <v>-3.3250000000000002</v>
      </c>
      <c r="I91" s="23"/>
      <c r="J91" s="7"/>
      <c r="K91" s="7"/>
      <c r="L91" s="24"/>
      <c r="M91" s="11" t="s">
        <v>200</v>
      </c>
    </row>
    <row r="92" spans="1:13">
      <c r="A92" s="82" t="s">
        <v>201</v>
      </c>
      <c r="B92" s="121">
        <v>-4.5929032258064515</v>
      </c>
      <c r="C92" s="71"/>
      <c r="D92" s="12">
        <v>0.16504944177542516</v>
      </c>
      <c r="E92" s="10">
        <v>5</v>
      </c>
      <c r="F92" s="10">
        <v>205.50000000000003</v>
      </c>
      <c r="G92" s="6">
        <v>2.4500000000000002</v>
      </c>
      <c r="H92" s="14">
        <f t="shared" si="1"/>
        <v>-3.7550000000000008</v>
      </c>
      <c r="I92" s="23"/>
      <c r="J92" s="7"/>
      <c r="K92" s="7"/>
      <c r="L92" s="24"/>
      <c r="M92" s="11" t="s">
        <v>202</v>
      </c>
    </row>
    <row r="93" spans="1:13">
      <c r="A93" s="83" t="s">
        <v>203</v>
      </c>
      <c r="B93" s="121">
        <v>-3.1878592375366561</v>
      </c>
      <c r="C93" s="71"/>
      <c r="D93" s="12">
        <v>0.19426266518058349</v>
      </c>
      <c r="E93" s="10">
        <v>3</v>
      </c>
      <c r="F93" s="10">
        <v>96</v>
      </c>
      <c r="G93" s="6">
        <v>3.49</v>
      </c>
      <c r="H93" s="14">
        <f t="shared" si="1"/>
        <v>-3.7</v>
      </c>
      <c r="I93" s="23"/>
      <c r="J93" s="7"/>
      <c r="K93" s="7"/>
      <c r="L93" s="24"/>
      <c r="M93" s="11" t="s">
        <v>204</v>
      </c>
    </row>
    <row r="94" spans="1:13">
      <c r="A94" s="82" t="s">
        <v>205</v>
      </c>
      <c r="B94" s="121">
        <v>-8.1950219941348958</v>
      </c>
      <c r="C94" s="71"/>
      <c r="D94" s="12">
        <v>0.18894337149737056</v>
      </c>
      <c r="E94" s="10">
        <v>12</v>
      </c>
      <c r="F94" s="10">
        <v>147.25</v>
      </c>
      <c r="G94" s="6">
        <v>3.86</v>
      </c>
      <c r="H94" s="14">
        <f t="shared" si="1"/>
        <v>-4.5824999999999996</v>
      </c>
      <c r="I94" s="23"/>
      <c r="J94" s="7"/>
      <c r="K94" s="7"/>
      <c r="L94" s="24"/>
      <c r="M94" s="11" t="s">
        <v>206</v>
      </c>
    </row>
    <row r="95" spans="1:13">
      <c r="A95" s="82" t="s">
        <v>207</v>
      </c>
      <c r="B95" s="121">
        <v>-6.9626686217008791</v>
      </c>
      <c r="C95" s="71"/>
      <c r="D95" s="12">
        <v>0.17391407185160324</v>
      </c>
      <c r="E95" s="10">
        <v>6</v>
      </c>
      <c r="F95" s="10">
        <v>97</v>
      </c>
      <c r="G95" s="6">
        <v>3.94</v>
      </c>
      <c r="H95" s="14">
        <f t="shared" si="1"/>
        <v>-4.16</v>
      </c>
      <c r="I95" s="23"/>
      <c r="J95" s="7"/>
      <c r="K95" s="7"/>
      <c r="L95" s="24"/>
      <c r="M95" s="11" t="s">
        <v>208</v>
      </c>
    </row>
    <row r="96" spans="1:13">
      <c r="A96" s="81" t="s">
        <v>209</v>
      </c>
      <c r="B96" s="121">
        <v>-3.6362976539589438</v>
      </c>
      <c r="C96" s="71"/>
      <c r="D96" s="12">
        <v>0.13764369691033657</v>
      </c>
      <c r="E96" s="10">
        <v>10</v>
      </c>
      <c r="F96" s="10">
        <v>134.5</v>
      </c>
      <c r="G96" s="6">
        <v>2.04</v>
      </c>
      <c r="H96" s="14">
        <f t="shared" si="1"/>
        <v>-2.6349999999999998</v>
      </c>
      <c r="I96" s="23"/>
      <c r="J96" s="7"/>
      <c r="K96" s="7"/>
      <c r="L96" s="24"/>
      <c r="M96" s="11" t="s">
        <v>210</v>
      </c>
    </row>
    <row r="97" spans="1:13">
      <c r="A97" s="82" t="s">
        <v>211</v>
      </c>
      <c r="B97" s="121">
        <v>-0.67929618768328481</v>
      </c>
      <c r="C97" s="71"/>
      <c r="D97" s="12">
        <v>0.16245746888591447</v>
      </c>
      <c r="E97" s="10">
        <v>7</v>
      </c>
      <c r="F97" s="10">
        <v>139</v>
      </c>
      <c r="G97" s="6">
        <v>2.66</v>
      </c>
      <c r="H97" s="14">
        <f t="shared" si="1"/>
        <v>-3.3000000000000003</v>
      </c>
      <c r="I97" s="23"/>
      <c r="J97" s="7"/>
      <c r="K97" s="7"/>
      <c r="L97" s="24"/>
      <c r="M97" s="11" t="s">
        <v>212</v>
      </c>
    </row>
    <row r="98" spans="1:13">
      <c r="A98" s="82" t="s">
        <v>213</v>
      </c>
      <c r="B98" s="121">
        <v>-4.0689149560117306</v>
      </c>
      <c r="C98" s="71"/>
      <c r="D98" s="12">
        <v>0.15322122505052199</v>
      </c>
      <c r="E98" s="10">
        <v>9</v>
      </c>
      <c r="F98" s="10">
        <v>170</v>
      </c>
      <c r="G98" s="6">
        <v>1.91</v>
      </c>
      <c r="H98" s="14">
        <f t="shared" si="1"/>
        <v>-2.86</v>
      </c>
      <c r="I98" s="23"/>
      <c r="J98" s="7"/>
      <c r="K98" s="7"/>
      <c r="L98" s="24"/>
      <c r="M98" s="11" t="s">
        <v>214</v>
      </c>
    </row>
    <row r="99" spans="1:13">
      <c r="A99" s="81" t="s">
        <v>215</v>
      </c>
      <c r="B99" s="121">
        <v>-6.7515689149560121</v>
      </c>
      <c r="C99" s="71"/>
      <c r="D99" s="12">
        <v>0.15273607916541068</v>
      </c>
      <c r="E99" s="10">
        <v>10</v>
      </c>
      <c r="F99" s="10">
        <v>326</v>
      </c>
      <c r="G99" s="6">
        <v>2.44</v>
      </c>
      <c r="H99" s="14">
        <f t="shared" si="1"/>
        <v>-4.95</v>
      </c>
      <c r="I99" s="23"/>
      <c r="J99" s="7"/>
      <c r="K99" s="7"/>
      <c r="L99" s="24"/>
      <c r="M99" s="11" t="s">
        <v>216</v>
      </c>
    </row>
    <row r="100" spans="1:13">
      <c r="A100" s="82" t="s">
        <v>217</v>
      </c>
      <c r="B100" s="121">
        <v>-5.7236803519061583</v>
      </c>
      <c r="C100" s="71"/>
      <c r="D100" s="12">
        <v>0.18404701512102448</v>
      </c>
      <c r="E100" s="10">
        <v>5</v>
      </c>
      <c r="F100" s="10">
        <v>232.50000000000003</v>
      </c>
      <c r="G100" s="6">
        <v>1.8</v>
      </c>
      <c r="H100" s="14">
        <f t="shared" si="1"/>
        <v>-3.375</v>
      </c>
      <c r="I100" s="23"/>
      <c r="J100" s="7"/>
      <c r="K100" s="7"/>
      <c r="L100" s="24"/>
      <c r="M100" s="11" t="s">
        <v>218</v>
      </c>
    </row>
    <row r="101" spans="1:13">
      <c r="A101" s="82" t="s">
        <v>219</v>
      </c>
      <c r="B101" s="121">
        <v>-4.1163196480938407</v>
      </c>
      <c r="C101" s="71"/>
      <c r="D101" s="12">
        <v>0.13604063752604376</v>
      </c>
      <c r="E101" s="10">
        <v>4</v>
      </c>
      <c r="F101" s="10">
        <v>281.5</v>
      </c>
      <c r="G101" s="6">
        <v>0.54</v>
      </c>
      <c r="H101" s="14">
        <f t="shared" si="1"/>
        <v>-2.605</v>
      </c>
      <c r="I101" s="23"/>
      <c r="J101" s="7"/>
      <c r="K101" s="7"/>
      <c r="L101" s="24"/>
      <c r="M101" s="11" t="s">
        <v>220</v>
      </c>
    </row>
    <row r="102" spans="1:13">
      <c r="A102" s="82" t="s">
        <v>221</v>
      </c>
      <c r="B102" s="121">
        <v>-3.9186539589442813</v>
      </c>
      <c r="C102" s="71"/>
      <c r="D102" s="12">
        <v>0.19798964803022484</v>
      </c>
      <c r="E102" s="10">
        <v>4</v>
      </c>
      <c r="F102" s="10">
        <v>197.1</v>
      </c>
      <c r="G102" s="6">
        <v>2.2000000000000002</v>
      </c>
      <c r="H102" s="14">
        <f t="shared" si="1"/>
        <v>-3.4210000000000003</v>
      </c>
      <c r="I102" s="23"/>
      <c r="J102" s="7"/>
      <c r="K102" s="7"/>
      <c r="L102" s="24"/>
      <c r="M102" s="11" t="s">
        <v>222</v>
      </c>
    </row>
    <row r="103" spans="1:13">
      <c r="A103" s="83" t="s">
        <v>223</v>
      </c>
      <c r="B103" s="121">
        <v>-5.1328005865102631</v>
      </c>
      <c r="C103" s="71"/>
      <c r="D103" s="12">
        <v>0.13486720020739137</v>
      </c>
      <c r="E103" s="10">
        <v>4</v>
      </c>
      <c r="F103" s="10">
        <v>33</v>
      </c>
      <c r="G103" s="6">
        <v>4.24</v>
      </c>
      <c r="H103" s="14">
        <f t="shared" si="1"/>
        <v>-3.8200000000000003</v>
      </c>
      <c r="I103" s="23"/>
      <c r="J103" s="7"/>
      <c r="K103" s="7"/>
      <c r="L103" s="24"/>
      <c r="M103" s="11" t="s">
        <v>224</v>
      </c>
    </row>
    <row r="104" spans="1:13">
      <c r="A104" s="82" t="s">
        <v>225</v>
      </c>
      <c r="B104" s="121">
        <v>-5.4713489736070375</v>
      </c>
      <c r="C104" s="71"/>
      <c r="D104" s="12">
        <v>0.18801274760604275</v>
      </c>
      <c r="E104" s="10">
        <v>11</v>
      </c>
      <c r="F104" s="10">
        <v>60</v>
      </c>
      <c r="G104" s="6">
        <v>4.24</v>
      </c>
      <c r="H104" s="14">
        <f t="shared" si="1"/>
        <v>-4.09</v>
      </c>
      <c r="I104" s="23"/>
      <c r="J104" s="7"/>
      <c r="K104" s="7"/>
      <c r="L104" s="24"/>
      <c r="M104" s="11" t="s">
        <v>226</v>
      </c>
    </row>
    <row r="105" spans="1:13">
      <c r="A105" s="82" t="s">
        <v>227</v>
      </c>
      <c r="B105" s="121">
        <v>-7.8819794721407614</v>
      </c>
      <c r="C105" s="71"/>
      <c r="D105" s="12">
        <v>0.1664014074224209</v>
      </c>
      <c r="E105" s="10">
        <v>4</v>
      </c>
      <c r="F105" s="10">
        <v>130.5</v>
      </c>
      <c r="G105" s="6">
        <v>5.22</v>
      </c>
      <c r="H105" s="14">
        <f t="shared" si="1"/>
        <v>-5.7749999999999995</v>
      </c>
      <c r="I105" s="23"/>
      <c r="J105" s="7"/>
      <c r="K105" s="7"/>
      <c r="L105" s="24"/>
      <c r="M105" s="11" t="s">
        <v>228</v>
      </c>
    </row>
    <row r="106" spans="1:13">
      <c r="A106" s="83" t="s">
        <v>103</v>
      </c>
      <c r="B106" s="121">
        <v>-5.4117008797653945</v>
      </c>
      <c r="C106" s="71"/>
      <c r="D106" s="12">
        <v>0.17506472136100007</v>
      </c>
      <c r="E106" s="10">
        <v>7</v>
      </c>
      <c r="F106" s="10">
        <v>254</v>
      </c>
      <c r="G106" s="6">
        <v>2.97</v>
      </c>
      <c r="H106" s="14">
        <f t="shared" si="1"/>
        <v>-4.76</v>
      </c>
      <c r="I106" s="23"/>
      <c r="J106" s="7"/>
      <c r="K106" s="7"/>
      <c r="L106" s="24"/>
      <c r="M106" s="11" t="s">
        <v>229</v>
      </c>
    </row>
    <row r="107" spans="1:13">
      <c r="A107" s="83" t="s">
        <v>230</v>
      </c>
      <c r="B107" s="121">
        <v>-8.3970967741935478</v>
      </c>
      <c r="C107" s="71"/>
      <c r="D107" s="12">
        <v>0.1605416460069265</v>
      </c>
      <c r="E107" s="10">
        <v>5</v>
      </c>
      <c r="F107" s="10">
        <v>121</v>
      </c>
      <c r="G107" s="6">
        <v>5.91</v>
      </c>
      <c r="H107" s="14">
        <f t="shared" si="1"/>
        <v>-6.37</v>
      </c>
      <c r="I107" s="23"/>
      <c r="J107" s="7"/>
      <c r="K107" s="7"/>
      <c r="L107" s="24"/>
      <c r="M107" s="11" t="s">
        <v>231</v>
      </c>
    </row>
    <row r="108" spans="1:13">
      <c r="A108" s="82" t="s">
        <v>232</v>
      </c>
      <c r="B108" s="121">
        <v>-4.2291422287390024</v>
      </c>
      <c r="C108" s="71"/>
      <c r="D108" s="12">
        <v>0.15756984748208766</v>
      </c>
      <c r="E108" s="10">
        <v>5</v>
      </c>
      <c r="F108" s="10">
        <v>206.99999999999997</v>
      </c>
      <c r="G108" s="6">
        <v>2.56</v>
      </c>
      <c r="H108" s="14">
        <f t="shared" si="1"/>
        <v>-3.88</v>
      </c>
      <c r="I108" s="23"/>
      <c r="J108" s="7"/>
      <c r="K108" s="7"/>
      <c r="L108" s="24"/>
      <c r="M108" s="11" t="s">
        <v>233</v>
      </c>
    </row>
    <row r="109" spans="1:13">
      <c r="A109" s="81" t="s">
        <v>234</v>
      </c>
      <c r="B109" s="121">
        <v>-6.9285703812316726</v>
      </c>
      <c r="C109" s="71"/>
      <c r="D109" s="12">
        <v>0.16160362353179636</v>
      </c>
      <c r="E109" s="10">
        <v>6</v>
      </c>
      <c r="F109" s="10">
        <v>134.5</v>
      </c>
      <c r="G109" s="6">
        <v>4.8499999999999996</v>
      </c>
      <c r="H109" s="14">
        <f t="shared" si="1"/>
        <v>-5.4449999999999994</v>
      </c>
      <c r="I109" s="23"/>
      <c r="J109" s="7"/>
      <c r="K109" s="7"/>
      <c r="L109" s="24"/>
      <c r="M109" s="11" t="s">
        <v>235</v>
      </c>
    </row>
    <row r="110" spans="1:13">
      <c r="A110" s="81" t="s">
        <v>236</v>
      </c>
      <c r="B110" s="121">
        <v>-7.0954472140762466</v>
      </c>
      <c r="C110" s="71"/>
      <c r="D110" s="12">
        <v>0.18685765827673947</v>
      </c>
      <c r="E110" s="10">
        <v>6</v>
      </c>
      <c r="F110" s="10">
        <v>275</v>
      </c>
      <c r="G110" s="6">
        <v>2.09</v>
      </c>
      <c r="H110" s="14">
        <f t="shared" si="1"/>
        <v>-4.09</v>
      </c>
      <c r="I110" s="23"/>
      <c r="J110" s="7"/>
      <c r="K110" s="7"/>
      <c r="L110" s="24"/>
      <c r="M110" s="11" t="s">
        <v>237</v>
      </c>
    </row>
    <row r="111" spans="1:13">
      <c r="A111" s="82" t="s">
        <v>238</v>
      </c>
      <c r="B111" s="121">
        <v>-3.3612903225806452</v>
      </c>
      <c r="C111" s="71"/>
      <c r="D111" s="12">
        <v>0.13950112944748669</v>
      </c>
      <c r="E111" s="10">
        <v>9</v>
      </c>
      <c r="F111" s="10">
        <v>220.00000000000003</v>
      </c>
      <c r="G111" s="6">
        <v>1.8</v>
      </c>
      <c r="H111" s="14">
        <f t="shared" si="1"/>
        <v>-3.2500000000000004</v>
      </c>
      <c r="I111" s="23"/>
      <c r="J111" s="7"/>
      <c r="K111" s="7"/>
      <c r="L111" s="24"/>
      <c r="M111" s="11" t="s">
        <v>239</v>
      </c>
    </row>
    <row r="112" spans="1:13">
      <c r="A112" s="85" t="s">
        <v>240</v>
      </c>
      <c r="B112" s="122">
        <v>-0.92828445747800559</v>
      </c>
      <c r="C112" s="72"/>
      <c r="D112" s="4">
        <v>0.22014005046870977</v>
      </c>
      <c r="E112" s="2">
        <v>9</v>
      </c>
      <c r="F112" s="10">
        <v>202</v>
      </c>
      <c r="G112" s="6">
        <v>1.53</v>
      </c>
      <c r="H112" s="14">
        <f t="shared" si="1"/>
        <v>-2.8</v>
      </c>
      <c r="I112" s="23"/>
      <c r="J112" s="7"/>
      <c r="K112" s="7"/>
      <c r="L112" s="24"/>
      <c r="M112" s="11" t="s">
        <v>241</v>
      </c>
    </row>
    <row r="113" spans="1:28">
      <c r="A113" s="82" t="s">
        <v>242</v>
      </c>
      <c r="B113" s="121">
        <v>-2.8351319648093845</v>
      </c>
      <c r="C113" s="71"/>
      <c r="D113" s="12">
        <v>0.14014083879485537</v>
      </c>
      <c r="E113" s="10">
        <v>3</v>
      </c>
      <c r="F113" s="10">
        <v>243.00000000000003</v>
      </c>
      <c r="G113" s="6">
        <v>1.48</v>
      </c>
      <c r="H113" s="14">
        <f t="shared" si="1"/>
        <v>-3.16</v>
      </c>
      <c r="I113" s="23"/>
      <c r="J113" s="7"/>
      <c r="K113" s="7"/>
      <c r="L113" s="24"/>
      <c r="M113" s="11" t="s">
        <v>243</v>
      </c>
    </row>
    <row r="114" spans="1:28">
      <c r="A114" s="83" t="s">
        <v>244</v>
      </c>
      <c r="B114" s="121">
        <v>-2.8556744868035202</v>
      </c>
      <c r="C114" s="71"/>
      <c r="D114" s="12">
        <v>0.13726989684757951</v>
      </c>
      <c r="E114" s="10">
        <v>3</v>
      </c>
      <c r="F114" s="10">
        <v>191</v>
      </c>
      <c r="G114" s="6">
        <v>1.67</v>
      </c>
      <c r="H114" s="14">
        <f t="shared" si="1"/>
        <v>-2.83</v>
      </c>
      <c r="I114" s="23"/>
      <c r="J114" s="7"/>
      <c r="K114" s="7"/>
      <c r="L114" s="24"/>
      <c r="M114" s="11" t="s">
        <v>245</v>
      </c>
    </row>
    <row r="115" spans="1:28">
      <c r="A115" s="82" t="s">
        <v>246</v>
      </c>
      <c r="B115" s="121">
        <v>-6.3170381231671557</v>
      </c>
      <c r="C115" s="71"/>
      <c r="D115" s="12">
        <v>0.21357402153711522</v>
      </c>
      <c r="E115" s="10">
        <v>7</v>
      </c>
      <c r="F115" s="10">
        <v>183.5</v>
      </c>
      <c r="G115" s="6">
        <v>4.37</v>
      </c>
      <c r="H115" s="14">
        <f t="shared" si="1"/>
        <v>-5.4550000000000001</v>
      </c>
      <c r="I115" s="23"/>
      <c r="J115" s="7"/>
      <c r="K115" s="7"/>
      <c r="L115" s="24"/>
      <c r="M115" s="11" t="s">
        <v>247</v>
      </c>
    </row>
    <row r="116" spans="1:28">
      <c r="A116" s="82" t="s">
        <v>248</v>
      </c>
      <c r="B116" s="121">
        <v>-5.3431231671554249</v>
      </c>
      <c r="C116" s="71"/>
      <c r="D116" s="12">
        <v>0.10564411177747912</v>
      </c>
      <c r="E116" s="10">
        <v>3</v>
      </c>
      <c r="F116" s="10">
        <v>149</v>
      </c>
      <c r="G116" s="6">
        <v>2.62</v>
      </c>
      <c r="H116" s="14">
        <f t="shared" si="1"/>
        <v>-3.3600000000000003</v>
      </c>
      <c r="I116" s="23"/>
      <c r="J116" s="7"/>
      <c r="K116" s="7"/>
      <c r="L116" s="24"/>
      <c r="M116" s="11" t="s">
        <v>249</v>
      </c>
    </row>
    <row r="117" spans="1:28">
      <c r="A117" s="81" t="s">
        <v>250</v>
      </c>
      <c r="B117" s="121">
        <v>-0.76605571847507292</v>
      </c>
      <c r="C117" s="71"/>
      <c r="D117" s="12">
        <v>0.14623917640453388</v>
      </c>
      <c r="E117" s="10">
        <v>8</v>
      </c>
      <c r="F117" s="10">
        <v>165</v>
      </c>
      <c r="G117" s="6">
        <v>-0.37</v>
      </c>
      <c r="H117" s="14">
        <f t="shared" si="1"/>
        <v>-0.53000000000000014</v>
      </c>
      <c r="I117" s="23"/>
      <c r="J117" s="7"/>
      <c r="K117" s="7"/>
      <c r="L117" s="24"/>
      <c r="M117" s="11" t="s">
        <v>251</v>
      </c>
    </row>
    <row r="118" spans="1:28">
      <c r="A118" s="82" t="s">
        <v>252</v>
      </c>
      <c r="B118" s="121">
        <v>-1.1464809384164218</v>
      </c>
      <c r="C118" s="71"/>
      <c r="D118" s="12">
        <v>0.16291639539032501</v>
      </c>
      <c r="E118" s="10">
        <v>10</v>
      </c>
      <c r="F118" s="10">
        <v>225</v>
      </c>
      <c r="G118" s="6">
        <v>0.81</v>
      </c>
      <c r="H118" s="14">
        <f t="shared" si="1"/>
        <v>-2.31</v>
      </c>
      <c r="I118" s="23"/>
      <c r="J118" s="7"/>
      <c r="K118" s="7"/>
      <c r="L118" s="24"/>
      <c r="M118" s="11" t="s">
        <v>253</v>
      </c>
    </row>
    <row r="119" spans="1:28">
      <c r="A119" s="82" t="s">
        <v>254</v>
      </c>
      <c r="B119" s="121">
        <v>-5.1546920821114348</v>
      </c>
      <c r="C119" s="71"/>
      <c r="D119" s="12">
        <v>0.21166647357477791</v>
      </c>
      <c r="E119" s="10">
        <v>5</v>
      </c>
      <c r="F119" s="10">
        <v>270</v>
      </c>
      <c r="G119" s="6">
        <v>0.62</v>
      </c>
      <c r="H119" s="14">
        <f t="shared" si="1"/>
        <v>-2.5700000000000003</v>
      </c>
      <c r="I119" s="23"/>
      <c r="J119" s="7"/>
      <c r="K119" s="7"/>
      <c r="L119" s="24"/>
      <c r="M119" s="11" t="s">
        <v>255</v>
      </c>
    </row>
    <row r="120" spans="1:28">
      <c r="A120" s="81" t="s">
        <v>256</v>
      </c>
      <c r="B120" s="121">
        <v>-1.1529863147605071</v>
      </c>
      <c r="C120" s="71"/>
      <c r="D120" s="12">
        <v>0.14175650298978676</v>
      </c>
      <c r="E120" s="10">
        <v>9</v>
      </c>
      <c r="F120" s="10">
        <v>312.66666666666669</v>
      </c>
      <c r="G120" s="6">
        <v>0.83</v>
      </c>
      <c r="H120" s="14">
        <f t="shared" si="1"/>
        <v>-3.206666666666667</v>
      </c>
      <c r="I120" s="23"/>
      <c r="J120" s="7"/>
      <c r="K120" s="7"/>
      <c r="L120" s="24"/>
      <c r="M120" s="11" t="s">
        <v>257</v>
      </c>
    </row>
    <row r="121" spans="1:28">
      <c r="A121" s="82" t="s">
        <v>258</v>
      </c>
      <c r="B121" s="121">
        <v>-4.5131524926686195</v>
      </c>
      <c r="C121" s="71"/>
      <c r="D121" s="12">
        <v>0.2034688635346244</v>
      </c>
      <c r="E121" s="10">
        <v>11</v>
      </c>
      <c r="F121" s="10">
        <v>161</v>
      </c>
      <c r="G121" s="6">
        <v>3.61</v>
      </c>
      <c r="H121" s="14">
        <f t="shared" si="1"/>
        <v>-4.47</v>
      </c>
      <c r="I121" s="23"/>
      <c r="J121" s="7"/>
      <c r="K121" s="7"/>
      <c r="L121" s="24"/>
      <c r="M121" s="11" t="s">
        <v>259</v>
      </c>
    </row>
    <row r="122" spans="1:28">
      <c r="A122" s="81" t="s">
        <v>109</v>
      </c>
      <c r="B122" s="121">
        <v>-1.2698680351906175</v>
      </c>
      <c r="C122" s="71"/>
      <c r="D122" s="12">
        <v>0.20579636821699754</v>
      </c>
      <c r="E122" s="10">
        <v>3</v>
      </c>
      <c r="F122" s="10">
        <v>300</v>
      </c>
      <c r="G122" s="6">
        <v>-1.06</v>
      </c>
      <c r="H122" s="14">
        <f t="shared" si="1"/>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s="120">
        <v>-5.6594061583577719</v>
      </c>
      <c r="C129" s="73" t="s">
        <v>30</v>
      </c>
      <c r="D129" s="12">
        <v>0.50033555401430185</v>
      </c>
      <c r="E129" s="10">
        <v>3</v>
      </c>
      <c r="F129" s="10">
        <v>180</v>
      </c>
      <c r="G129" s="1">
        <v>1.91</v>
      </c>
      <c r="H129" s="14">
        <f t="shared" ref="H129:H160" si="2">0.5-G129-0.01*(F129-25)</f>
        <v>-2.96</v>
      </c>
      <c r="I129" s="53" t="s">
        <v>31</v>
      </c>
      <c r="J129" s="54"/>
      <c r="K129" s="14"/>
      <c r="L129" s="14"/>
      <c r="M129" s="3" t="s">
        <v>269</v>
      </c>
    </row>
    <row r="130" spans="1:13">
      <c r="A130" s="82" t="s">
        <v>270</v>
      </c>
      <c r="B130" s="29">
        <v>-10.518753665689148</v>
      </c>
      <c r="C130" s="73" t="s">
        <v>36</v>
      </c>
      <c r="D130" s="12">
        <v>0.5</v>
      </c>
      <c r="E130" s="6">
        <v>5</v>
      </c>
      <c r="F130" s="10">
        <v>156</v>
      </c>
      <c r="G130" s="1">
        <v>6.94</v>
      </c>
      <c r="H130" s="14">
        <f t="shared" si="2"/>
        <v>-7.75</v>
      </c>
      <c r="I130" s="53" t="s">
        <v>37</v>
      </c>
      <c r="J130" s="54"/>
      <c r="K130" s="14"/>
      <c r="L130" s="14"/>
      <c r="M130" s="3" t="s">
        <v>271</v>
      </c>
    </row>
    <row r="131" spans="1:13">
      <c r="A131" s="83" t="s">
        <v>272</v>
      </c>
      <c r="B131" s="121">
        <v>-7.069076246334312</v>
      </c>
      <c r="C131" s="73" t="s">
        <v>41</v>
      </c>
      <c r="D131" s="12">
        <v>0.6530957900260097</v>
      </c>
      <c r="E131" s="10">
        <v>3</v>
      </c>
      <c r="F131" s="10">
        <v>208</v>
      </c>
      <c r="G131" s="1">
        <v>5.18</v>
      </c>
      <c r="H131" s="14">
        <f t="shared" si="2"/>
        <v>-6.51</v>
      </c>
      <c r="I131" s="53" t="s">
        <v>42</v>
      </c>
      <c r="J131" s="54"/>
      <c r="K131" s="14"/>
      <c r="L131" s="14"/>
      <c r="M131" s="3" t="s">
        <v>273</v>
      </c>
    </row>
    <row r="132" spans="1:13">
      <c r="A132" s="82" t="s">
        <v>274</v>
      </c>
      <c r="B132" s="121">
        <v>-3.2700879765395889</v>
      </c>
      <c r="C132" s="73" t="s">
        <v>46</v>
      </c>
      <c r="D132" s="12">
        <v>0.59285217963150294</v>
      </c>
      <c r="E132" s="10">
        <v>3</v>
      </c>
      <c r="F132" s="10">
        <v>100</v>
      </c>
      <c r="G132" s="1">
        <v>2.37</v>
      </c>
      <c r="H132" s="14">
        <f t="shared" si="2"/>
        <v>-2.62</v>
      </c>
      <c r="I132" s="15" t="s">
        <v>47</v>
      </c>
      <c r="J132" s="29"/>
      <c r="K132" s="14"/>
      <c r="L132" s="14"/>
      <c r="M132" s="3" t="s">
        <v>275</v>
      </c>
    </row>
    <row r="133" spans="1:13">
      <c r="A133" s="82" t="s">
        <v>276</v>
      </c>
      <c r="B133" s="121">
        <v>-9.109296187683281</v>
      </c>
      <c r="C133" s="73" t="s">
        <v>51</v>
      </c>
      <c r="D133" s="12">
        <v>0.51067901383936642</v>
      </c>
      <c r="E133" s="10">
        <v>5</v>
      </c>
      <c r="F133" s="10">
        <v>217</v>
      </c>
      <c r="G133" s="1">
        <v>3.19</v>
      </c>
      <c r="H133" s="14">
        <f t="shared" si="2"/>
        <v>-4.6099999999999994</v>
      </c>
      <c r="I133" s="15" t="s">
        <v>52</v>
      </c>
      <c r="J133" s="29"/>
      <c r="K133" s="14"/>
      <c r="L133" s="14"/>
      <c r="M133" s="3" t="s">
        <v>277</v>
      </c>
    </row>
    <row r="134" spans="1:13">
      <c r="A134" s="82" t="s">
        <v>278</v>
      </c>
      <c r="B134" s="121">
        <v>-8.6984237536656881</v>
      </c>
      <c r="C134" s="71"/>
      <c r="D134" s="12">
        <v>0.83065522865171437</v>
      </c>
      <c r="E134" s="10">
        <v>3</v>
      </c>
      <c r="F134" s="10">
        <v>209.50000000000003</v>
      </c>
      <c r="G134" s="1">
        <v>4.41</v>
      </c>
      <c r="H134" s="14">
        <f t="shared" si="2"/>
        <v>-5.7550000000000008</v>
      </c>
      <c r="I134" s="15" t="s">
        <v>56</v>
      </c>
      <c r="J134" s="29"/>
      <c r="K134" s="14"/>
      <c r="L134" s="14"/>
      <c r="M134" s="3" t="s">
        <v>279</v>
      </c>
    </row>
    <row r="135" spans="1:13">
      <c r="A135" s="82" t="s">
        <v>280</v>
      </c>
      <c r="B135" s="121">
        <v>-6.5348533724340161</v>
      </c>
      <c r="C135" s="71"/>
      <c r="D135" s="12">
        <v>0.51097181417141646</v>
      </c>
      <c r="E135" s="10">
        <v>6</v>
      </c>
      <c r="F135" s="10">
        <v>97.5</v>
      </c>
      <c r="G135" s="1">
        <v>5.19</v>
      </c>
      <c r="H135" s="14">
        <f t="shared" si="2"/>
        <v>-5.415</v>
      </c>
      <c r="I135" s="15" t="s">
        <v>60</v>
      </c>
      <c r="J135" s="31"/>
      <c r="K135" s="14"/>
      <c r="L135" s="14"/>
      <c r="M135" s="3" t="s">
        <v>281</v>
      </c>
    </row>
    <row r="136" spans="1:13">
      <c r="A136" s="81" t="s">
        <v>282</v>
      </c>
      <c r="B136" s="121">
        <v>-9.9103519061583558</v>
      </c>
      <c r="C136" s="71"/>
      <c r="D136" s="12">
        <v>0.92735432696895004</v>
      </c>
      <c r="E136" s="10">
        <v>5</v>
      </c>
      <c r="F136" s="10">
        <v>211</v>
      </c>
      <c r="G136" s="1">
        <v>7.49</v>
      </c>
      <c r="H136" s="14">
        <f t="shared" si="2"/>
        <v>-8.85</v>
      </c>
      <c r="I136" s="30" t="s">
        <v>64</v>
      </c>
      <c r="J136" s="123" t="s">
        <v>419</v>
      </c>
      <c r="K136" s="33"/>
      <c r="L136" s="34"/>
      <c r="M136" s="3" t="s">
        <v>283</v>
      </c>
    </row>
    <row r="137" spans="1:13">
      <c r="A137" s="82" t="s">
        <v>112</v>
      </c>
      <c r="B137" s="121">
        <v>-6.9535043988269774</v>
      </c>
      <c r="C137" s="71"/>
      <c r="D137" s="12">
        <v>0.68239272333923895</v>
      </c>
      <c r="E137" s="10">
        <v>3</v>
      </c>
      <c r="F137" s="10">
        <v>177</v>
      </c>
      <c r="G137" s="1">
        <v>3.37</v>
      </c>
      <c r="H137" s="14">
        <f t="shared" si="2"/>
        <v>-4.3900000000000006</v>
      </c>
      <c r="J137" s="14"/>
      <c r="K137" s="14"/>
      <c r="L137" s="14"/>
      <c r="M137" s="3" t="s">
        <v>284</v>
      </c>
    </row>
    <row r="138" spans="1:13">
      <c r="A138" s="82" t="s">
        <v>285</v>
      </c>
      <c r="B138" s="121">
        <v>-8.9389985337243392</v>
      </c>
      <c r="C138" s="71"/>
      <c r="D138" s="12">
        <v>0.520951861602862</v>
      </c>
      <c r="E138" s="10">
        <v>10</v>
      </c>
      <c r="F138" s="10">
        <v>228.6</v>
      </c>
      <c r="G138" s="1">
        <v>4.22</v>
      </c>
      <c r="H138" s="14">
        <f t="shared" si="2"/>
        <v>-5.7560000000000002</v>
      </c>
      <c r="I138" s="16" t="s">
        <v>286</v>
      </c>
      <c r="J138" s="17"/>
      <c r="K138" s="17"/>
      <c r="L138" s="18"/>
      <c r="M138" s="3" t="s">
        <v>287</v>
      </c>
    </row>
    <row r="139" spans="1:13">
      <c r="A139" s="81" t="s">
        <v>288</v>
      </c>
      <c r="B139" s="121">
        <v>-1.2242375366568914</v>
      </c>
      <c r="C139" s="71"/>
      <c r="D139" s="12">
        <v>0.53906642829149898</v>
      </c>
      <c r="E139" s="10">
        <v>3</v>
      </c>
      <c r="F139" s="10">
        <v>161.5</v>
      </c>
      <c r="G139" s="1">
        <v>-0.21</v>
      </c>
      <c r="H139" s="14">
        <f t="shared" si="2"/>
        <v>-0.65500000000000003</v>
      </c>
      <c r="I139" s="141" t="s">
        <v>414</v>
      </c>
      <c r="J139" s="21"/>
      <c r="K139" s="21"/>
      <c r="L139" s="22"/>
      <c r="M139" s="3" t="s">
        <v>289</v>
      </c>
    </row>
    <row r="140" spans="1:13">
      <c r="A140" s="81" t="s">
        <v>290</v>
      </c>
      <c r="B140" s="121">
        <v>-5.8305351906158354</v>
      </c>
      <c r="C140" s="71"/>
      <c r="D140" s="12">
        <v>0.56233984781338708</v>
      </c>
      <c r="E140" s="10">
        <v>11</v>
      </c>
      <c r="F140" s="10">
        <v>213.49999999999997</v>
      </c>
      <c r="G140" s="1">
        <v>3.04</v>
      </c>
      <c r="H140" s="14">
        <f t="shared" si="2"/>
        <v>-4.4249999999999998</v>
      </c>
      <c r="I140" s="141" t="s">
        <v>415</v>
      </c>
      <c r="J140" s="21"/>
      <c r="K140" s="21"/>
      <c r="L140" s="22"/>
      <c r="M140" s="3" t="s">
        <v>291</v>
      </c>
    </row>
    <row r="141" spans="1:13">
      <c r="A141" s="83" t="s">
        <v>292</v>
      </c>
      <c r="B141" s="121">
        <v>-5.3221994134897361</v>
      </c>
      <c r="C141" s="71"/>
      <c r="D141" s="12">
        <v>0.54710381306524825</v>
      </c>
      <c r="E141" s="10">
        <v>4</v>
      </c>
      <c r="F141" s="10">
        <v>168.5</v>
      </c>
      <c r="G141" s="1">
        <v>3.35</v>
      </c>
      <c r="H141" s="14">
        <f t="shared" si="2"/>
        <v>-4.2850000000000001</v>
      </c>
      <c r="I141" s="142" t="s">
        <v>416</v>
      </c>
      <c r="J141" s="7"/>
      <c r="K141" s="7"/>
      <c r="L141" s="24"/>
      <c r="M141" s="3" t="s">
        <v>293</v>
      </c>
    </row>
    <row r="142" spans="1:13">
      <c r="A142" s="81" t="s">
        <v>114</v>
      </c>
      <c r="B142" s="121">
        <v>-4.1795337243401764</v>
      </c>
      <c r="C142" s="71"/>
      <c r="D142" s="12">
        <v>0.54612637818466869</v>
      </c>
      <c r="E142" s="10">
        <v>3</v>
      </c>
      <c r="F142" s="13">
        <v>124.1</v>
      </c>
      <c r="G142" s="1">
        <v>2.81</v>
      </c>
      <c r="H142" s="14">
        <f t="shared" si="2"/>
        <v>-3.3010000000000002</v>
      </c>
      <c r="I142" s="142" t="s">
        <v>417</v>
      </c>
      <c r="J142" s="7"/>
      <c r="K142" s="7"/>
      <c r="L142" s="24"/>
      <c r="M142" s="3" t="s">
        <v>294</v>
      </c>
    </row>
    <row r="143" spans="1:13">
      <c r="A143" s="81" t="s">
        <v>295</v>
      </c>
      <c r="B143" s="121">
        <v>-7.360117302052787</v>
      </c>
      <c r="C143" s="71"/>
      <c r="D143" s="12">
        <v>0.51160213896594608</v>
      </c>
      <c r="E143" s="10">
        <v>4</v>
      </c>
      <c r="F143" s="10">
        <v>165</v>
      </c>
      <c r="G143" s="1">
        <v>4.8899999999999997</v>
      </c>
      <c r="H143" s="14">
        <f t="shared" si="2"/>
        <v>-5.79</v>
      </c>
      <c r="I143" s="25"/>
      <c r="J143" s="7"/>
      <c r="K143" s="7"/>
      <c r="L143" s="24"/>
      <c r="M143" s="3" t="s">
        <v>296</v>
      </c>
    </row>
    <row r="144" spans="1:13">
      <c r="A144" s="81" t="s">
        <v>117</v>
      </c>
      <c r="B144" s="121">
        <v>-6.4246363636363633</v>
      </c>
      <c r="C144" s="71"/>
      <c r="D144" s="12">
        <v>0.65141515533308314</v>
      </c>
      <c r="E144" s="10">
        <v>4</v>
      </c>
      <c r="F144" s="10">
        <v>161.1</v>
      </c>
      <c r="G144" s="1">
        <v>4.76</v>
      </c>
      <c r="H144" s="14">
        <f t="shared" si="2"/>
        <v>-5.6209999999999996</v>
      </c>
      <c r="I144" s="25"/>
      <c r="J144" s="7"/>
      <c r="K144" s="7"/>
      <c r="L144" s="24"/>
      <c r="M144" s="3" t="s">
        <v>297</v>
      </c>
    </row>
    <row r="145" spans="1:28">
      <c r="A145" s="83" t="s">
        <v>298</v>
      </c>
      <c r="B145" s="121">
        <v>-6.7810850439882699</v>
      </c>
      <c r="C145" s="71"/>
      <c r="D145" s="12">
        <v>0.65883215509381909</v>
      </c>
      <c r="E145" s="10">
        <v>3</v>
      </c>
      <c r="F145" s="10">
        <v>155</v>
      </c>
      <c r="G145" s="1">
        <v>3.74</v>
      </c>
      <c r="H145" s="14">
        <f t="shared" si="2"/>
        <v>-4.54</v>
      </c>
      <c r="I145" s="25"/>
      <c r="J145" s="7"/>
      <c r="K145" s="7"/>
      <c r="L145" s="24"/>
      <c r="M145" s="3" t="s">
        <v>299</v>
      </c>
    </row>
    <row r="146" spans="1:28">
      <c r="A146" s="82" t="s">
        <v>300</v>
      </c>
      <c r="B146" s="121">
        <v>-8.4768739002932563</v>
      </c>
      <c r="C146" s="71"/>
      <c r="D146" s="12">
        <v>0.61400477095750339</v>
      </c>
      <c r="E146" s="10">
        <v>3</v>
      </c>
      <c r="F146" s="10">
        <v>165.4</v>
      </c>
      <c r="G146" s="1">
        <v>5.58</v>
      </c>
      <c r="H146" s="14">
        <f t="shared" si="2"/>
        <v>-6.484</v>
      </c>
      <c r="I146" s="25"/>
      <c r="J146" s="7"/>
      <c r="K146" s="7"/>
      <c r="L146" s="24"/>
      <c r="M146" s="3" t="s">
        <v>301</v>
      </c>
    </row>
    <row r="147" spans="1:28">
      <c r="A147" s="82" t="s">
        <v>302</v>
      </c>
      <c r="B147" s="121">
        <v>-7.6742448680351885</v>
      </c>
      <c r="C147" s="71"/>
      <c r="D147" s="12">
        <v>0.50406532001413251</v>
      </c>
      <c r="E147" s="10">
        <v>6</v>
      </c>
      <c r="F147" s="10">
        <v>161</v>
      </c>
      <c r="G147" s="1">
        <v>6.45</v>
      </c>
      <c r="H147" s="14">
        <f t="shared" si="2"/>
        <v>-7.3100000000000005</v>
      </c>
      <c r="I147" s="26"/>
      <c r="J147" s="27"/>
      <c r="K147" s="27"/>
      <c r="L147" s="28"/>
      <c r="M147" s="3" t="s">
        <v>303</v>
      </c>
    </row>
    <row r="148" spans="1:28">
      <c r="A148" s="82" t="s">
        <v>304</v>
      </c>
      <c r="B148" s="121">
        <v>-9.6421480938416408</v>
      </c>
      <c r="C148" s="71"/>
      <c r="D148" s="12">
        <v>0.75493366325441691</v>
      </c>
      <c r="E148" s="10">
        <v>4</v>
      </c>
      <c r="F148" s="10">
        <v>193.5</v>
      </c>
      <c r="G148" s="1">
        <v>5.41</v>
      </c>
      <c r="H148" s="14">
        <f t="shared" si="2"/>
        <v>-6.5950000000000006</v>
      </c>
      <c r="J148" s="14"/>
      <c r="K148" s="14"/>
      <c r="L148" s="14"/>
      <c r="M148" s="3" t="s">
        <v>305</v>
      </c>
    </row>
    <row r="149" spans="1:28">
      <c r="A149" s="82" t="s">
        <v>306</v>
      </c>
      <c r="B149" s="121">
        <v>-6.479699413489735</v>
      </c>
      <c r="C149" s="71"/>
      <c r="D149" s="12">
        <v>0.50089358058597189</v>
      </c>
      <c r="E149" s="10">
        <v>3</v>
      </c>
      <c r="F149" s="10">
        <v>156</v>
      </c>
      <c r="G149" s="1">
        <v>2.9</v>
      </c>
      <c r="H149" s="14">
        <f t="shared" si="2"/>
        <v>-3.71</v>
      </c>
      <c r="I149" s="70" t="s">
        <v>133</v>
      </c>
      <c r="J149" s="143">
        <v>371</v>
      </c>
      <c r="K149" s="34"/>
      <c r="L149" s="14"/>
      <c r="M149" s="3" t="s">
        <v>307</v>
      </c>
    </row>
    <row r="150" spans="1:28">
      <c r="A150" s="83" t="s">
        <v>308</v>
      </c>
      <c r="B150" s="121">
        <v>-6.0790615835777135</v>
      </c>
      <c r="C150" s="71"/>
      <c r="D150" s="12">
        <v>0.6587984329866341</v>
      </c>
      <c r="E150" s="10">
        <v>4</v>
      </c>
      <c r="F150" s="10">
        <v>183.5</v>
      </c>
      <c r="G150" s="1">
        <v>3.16</v>
      </c>
      <c r="H150" s="14">
        <f t="shared" si="2"/>
        <v>-4.2450000000000001</v>
      </c>
      <c r="I150" s="70" t="s">
        <v>136</v>
      </c>
      <c r="J150" s="32"/>
      <c r="K150" s="34"/>
      <c r="L150" s="14"/>
      <c r="M150" s="3" t="s">
        <v>309</v>
      </c>
    </row>
    <row r="151" spans="1:28">
      <c r="A151" s="83" t="s">
        <v>310</v>
      </c>
      <c r="B151" s="121">
        <v>-2.2657184750733128</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s="121">
        <v>-7.4659970674486811</v>
      </c>
      <c r="C152" s="71"/>
      <c r="D152" s="12">
        <v>0.57115657899345518</v>
      </c>
      <c r="E152" s="10">
        <v>7</v>
      </c>
      <c r="F152" s="10">
        <v>177</v>
      </c>
      <c r="G152" s="1">
        <v>3.17</v>
      </c>
      <c r="H152" s="14">
        <f t="shared" si="2"/>
        <v>-4.1899999999999995</v>
      </c>
      <c r="I152" s="14"/>
      <c r="J152" s="14"/>
      <c r="K152" s="14"/>
      <c r="L152" s="14"/>
      <c r="M152" s="3" t="s">
        <v>313</v>
      </c>
    </row>
    <row r="153" spans="1:28">
      <c r="A153" s="81" t="s">
        <v>314</v>
      </c>
      <c r="B153" s="121">
        <v>-9.5104838709677395</v>
      </c>
      <c r="C153" s="71"/>
      <c r="D153" s="12">
        <v>0.55807775121880254</v>
      </c>
      <c r="E153" s="10">
        <v>6</v>
      </c>
      <c r="F153" s="10">
        <v>145</v>
      </c>
      <c r="G153" s="1">
        <v>6.08</v>
      </c>
      <c r="H153" s="14">
        <f t="shared" si="2"/>
        <v>-6.78</v>
      </c>
      <c r="I153" s="19" t="s">
        <v>144</v>
      </c>
      <c r="J153" s="17"/>
      <c r="K153" s="17"/>
      <c r="L153" s="18"/>
      <c r="M153" s="3" t="s">
        <v>315</v>
      </c>
    </row>
    <row r="154" spans="1:28">
      <c r="A154" s="81" t="s">
        <v>316</v>
      </c>
      <c r="B154" s="121">
        <v>-6.5920175953079188</v>
      </c>
      <c r="C154" s="71"/>
      <c r="D154" s="12">
        <v>0.66417698790166113</v>
      </c>
      <c r="E154" s="10">
        <v>3</v>
      </c>
      <c r="F154" s="13">
        <v>175.8</v>
      </c>
      <c r="G154" s="1">
        <v>4.62</v>
      </c>
      <c r="H154" s="14">
        <f t="shared" si="2"/>
        <v>-5.6280000000000001</v>
      </c>
      <c r="I154" s="20" t="s">
        <v>418</v>
      </c>
      <c r="J154" s="21"/>
      <c r="K154" s="21"/>
      <c r="L154" s="22"/>
      <c r="M154" s="3" t="s">
        <v>317</v>
      </c>
    </row>
    <row r="155" spans="1:28">
      <c r="A155" s="82" t="s">
        <v>318</v>
      </c>
      <c r="B155" s="121">
        <v>-9.3783120234604098</v>
      </c>
      <c r="C155" s="71"/>
      <c r="D155" s="12">
        <v>0.57716593661781801</v>
      </c>
      <c r="E155" s="10">
        <v>3</v>
      </c>
      <c r="F155" s="10">
        <v>349.84</v>
      </c>
      <c r="G155" s="1">
        <v>3.09</v>
      </c>
      <c r="H155" s="14">
        <f t="shared" si="2"/>
        <v>-5.8384</v>
      </c>
      <c r="I155" s="23"/>
      <c r="J155" s="7"/>
      <c r="K155" s="7"/>
      <c r="L155" s="24"/>
      <c r="M155" s="3" t="s">
        <v>319</v>
      </c>
    </row>
    <row r="156" spans="1:28">
      <c r="A156" s="83" t="s">
        <v>320</v>
      </c>
      <c r="B156" s="121">
        <v>-2.2111143695014661</v>
      </c>
      <c r="C156" s="71"/>
      <c r="D156" s="12">
        <v>0.70324590282883903</v>
      </c>
      <c r="E156" s="10">
        <v>3</v>
      </c>
      <c r="F156" s="10">
        <v>204</v>
      </c>
      <c r="G156" s="1">
        <v>0.88</v>
      </c>
      <c r="H156" s="14">
        <f t="shared" si="2"/>
        <v>-2.17</v>
      </c>
      <c r="I156" s="23"/>
      <c r="J156" s="7"/>
      <c r="K156" s="7"/>
      <c r="L156" s="24"/>
      <c r="M156" s="3" t="s">
        <v>321</v>
      </c>
    </row>
    <row r="157" spans="1:28">
      <c r="A157" s="82" t="s">
        <v>322</v>
      </c>
      <c r="B157" s="121">
        <v>-6.7411451612903219</v>
      </c>
      <c r="C157" s="71"/>
      <c r="D157" s="12">
        <v>0.7237903588794764</v>
      </c>
      <c r="E157" s="10">
        <v>7</v>
      </c>
      <c r="F157" s="10">
        <v>97.8</v>
      </c>
      <c r="G157" s="1">
        <v>6</v>
      </c>
      <c r="H157" s="14">
        <f t="shared" si="2"/>
        <v>-6.2279999999999998</v>
      </c>
      <c r="I157" s="23"/>
      <c r="J157" s="7"/>
      <c r="K157" s="7"/>
      <c r="L157" s="24"/>
      <c r="M157" s="3" t="s">
        <v>323</v>
      </c>
    </row>
    <row r="158" spans="1:28">
      <c r="A158" s="82" t="s">
        <v>324</v>
      </c>
      <c r="B158" s="121">
        <v>-10.312815249266862</v>
      </c>
      <c r="C158" s="71"/>
      <c r="D158" s="12">
        <v>0.84033450922624497</v>
      </c>
      <c r="E158" s="10">
        <v>5</v>
      </c>
      <c r="F158" s="10">
        <v>262</v>
      </c>
      <c r="G158" s="1">
        <v>7.26</v>
      </c>
      <c r="H158" s="14">
        <f t="shared" si="2"/>
        <v>-9.129999999999999</v>
      </c>
      <c r="I158" s="23"/>
      <c r="J158" s="7"/>
      <c r="K158" s="7"/>
      <c r="L158" s="24"/>
      <c r="M158" s="3" t="s">
        <v>325</v>
      </c>
    </row>
    <row r="159" spans="1:28">
      <c r="A159" s="82" t="s">
        <v>326</v>
      </c>
      <c r="B159" s="121">
        <v>-9.3979794721407632</v>
      </c>
      <c r="C159" s="71"/>
      <c r="D159" s="12">
        <v>0.70969645885144073</v>
      </c>
      <c r="E159" s="10">
        <v>11</v>
      </c>
      <c r="F159" s="10">
        <v>149.6</v>
      </c>
      <c r="G159" s="1">
        <v>6.45</v>
      </c>
      <c r="H159" s="14">
        <f t="shared" si="2"/>
        <v>-7.1959999999999997</v>
      </c>
      <c r="I159" s="23"/>
      <c r="J159" s="7"/>
      <c r="K159" s="7"/>
      <c r="L159" s="24"/>
      <c r="M159" s="3" t="s">
        <v>327</v>
      </c>
    </row>
    <row r="160" spans="1:28" s="62" customFormat="1">
      <c r="A160" s="81" t="s">
        <v>328</v>
      </c>
      <c r="B160" s="121">
        <v>-5.3540909090909086</v>
      </c>
      <c r="C160" s="71"/>
      <c r="D160" s="12">
        <v>0.49644864464459931</v>
      </c>
      <c r="E160" s="10">
        <v>4</v>
      </c>
      <c r="F160" s="10">
        <v>304.5</v>
      </c>
      <c r="G160" s="1">
        <v>2.69</v>
      </c>
      <c r="H160" s="14">
        <f t="shared" si="2"/>
        <v>-4.9849999999999994</v>
      </c>
      <c r="I160" s="35"/>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141" t="s">
        <v>415</v>
      </c>
      <c r="B194" s="21"/>
      <c r="C194" s="21"/>
      <c r="D194" s="22"/>
      <c r="E194" s="44"/>
      <c r="F194" s="44"/>
      <c r="G194" s="44"/>
      <c r="H194" s="44"/>
      <c r="I194" s="44"/>
      <c r="J194" s="44"/>
      <c r="K194" s="44"/>
      <c r="L194" s="44"/>
      <c r="M194" s="48"/>
      <c r="N194" s="44"/>
      <c r="O194" s="44"/>
      <c r="P194" s="44"/>
      <c r="Q194" s="45"/>
    </row>
    <row r="195" spans="1:17">
      <c r="A195" s="142" t="s">
        <v>416</v>
      </c>
      <c r="B195" s="7"/>
      <c r="C195" s="7"/>
      <c r="D195" s="24"/>
    </row>
    <row r="196" spans="1:17">
      <c r="A196" s="142" t="s">
        <v>417</v>
      </c>
      <c r="B196" s="7"/>
      <c r="C196" s="7"/>
      <c r="D196" s="24"/>
    </row>
  </sheetData>
  <pageMargins left="0" right="0" top="0" bottom="0" header="0.3" footer="0.3"/>
  <pageSetup scale="54"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E1486A-FDE1-42BB-A858-9DAE574BEBC8}">
  <dimension ref="A1:AB194"/>
  <sheetViews>
    <sheetView zoomScaleNormal="100" workbookViewId="0">
      <selection activeCell="B4" sqref="B4:B9"/>
    </sheetView>
  </sheetViews>
  <sheetFormatPr baseColWidth="10" defaultColWidth="9.1640625" defaultRowHeight="15"/>
  <cols>
    <col min="1" max="1" width="18.83203125" customWidth="1"/>
    <col min="2" max="3" width="11.33203125" customWidth="1"/>
    <col min="4" max="4" width="7.6640625" customWidth="1"/>
    <col min="5" max="5" width="7.83203125" customWidth="1"/>
    <col min="6" max="6" width="10.1640625" customWidth="1"/>
    <col min="7" max="7" width="11.33203125" customWidth="1"/>
    <col min="9" max="9" width="13.1640625" customWidth="1"/>
    <col min="10" max="10" width="4.3320312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41"/>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t="s">
        <v>374</v>
      </c>
      <c r="C14" t="s">
        <v>11</v>
      </c>
    </row>
    <row r="15" spans="1:25" s="90" customFormat="1">
      <c r="A15" s="89" t="s">
        <v>12</v>
      </c>
    </row>
    <row r="16" spans="1:25">
      <c r="B16" s="117"/>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s="120">
        <v>-2.1001213000000001</v>
      </c>
      <c r="C23" s="73" t="s">
        <v>30</v>
      </c>
      <c r="D23" s="12">
        <v>0.17592262140645501</v>
      </c>
      <c r="E23" s="10">
        <v>11</v>
      </c>
      <c r="F23" s="10">
        <v>258.5</v>
      </c>
      <c r="G23" s="6">
        <v>-0.86</v>
      </c>
      <c r="H23" s="14">
        <f t="shared" ref="H23:H86" si="0">0.5-G23-0.01*(F23-25)</f>
        <v>-0.97500000000000009</v>
      </c>
      <c r="I23" s="53" t="s">
        <v>31</v>
      </c>
      <c r="J23" s="54"/>
      <c r="K23" s="14"/>
      <c r="L23" s="14"/>
      <c r="M23" s="11" t="s">
        <v>33</v>
      </c>
    </row>
    <row r="24" spans="1:28">
      <c r="A24" s="82" t="s">
        <v>35</v>
      </c>
      <c r="B24" s="121">
        <v>-1.6971014</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s="121">
        <v>-3.0066573999999999</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s="121">
        <v>-5.1854779999999998</v>
      </c>
      <c r="C26" s="73" t="s">
        <v>46</v>
      </c>
      <c r="D26" s="12">
        <v>0.16999222507469616</v>
      </c>
      <c r="E26" s="10">
        <v>3</v>
      </c>
      <c r="F26" s="10">
        <v>234</v>
      </c>
      <c r="G26" s="6">
        <v>3.19</v>
      </c>
      <c r="H26" s="14">
        <f t="shared" si="0"/>
        <v>-4.7799999999999994</v>
      </c>
      <c r="I26" s="15" t="s">
        <v>47</v>
      </c>
      <c r="J26" s="29"/>
      <c r="K26" s="14"/>
      <c r="L26" s="14"/>
      <c r="M26" s="11" t="s">
        <v>48</v>
      </c>
    </row>
    <row r="27" spans="1:28">
      <c r="A27" s="82" t="s">
        <v>50</v>
      </c>
      <c r="B27" s="121">
        <v>-6.0929989999999998</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s="121">
        <v>-6.9752172999999997</v>
      </c>
      <c r="C28" s="71"/>
      <c r="D28" s="12">
        <v>0.18412396392404196</v>
      </c>
      <c r="E28" s="10">
        <v>3</v>
      </c>
      <c r="F28" s="10">
        <v>224.00000000000003</v>
      </c>
      <c r="G28" s="6">
        <v>5.51</v>
      </c>
      <c r="H28" s="14">
        <f t="shared" si="0"/>
        <v>-7</v>
      </c>
      <c r="I28" s="15" t="s">
        <v>56</v>
      </c>
      <c r="J28" s="29"/>
      <c r="K28" s="14"/>
      <c r="L28" s="14"/>
      <c r="M28" s="11" t="s">
        <v>57</v>
      </c>
    </row>
    <row r="29" spans="1:28">
      <c r="A29" s="81" t="s">
        <v>59</v>
      </c>
      <c r="B29" s="121">
        <v>-2.6152169999999999</v>
      </c>
      <c r="C29" s="71"/>
      <c r="D29" s="12">
        <v>0.14933733874523175</v>
      </c>
      <c r="E29" s="10">
        <v>6</v>
      </c>
      <c r="F29" s="10">
        <v>172.5</v>
      </c>
      <c r="G29" s="6">
        <v>1.78</v>
      </c>
      <c r="H29" s="14">
        <f t="shared" si="0"/>
        <v>-2.7549999999999999</v>
      </c>
      <c r="I29" s="15" t="s">
        <v>60</v>
      </c>
      <c r="J29" s="31"/>
      <c r="K29" s="14"/>
      <c r="L29" s="14"/>
      <c r="M29" s="11" t="s">
        <v>61</v>
      </c>
    </row>
    <row r="30" spans="1:28">
      <c r="A30" s="81" t="s">
        <v>63</v>
      </c>
      <c r="B30" s="121">
        <v>-1.9524226</v>
      </c>
      <c r="C30" s="71"/>
      <c r="D30" s="12">
        <v>0.14842266063120066</v>
      </c>
      <c r="E30" s="10">
        <v>4</v>
      </c>
      <c r="F30" s="10">
        <v>207.50000000000003</v>
      </c>
      <c r="G30" s="6">
        <v>1.86</v>
      </c>
      <c r="H30" s="14">
        <f t="shared" si="0"/>
        <v>-3.1850000000000005</v>
      </c>
      <c r="I30" s="30" t="s">
        <v>64</v>
      </c>
      <c r="J30" s="32" t="s">
        <v>374</v>
      </c>
      <c r="K30" s="33" t="s">
        <v>375</v>
      </c>
      <c r="L30" s="34"/>
      <c r="M30" s="11" t="s">
        <v>65</v>
      </c>
    </row>
    <row r="31" spans="1:28">
      <c r="A31" s="83" t="s">
        <v>66</v>
      </c>
      <c r="B31" s="121">
        <v>-1.4777769999999999</v>
      </c>
      <c r="C31" s="71"/>
      <c r="D31" s="12">
        <v>0.1617973106900604</v>
      </c>
      <c r="E31" s="10">
        <v>10</v>
      </c>
      <c r="F31" s="10">
        <v>166.5</v>
      </c>
      <c r="G31" s="6">
        <v>0.79</v>
      </c>
      <c r="H31" s="14">
        <f t="shared" si="0"/>
        <v>-1.7050000000000001</v>
      </c>
      <c r="J31" s="14"/>
      <c r="K31" s="14"/>
      <c r="L31" s="14"/>
      <c r="M31" s="11" t="s">
        <v>67</v>
      </c>
    </row>
    <row r="32" spans="1:28">
      <c r="A32" s="82" t="s">
        <v>68</v>
      </c>
      <c r="B32" s="121">
        <v>-5.0542154000000004</v>
      </c>
      <c r="C32" s="71"/>
      <c r="D32" s="12">
        <v>0.21543706061278237</v>
      </c>
      <c r="E32" s="10">
        <v>6</v>
      </c>
      <c r="F32" s="10">
        <v>231.5</v>
      </c>
      <c r="G32" s="6">
        <v>2.4300000000000002</v>
      </c>
      <c r="H32" s="14">
        <f t="shared" si="0"/>
        <v>-3.9950000000000001</v>
      </c>
      <c r="I32" s="16" t="s">
        <v>69</v>
      </c>
      <c r="J32" s="17"/>
      <c r="K32" s="17"/>
      <c r="L32" s="18"/>
      <c r="M32" s="11" t="s">
        <v>70</v>
      </c>
    </row>
    <row r="33" spans="1:13" ht="168.75" customHeight="1">
      <c r="A33" s="84" t="s">
        <v>71</v>
      </c>
      <c r="B33" s="122">
        <v>-3.0436540000000001</v>
      </c>
      <c r="C33" s="72"/>
      <c r="D33" s="4">
        <v>0.12912520605069597</v>
      </c>
      <c r="E33" s="2">
        <v>3</v>
      </c>
      <c r="F33" s="13">
        <v>192.7</v>
      </c>
      <c r="G33" s="6">
        <v>2.63</v>
      </c>
      <c r="H33" s="14">
        <f t="shared" si="0"/>
        <v>-3.8069999999999995</v>
      </c>
      <c r="I33" s="859" t="s">
        <v>376</v>
      </c>
      <c r="J33" s="860"/>
      <c r="K33" s="860"/>
      <c r="L33" s="861"/>
      <c r="M33" s="11" t="s">
        <v>72</v>
      </c>
    </row>
    <row r="34" spans="1:13">
      <c r="A34" s="81" t="s">
        <v>74</v>
      </c>
      <c r="B34" s="121">
        <v>-8.5033729999999998</v>
      </c>
      <c r="C34" s="71"/>
      <c r="D34" s="12">
        <v>0.14911462098310888</v>
      </c>
      <c r="E34" s="10">
        <v>6</v>
      </c>
      <c r="F34" s="10">
        <v>167</v>
      </c>
      <c r="G34" s="6">
        <v>6.32</v>
      </c>
      <c r="H34" s="14">
        <f t="shared" si="0"/>
        <v>-7.24</v>
      </c>
      <c r="I34" s="23"/>
      <c r="J34" s="7"/>
      <c r="K34" s="7"/>
      <c r="L34" s="24"/>
      <c r="M34" s="11" t="s">
        <v>75</v>
      </c>
    </row>
    <row r="35" spans="1:13">
      <c r="A35" s="82" t="s">
        <v>77</v>
      </c>
      <c r="B35" s="121">
        <v>-3.1032204999999999</v>
      </c>
      <c r="C35" s="71"/>
      <c r="D35" s="12">
        <v>0.15809078703524676</v>
      </c>
      <c r="E35" s="10">
        <v>15</v>
      </c>
      <c r="F35" s="10">
        <v>191.5</v>
      </c>
      <c r="G35" s="6">
        <v>3.39</v>
      </c>
      <c r="H35" s="14">
        <f t="shared" si="0"/>
        <v>-4.5549999999999997</v>
      </c>
      <c r="I35" s="23"/>
      <c r="J35" s="7"/>
      <c r="K35" s="7"/>
      <c r="L35" s="24"/>
      <c r="M35" s="11" t="s">
        <v>78</v>
      </c>
    </row>
    <row r="36" spans="1:13">
      <c r="A36" s="83" t="s">
        <v>80</v>
      </c>
      <c r="B36" s="121">
        <v>-3.2681490000000002</v>
      </c>
      <c r="C36" s="71"/>
      <c r="D36" s="12">
        <v>0.1911503089068218</v>
      </c>
      <c r="E36" s="10">
        <v>3</v>
      </c>
      <c r="F36" s="10">
        <v>246.2</v>
      </c>
      <c r="G36" s="6">
        <v>3.32</v>
      </c>
      <c r="H36" s="14">
        <f t="shared" si="0"/>
        <v>-5.032</v>
      </c>
      <c r="I36" s="25"/>
      <c r="J36" s="7"/>
      <c r="K36" s="7"/>
      <c r="L36" s="24"/>
      <c r="M36" s="11" t="s">
        <v>81</v>
      </c>
    </row>
    <row r="37" spans="1:13">
      <c r="A37" s="83" t="s">
        <v>73</v>
      </c>
      <c r="B37" s="121">
        <v>-1.8530644999999999</v>
      </c>
      <c r="C37" s="71"/>
      <c r="D37" s="12">
        <v>0.19050575600734274</v>
      </c>
      <c r="E37" s="10">
        <v>4</v>
      </c>
      <c r="F37" s="10">
        <v>304</v>
      </c>
      <c r="G37" s="6">
        <v>1.74</v>
      </c>
      <c r="H37" s="14">
        <f t="shared" si="0"/>
        <v>-4.03</v>
      </c>
      <c r="I37" s="25"/>
      <c r="J37" s="7"/>
      <c r="K37" s="7"/>
      <c r="L37" s="24"/>
      <c r="M37" s="11" t="s">
        <v>83</v>
      </c>
    </row>
    <row r="38" spans="1:13">
      <c r="A38" s="81" t="s">
        <v>76</v>
      </c>
      <c r="B38" s="121">
        <v>-4.5725965000000004</v>
      </c>
      <c r="C38" s="71"/>
      <c r="D38" s="12">
        <v>0.13682393527498057</v>
      </c>
      <c r="E38" s="10">
        <v>7</v>
      </c>
      <c r="F38" s="10">
        <v>187</v>
      </c>
      <c r="G38" s="6">
        <v>-0.87</v>
      </c>
      <c r="H38" s="14">
        <f t="shared" si="0"/>
        <v>-0.25</v>
      </c>
      <c r="I38" s="25"/>
      <c r="J38" s="7"/>
      <c r="K38" s="7"/>
      <c r="L38" s="24"/>
      <c r="M38" s="66" t="s">
        <v>85</v>
      </c>
    </row>
    <row r="39" spans="1:13">
      <c r="A39" s="81" t="s">
        <v>87</v>
      </c>
      <c r="B39" s="121">
        <v>-4.5725965000000004</v>
      </c>
      <c r="C39" s="71"/>
      <c r="D39" s="12">
        <v>0.20462356367492032</v>
      </c>
      <c r="E39" s="10">
        <v>4</v>
      </c>
      <c r="F39" s="10">
        <v>221.5</v>
      </c>
      <c r="G39" s="6">
        <v>0.71</v>
      </c>
      <c r="H39" s="14">
        <f t="shared" si="0"/>
        <v>-2.1749999999999998</v>
      </c>
      <c r="I39" s="25"/>
      <c r="J39" s="7"/>
      <c r="K39" s="7"/>
      <c r="L39" s="24"/>
      <c r="M39" s="11" t="s">
        <v>88</v>
      </c>
    </row>
    <row r="40" spans="1:13">
      <c r="A40" s="81" t="s">
        <v>90</v>
      </c>
      <c r="B40" s="121">
        <v>-5.462923</v>
      </c>
      <c r="C40" s="71"/>
      <c r="D40" s="12">
        <v>0.18274602564465547</v>
      </c>
      <c r="E40" s="10">
        <v>6</v>
      </c>
      <c r="F40" s="10">
        <v>157.83333333333334</v>
      </c>
      <c r="G40" s="6">
        <v>3.51</v>
      </c>
      <c r="H40" s="14">
        <f t="shared" si="0"/>
        <v>-4.3383333333333329</v>
      </c>
      <c r="I40" s="25"/>
      <c r="J40" s="39"/>
      <c r="K40" s="39"/>
      <c r="L40" s="40"/>
      <c r="M40" s="11" t="s">
        <v>91</v>
      </c>
    </row>
    <row r="41" spans="1:13">
      <c r="A41" s="84" t="s">
        <v>93</v>
      </c>
      <c r="B41" s="122">
        <v>-4.6801643000000004</v>
      </c>
      <c r="C41" s="72"/>
      <c r="D41" s="4">
        <v>0.12610247911779729</v>
      </c>
      <c r="E41" s="2">
        <v>8</v>
      </c>
      <c r="F41" s="10">
        <v>140</v>
      </c>
      <c r="G41" s="6">
        <v>0.35</v>
      </c>
      <c r="H41" s="14">
        <f t="shared" si="0"/>
        <v>-1</v>
      </c>
      <c r="I41" s="25"/>
      <c r="J41" s="39"/>
      <c r="K41" s="39"/>
      <c r="L41" s="40"/>
      <c r="M41" s="11" t="s">
        <v>94</v>
      </c>
    </row>
    <row r="42" spans="1:13">
      <c r="A42" s="82" t="s">
        <v>96</v>
      </c>
      <c r="B42" s="121">
        <v>-2.7497432000000002</v>
      </c>
      <c r="C42" s="71"/>
      <c r="D42" s="12">
        <v>0.14493441954543959</v>
      </c>
      <c r="E42" s="10">
        <v>7</v>
      </c>
      <c r="F42" s="10">
        <v>127.93333333333334</v>
      </c>
      <c r="G42" s="6">
        <v>1.74</v>
      </c>
      <c r="H42" s="14">
        <f t="shared" si="0"/>
        <v>-2.2693333333333334</v>
      </c>
      <c r="I42" s="25"/>
      <c r="J42" s="39"/>
      <c r="K42" s="39"/>
      <c r="L42" s="40"/>
      <c r="M42" s="11" t="s">
        <v>97</v>
      </c>
    </row>
    <row r="43" spans="1:13">
      <c r="A43" s="82" t="s">
        <v>79</v>
      </c>
      <c r="B43" s="121">
        <v>-7.6034439999999996</v>
      </c>
      <c r="C43" s="71"/>
      <c r="D43" s="12">
        <v>0.14861388626870758</v>
      </c>
      <c r="E43" s="10">
        <v>7</v>
      </c>
      <c r="F43" s="10">
        <v>176</v>
      </c>
      <c r="G43" s="6">
        <v>4.4800000000000004</v>
      </c>
      <c r="H43" s="14">
        <f t="shared" si="0"/>
        <v>-5.49</v>
      </c>
      <c r="I43" s="25"/>
      <c r="J43" s="39"/>
      <c r="K43" s="39"/>
      <c r="L43" s="40"/>
      <c r="M43" s="11" t="s">
        <v>99</v>
      </c>
    </row>
    <row r="44" spans="1:13">
      <c r="A44" s="85" t="s">
        <v>101</v>
      </c>
      <c r="B44" s="122">
        <v>-5.0355160000000003</v>
      </c>
      <c r="C44" s="72"/>
      <c r="D44" s="4">
        <v>0.1280711495400205</v>
      </c>
      <c r="E44" s="2">
        <v>3</v>
      </c>
      <c r="F44" s="10">
        <v>159.69999999999999</v>
      </c>
      <c r="G44" s="6">
        <v>3.46</v>
      </c>
      <c r="H44" s="14">
        <f t="shared" si="0"/>
        <v>-4.3070000000000004</v>
      </c>
      <c r="I44" s="25"/>
      <c r="J44" s="39"/>
      <c r="K44" s="39"/>
      <c r="L44" s="40"/>
      <c r="M44" s="11" t="s">
        <v>102</v>
      </c>
    </row>
    <row r="45" spans="1:13">
      <c r="A45" s="84" t="s">
        <v>104</v>
      </c>
      <c r="B45" s="122">
        <v>-3.0970688000000002</v>
      </c>
      <c r="C45" s="72"/>
      <c r="D45" s="4">
        <v>0.21683500301481054</v>
      </c>
      <c r="E45" s="2">
        <v>8</v>
      </c>
      <c r="F45" s="10">
        <v>142</v>
      </c>
      <c r="G45" s="6">
        <v>0.6</v>
      </c>
      <c r="H45" s="14">
        <f t="shared" si="0"/>
        <v>-1.27</v>
      </c>
      <c r="I45" s="25"/>
      <c r="J45" s="39"/>
      <c r="K45" s="39"/>
      <c r="L45" s="40"/>
      <c r="M45" s="11" t="s">
        <v>105</v>
      </c>
    </row>
    <row r="46" spans="1:13">
      <c r="A46" s="82" t="s">
        <v>107</v>
      </c>
      <c r="B46" s="121">
        <v>-3.6403197999999999</v>
      </c>
      <c r="C46" s="71"/>
      <c r="D46" s="12">
        <v>0.18255878892749886</v>
      </c>
      <c r="E46" s="10">
        <v>20</v>
      </c>
      <c r="F46" s="10">
        <v>267</v>
      </c>
      <c r="G46" s="6">
        <v>1.58</v>
      </c>
      <c r="H46" s="14">
        <f t="shared" si="0"/>
        <v>-3.5</v>
      </c>
      <c r="I46" s="25"/>
      <c r="J46" s="39"/>
      <c r="K46" s="39"/>
      <c r="L46" s="40"/>
      <c r="M46" s="11" t="s">
        <v>108</v>
      </c>
    </row>
    <row r="47" spans="1:13">
      <c r="A47" s="81" t="s">
        <v>110</v>
      </c>
      <c r="B47" s="121">
        <v>-5.5916804999999998</v>
      </c>
      <c r="C47" s="71"/>
      <c r="D47" s="12">
        <v>0.16704647063532602</v>
      </c>
      <c r="E47" s="10">
        <v>6</v>
      </c>
      <c r="F47" s="10">
        <v>110.00000000000001</v>
      </c>
      <c r="G47" s="6">
        <v>3.36</v>
      </c>
      <c r="H47" s="14">
        <f t="shared" si="0"/>
        <v>-3.71</v>
      </c>
      <c r="I47" s="25"/>
      <c r="J47" s="39"/>
      <c r="K47" s="39"/>
      <c r="L47" s="40"/>
      <c r="M47" s="11" t="s">
        <v>111</v>
      </c>
    </row>
    <row r="48" spans="1:13">
      <c r="A48" s="82" t="s">
        <v>82</v>
      </c>
      <c r="B48" s="121">
        <v>-3.7060757</v>
      </c>
      <c r="C48" s="71"/>
      <c r="D48" s="12">
        <v>0.17164501312359953</v>
      </c>
      <c r="E48" s="10">
        <v>7</v>
      </c>
      <c r="F48" s="10">
        <v>182</v>
      </c>
      <c r="G48" s="6">
        <v>2.67</v>
      </c>
      <c r="H48" s="14">
        <f t="shared" si="0"/>
        <v>-3.74</v>
      </c>
      <c r="I48" s="25"/>
      <c r="J48" s="39"/>
      <c r="K48" s="39"/>
      <c r="L48" s="40"/>
      <c r="M48" s="11" t="s">
        <v>113</v>
      </c>
    </row>
    <row r="49" spans="1:13">
      <c r="A49" s="84" t="s">
        <v>115</v>
      </c>
      <c r="B49" s="122">
        <v>-4.5968549999999997</v>
      </c>
      <c r="C49" s="72"/>
      <c r="D49" s="4">
        <v>0.12558353028546052</v>
      </c>
      <c r="E49" s="2">
        <v>4</v>
      </c>
      <c r="F49" s="10">
        <v>222.00000000000003</v>
      </c>
      <c r="G49" s="6">
        <v>2.56</v>
      </c>
      <c r="H49" s="14">
        <f t="shared" si="0"/>
        <v>-4.03</v>
      </c>
      <c r="I49" s="25"/>
      <c r="J49" s="39"/>
      <c r="K49" s="39"/>
      <c r="L49" s="40"/>
      <c r="M49" s="11" t="s">
        <v>116</v>
      </c>
    </row>
    <row r="50" spans="1:13">
      <c r="A50" s="82" t="s">
        <v>118</v>
      </c>
      <c r="B50" s="121">
        <v>-6.2464684999999998</v>
      </c>
      <c r="C50" s="71"/>
      <c r="D50" s="12">
        <v>0.1568133990664792</v>
      </c>
      <c r="E50" s="10">
        <v>6</v>
      </c>
      <c r="F50" s="10">
        <v>151</v>
      </c>
      <c r="G50" s="6">
        <v>3.27</v>
      </c>
      <c r="H50" s="14">
        <f t="shared" si="0"/>
        <v>-4.03</v>
      </c>
      <c r="I50" s="25"/>
      <c r="J50" s="39"/>
      <c r="K50" s="39"/>
      <c r="L50" s="40"/>
      <c r="M50" s="11" t="s">
        <v>119</v>
      </c>
    </row>
    <row r="51" spans="1:13">
      <c r="A51" s="85" t="s">
        <v>84</v>
      </c>
      <c r="B51" s="122">
        <v>-3.0414875000000001</v>
      </c>
      <c r="C51" s="72"/>
      <c r="D51" s="4">
        <v>0.12789394574374285</v>
      </c>
      <c r="E51" s="2">
        <v>5</v>
      </c>
      <c r="F51" s="10">
        <v>330</v>
      </c>
      <c r="G51" s="6">
        <v>2.87</v>
      </c>
      <c r="H51" s="14">
        <f t="shared" si="0"/>
        <v>-5.42</v>
      </c>
      <c r="I51" s="25"/>
      <c r="J51" s="39"/>
      <c r="K51" s="39"/>
      <c r="L51" s="40"/>
      <c r="M51" s="11" t="s">
        <v>120</v>
      </c>
    </row>
    <row r="52" spans="1:13">
      <c r="A52" s="82" t="s">
        <v>121</v>
      </c>
      <c r="B52" s="121">
        <v>-3.9416022000000002</v>
      </c>
      <c r="C52" s="71"/>
      <c r="D52" s="12">
        <v>0.18012800124370357</v>
      </c>
      <c r="E52" s="10">
        <v>3</v>
      </c>
      <c r="F52" s="10">
        <v>100</v>
      </c>
      <c r="G52" s="6">
        <v>3.53</v>
      </c>
      <c r="H52" s="14">
        <f t="shared" si="0"/>
        <v>-3.78</v>
      </c>
      <c r="I52" s="23"/>
      <c r="J52" s="7"/>
      <c r="K52" s="7"/>
      <c r="L52" s="24"/>
      <c r="M52" s="11" t="s">
        <v>122</v>
      </c>
    </row>
    <row r="53" spans="1:13">
      <c r="A53" s="81" t="s">
        <v>123</v>
      </c>
      <c r="B53" s="121">
        <v>-3.7427168000000002</v>
      </c>
      <c r="C53" s="71"/>
      <c r="D53" s="12">
        <v>0.18062104750721683</v>
      </c>
      <c r="E53" s="10">
        <v>16</v>
      </c>
      <c r="F53" s="10">
        <v>262.5</v>
      </c>
      <c r="G53" s="6">
        <v>1.9</v>
      </c>
      <c r="H53" s="14">
        <f t="shared" si="0"/>
        <v>-3.7749999999999999</v>
      </c>
      <c r="I53" s="23"/>
      <c r="J53" s="7"/>
      <c r="K53" s="7"/>
      <c r="L53" s="24"/>
      <c r="M53" s="11" t="s">
        <v>124</v>
      </c>
    </row>
    <row r="54" spans="1:13">
      <c r="A54" s="84" t="s">
        <v>125</v>
      </c>
      <c r="B54" s="122">
        <v>-2.6189944999999999</v>
      </c>
      <c r="C54" s="72"/>
      <c r="D54" s="4">
        <v>0.22156244268660033</v>
      </c>
      <c r="E54" s="2">
        <v>4</v>
      </c>
      <c r="F54" s="10">
        <v>328.85</v>
      </c>
      <c r="G54" s="6">
        <v>1.87</v>
      </c>
      <c r="H54" s="14">
        <f t="shared" si="0"/>
        <v>-4.4085000000000001</v>
      </c>
      <c r="I54" s="23"/>
      <c r="J54" s="7"/>
      <c r="K54" s="7"/>
      <c r="L54" s="24"/>
      <c r="M54" s="11" t="s">
        <v>126</v>
      </c>
    </row>
    <row r="55" spans="1:13">
      <c r="A55" s="82" t="s">
        <v>127</v>
      </c>
      <c r="B55" s="121">
        <v>-5.2792525000000001</v>
      </c>
      <c r="C55" s="71"/>
      <c r="D55" s="12">
        <v>0.18450811780713378</v>
      </c>
      <c r="E55" s="10">
        <v>33</v>
      </c>
      <c r="F55" s="10">
        <v>167.5</v>
      </c>
      <c r="G55" s="6">
        <v>4.3600000000000003</v>
      </c>
      <c r="H55" s="14">
        <f t="shared" si="0"/>
        <v>-5.2850000000000001</v>
      </c>
      <c r="I55" s="23"/>
      <c r="J55" s="7"/>
      <c r="K55" s="7"/>
      <c r="L55" s="24"/>
      <c r="M55" s="11" t="s">
        <v>128</v>
      </c>
    </row>
    <row r="56" spans="1:13">
      <c r="A56" s="82" t="s">
        <v>86</v>
      </c>
      <c r="B56" s="121">
        <v>-5.0502824999999998</v>
      </c>
      <c r="C56" s="71"/>
      <c r="D56" s="12">
        <v>0.15609203233531485</v>
      </c>
      <c r="E56" s="10">
        <v>3</v>
      </c>
      <c r="F56" s="10">
        <v>223</v>
      </c>
      <c r="G56" s="6">
        <v>2.99</v>
      </c>
      <c r="H56" s="14">
        <f t="shared" si="0"/>
        <v>-4.4700000000000006</v>
      </c>
      <c r="I56" s="23"/>
      <c r="J56" s="7"/>
      <c r="K56" s="7"/>
      <c r="L56" s="24"/>
      <c r="M56" s="11" t="s">
        <v>129</v>
      </c>
    </row>
    <row r="57" spans="1:13">
      <c r="A57" s="82" t="s">
        <v>89</v>
      </c>
      <c r="B57" s="121">
        <v>-4.8751660000000001</v>
      </c>
      <c r="C57" s="71"/>
      <c r="D57" s="12">
        <v>0.20872343532408041</v>
      </c>
      <c r="E57" s="10">
        <v>3</v>
      </c>
      <c r="F57" s="10">
        <v>210.5</v>
      </c>
      <c r="G57" s="6">
        <v>2.72</v>
      </c>
      <c r="H57" s="14">
        <f t="shared" si="0"/>
        <v>-4.0750000000000002</v>
      </c>
      <c r="I57" s="26"/>
      <c r="J57" s="27"/>
      <c r="K57" s="27"/>
      <c r="L57" s="28"/>
      <c r="M57" s="11" t="s">
        <v>130</v>
      </c>
    </row>
    <row r="58" spans="1:13">
      <c r="A58" s="84" t="s">
        <v>131</v>
      </c>
      <c r="B58" s="122">
        <v>-5.1470566</v>
      </c>
      <c r="C58" s="72"/>
      <c r="D58" s="4">
        <v>0.1297319013416561</v>
      </c>
      <c r="E58" s="2">
        <v>3</v>
      </c>
      <c r="F58" s="10">
        <v>209.75</v>
      </c>
      <c r="G58" s="6">
        <v>3.37</v>
      </c>
      <c r="H58" s="14">
        <f t="shared" si="0"/>
        <v>-4.7175000000000002</v>
      </c>
      <c r="J58" s="14"/>
      <c r="K58" s="14"/>
      <c r="L58" s="14"/>
      <c r="M58" s="11" t="s">
        <v>132</v>
      </c>
    </row>
    <row r="59" spans="1:13">
      <c r="A59" s="81" t="s">
        <v>92</v>
      </c>
      <c r="B59" s="121">
        <v>-3.3792686000000001</v>
      </c>
      <c r="C59" s="71"/>
      <c r="D59" s="12">
        <v>0.14124198841117766</v>
      </c>
      <c r="E59" s="10">
        <v>3</v>
      </c>
      <c r="F59" s="10">
        <v>53.5</v>
      </c>
      <c r="G59" s="6">
        <v>3.43</v>
      </c>
      <c r="H59" s="14">
        <f t="shared" si="0"/>
        <v>-3.2150000000000003</v>
      </c>
      <c r="I59" s="70" t="s">
        <v>133</v>
      </c>
      <c r="J59" s="864">
        <v>212</v>
      </c>
      <c r="K59" s="865"/>
      <c r="L59" s="14"/>
      <c r="M59" s="11" t="s">
        <v>134</v>
      </c>
    </row>
    <row r="60" spans="1:13">
      <c r="A60" s="81" t="s">
        <v>135</v>
      </c>
      <c r="B60" s="121">
        <v>-1.0002507</v>
      </c>
      <c r="C60" s="71"/>
      <c r="D60" s="12">
        <v>0.17069281866408892</v>
      </c>
      <c r="E60" s="10">
        <v>6</v>
      </c>
      <c r="F60" s="10">
        <v>270</v>
      </c>
      <c r="G60" s="6">
        <v>0.05</v>
      </c>
      <c r="H60" s="14">
        <f t="shared" si="0"/>
        <v>-2</v>
      </c>
      <c r="I60" s="70" t="s">
        <v>377</v>
      </c>
      <c r="J60" s="32"/>
      <c r="K60" s="34"/>
      <c r="L60" s="14"/>
      <c r="M60" s="11" t="s">
        <v>137</v>
      </c>
    </row>
    <row r="61" spans="1:13">
      <c r="A61" s="82" t="s">
        <v>138</v>
      </c>
      <c r="B61" s="121">
        <v>-5.1641406999999999</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s="121">
        <v>-4.3123860000000001</v>
      </c>
      <c r="C62" s="71"/>
      <c r="D62" s="12">
        <v>0.18021422622763517</v>
      </c>
      <c r="E62" s="10">
        <v>5</v>
      </c>
      <c r="F62" s="10">
        <v>214.5</v>
      </c>
      <c r="G62" s="6">
        <v>3.61</v>
      </c>
      <c r="H62" s="14">
        <f t="shared" si="0"/>
        <v>-5.0049999999999999</v>
      </c>
      <c r="I62" s="14"/>
      <c r="J62" s="14"/>
      <c r="K62" s="14"/>
      <c r="L62" s="14"/>
      <c r="M62" s="11" t="s">
        <v>142</v>
      </c>
    </row>
    <row r="63" spans="1:13">
      <c r="A63" s="82" t="s">
        <v>143</v>
      </c>
      <c r="B63" s="121">
        <v>-3.8820800000000002</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s="121">
        <v>-2.0973541999999998</v>
      </c>
      <c r="C64" s="71"/>
      <c r="D64" s="12">
        <v>0.17</v>
      </c>
      <c r="E64" s="10">
        <v>3</v>
      </c>
      <c r="F64" s="10">
        <v>189</v>
      </c>
      <c r="G64" s="6">
        <v>1.34</v>
      </c>
      <c r="H64" s="14">
        <f t="shared" si="0"/>
        <v>-2.4800000000000004</v>
      </c>
      <c r="I64" s="866" t="s">
        <v>378</v>
      </c>
      <c r="J64" s="867"/>
      <c r="K64" s="867"/>
      <c r="L64" s="868"/>
      <c r="M64" s="11" t="s">
        <v>148</v>
      </c>
    </row>
    <row r="65" spans="1:13">
      <c r="A65" s="82" t="s">
        <v>149</v>
      </c>
      <c r="B65" s="121">
        <v>-4.5725965000000004</v>
      </c>
      <c r="C65" s="71"/>
      <c r="D65" s="12">
        <v>0.19794493160510693</v>
      </c>
      <c r="E65" s="10">
        <v>4</v>
      </c>
      <c r="F65" s="10">
        <v>243.5</v>
      </c>
      <c r="G65" s="6">
        <v>1.34</v>
      </c>
      <c r="H65" s="14">
        <f t="shared" si="0"/>
        <v>-3.0250000000000004</v>
      </c>
      <c r="I65" s="856" t="s">
        <v>379</v>
      </c>
      <c r="J65" s="857"/>
      <c r="K65" s="857"/>
      <c r="L65" s="858"/>
      <c r="M65" s="11" t="s">
        <v>151</v>
      </c>
    </row>
    <row r="66" spans="1:13">
      <c r="A66" s="81" t="s">
        <v>95</v>
      </c>
      <c r="B66" s="121">
        <v>-1.9364079999999999</v>
      </c>
      <c r="C66" s="71"/>
      <c r="D66" s="12">
        <v>0.21056099074293383</v>
      </c>
      <c r="E66" s="10">
        <v>3</v>
      </c>
      <c r="F66" s="10">
        <v>36.5</v>
      </c>
      <c r="G66" s="6">
        <v>2.74</v>
      </c>
      <c r="H66" s="14">
        <f t="shared" si="0"/>
        <v>-2.3550000000000004</v>
      </c>
      <c r="I66" s="856" t="s">
        <v>380</v>
      </c>
      <c r="J66" s="857"/>
      <c r="K66" s="857"/>
      <c r="L66" s="858"/>
      <c r="M66" s="11" t="s">
        <v>152</v>
      </c>
    </row>
    <row r="67" spans="1:13">
      <c r="A67" s="83" t="s">
        <v>153</v>
      </c>
      <c r="B67" s="121">
        <v>-4.1331134</v>
      </c>
      <c r="C67" s="71"/>
      <c r="D67" s="12">
        <v>0.21092434073951916</v>
      </c>
      <c r="E67" s="10">
        <v>10</v>
      </c>
      <c r="F67" s="10">
        <v>186</v>
      </c>
      <c r="G67" s="6">
        <v>3.4</v>
      </c>
      <c r="H67" s="14">
        <f t="shared" si="0"/>
        <v>-4.51</v>
      </c>
      <c r="I67" s="856" t="s">
        <v>381</v>
      </c>
      <c r="J67" s="857"/>
      <c r="K67" s="857"/>
      <c r="L67" s="858"/>
      <c r="M67" s="11" t="s">
        <v>154</v>
      </c>
    </row>
    <row r="68" spans="1:13">
      <c r="A68" s="81" t="s">
        <v>98</v>
      </c>
      <c r="B68" s="121">
        <v>-2.8271568</v>
      </c>
      <c r="C68" s="71"/>
      <c r="D68" s="12">
        <v>0.18695478693957188</v>
      </c>
      <c r="E68" s="10">
        <v>3</v>
      </c>
      <c r="F68" s="10">
        <v>252.99999999999997</v>
      </c>
      <c r="G68" s="6">
        <v>2.35</v>
      </c>
      <c r="H68" s="14">
        <f t="shared" si="0"/>
        <v>-4.13</v>
      </c>
      <c r="I68" s="856" t="s">
        <v>382</v>
      </c>
      <c r="J68" s="857"/>
      <c r="K68" s="857"/>
      <c r="L68" s="858"/>
      <c r="M68" s="11" t="s">
        <v>155</v>
      </c>
    </row>
    <row r="69" spans="1:13">
      <c r="A69" s="83" t="s">
        <v>156</v>
      </c>
      <c r="B69" s="121">
        <v>-4.0674114000000001</v>
      </c>
      <c r="C69" s="71"/>
      <c r="D69" s="12">
        <v>0.20491085989689112</v>
      </c>
      <c r="E69" s="10">
        <v>23</v>
      </c>
      <c r="F69" s="10">
        <v>111.00000000000001</v>
      </c>
      <c r="G69" s="6">
        <v>3.68</v>
      </c>
      <c r="H69" s="14">
        <f t="shared" si="0"/>
        <v>-4.04</v>
      </c>
      <c r="I69" s="856" t="s">
        <v>383</v>
      </c>
      <c r="J69" s="857"/>
      <c r="K69" s="857"/>
      <c r="L69" s="858"/>
      <c r="M69" s="11" t="s">
        <v>157</v>
      </c>
    </row>
    <row r="70" spans="1:13">
      <c r="A70" s="81" t="s">
        <v>158</v>
      </c>
      <c r="B70" s="121">
        <v>-5.1784879999999998</v>
      </c>
      <c r="C70" s="71"/>
      <c r="D70" s="12">
        <v>0.15545016183846921</v>
      </c>
      <c r="E70" s="10">
        <v>6</v>
      </c>
      <c r="F70" s="10">
        <v>250</v>
      </c>
      <c r="G70" s="6">
        <v>-0.04</v>
      </c>
      <c r="H70" s="14">
        <f t="shared" si="0"/>
        <v>-1.71</v>
      </c>
      <c r="I70" s="856" t="s">
        <v>384</v>
      </c>
      <c r="J70" s="857"/>
      <c r="K70" s="857"/>
      <c r="L70" s="858"/>
      <c r="M70" s="11" t="s">
        <v>159</v>
      </c>
    </row>
    <row r="71" spans="1:13">
      <c r="A71" s="82" t="s">
        <v>160</v>
      </c>
      <c r="B71" s="121">
        <v>-2.8263652000000001</v>
      </c>
      <c r="C71" s="71"/>
      <c r="D71" s="12">
        <v>0.13261436390895148</v>
      </c>
      <c r="E71" s="10">
        <v>3</v>
      </c>
      <c r="F71" s="10">
        <v>250</v>
      </c>
      <c r="G71" s="6">
        <v>-1.97</v>
      </c>
      <c r="H71" s="14">
        <f t="shared" si="0"/>
        <v>0.21999999999999975</v>
      </c>
      <c r="I71" s="856" t="s">
        <v>385</v>
      </c>
      <c r="J71" s="857"/>
      <c r="K71" s="857"/>
      <c r="L71" s="858"/>
      <c r="M71" s="11" t="s">
        <v>161</v>
      </c>
    </row>
    <row r="72" spans="1:13">
      <c r="A72" s="82" t="s">
        <v>162</v>
      </c>
      <c r="B72" s="121">
        <v>-4.9136220000000002</v>
      </c>
      <c r="C72" s="71"/>
      <c r="D72" s="12">
        <v>0.21159815676624968</v>
      </c>
      <c r="E72" s="10">
        <v>9</v>
      </c>
      <c r="F72" s="10">
        <v>208.5</v>
      </c>
      <c r="G72" s="6">
        <v>2.08</v>
      </c>
      <c r="H72" s="14">
        <f t="shared" si="0"/>
        <v>-3.415</v>
      </c>
      <c r="I72" s="856" t="s">
        <v>386</v>
      </c>
      <c r="J72" s="857"/>
      <c r="K72" s="857"/>
      <c r="L72" s="858"/>
      <c r="M72" s="11" t="s">
        <v>163</v>
      </c>
    </row>
    <row r="73" spans="1:13">
      <c r="A73" s="82" t="s">
        <v>164</v>
      </c>
      <c r="B73" s="121">
        <v>-3.0205356999999999</v>
      </c>
      <c r="C73" s="71"/>
      <c r="D73" s="12">
        <v>0.1900151243705871</v>
      </c>
      <c r="E73" s="10">
        <v>15</v>
      </c>
      <c r="F73" s="10">
        <v>220.00000000000003</v>
      </c>
      <c r="G73" s="6">
        <v>2.69</v>
      </c>
      <c r="H73" s="14">
        <f t="shared" si="0"/>
        <v>-4.1400000000000006</v>
      </c>
      <c r="I73" s="856" t="s">
        <v>387</v>
      </c>
      <c r="J73" s="857"/>
      <c r="K73" s="857"/>
      <c r="L73" s="858"/>
      <c r="M73" s="11" t="s">
        <v>165</v>
      </c>
    </row>
    <row r="74" spans="1:13">
      <c r="A74" s="82" t="s">
        <v>166</v>
      </c>
      <c r="B74" s="121">
        <v>-6.4652799999999999</v>
      </c>
      <c r="C74" s="71"/>
      <c r="D74" s="12">
        <v>0.16978183023026608</v>
      </c>
      <c r="E74" s="10">
        <v>10</v>
      </c>
      <c r="F74" s="10">
        <v>151</v>
      </c>
      <c r="G74" s="6">
        <v>4.43</v>
      </c>
      <c r="H74" s="14">
        <f t="shared" si="0"/>
        <v>-5.1899999999999995</v>
      </c>
      <c r="I74" s="856" t="s">
        <v>388</v>
      </c>
      <c r="J74" s="857"/>
      <c r="K74" s="857"/>
      <c r="L74" s="858"/>
      <c r="M74" s="11" t="s">
        <v>167</v>
      </c>
    </row>
    <row r="75" spans="1:13">
      <c r="A75" s="83" t="s">
        <v>100</v>
      </c>
      <c r="B75" s="121">
        <v>-5.9864534999999997</v>
      </c>
      <c r="C75" s="71"/>
      <c r="D75" s="12">
        <v>0.19416214604145643</v>
      </c>
      <c r="E75" s="10">
        <v>7</v>
      </c>
      <c r="F75" s="10">
        <v>154.5</v>
      </c>
      <c r="G75" s="6">
        <v>4.22</v>
      </c>
      <c r="H75" s="14">
        <f t="shared" si="0"/>
        <v>-5.0149999999999997</v>
      </c>
      <c r="I75" s="23"/>
      <c r="J75" s="7"/>
      <c r="K75" s="7"/>
      <c r="L75" s="24"/>
      <c r="M75" s="11" t="s">
        <v>168</v>
      </c>
    </row>
    <row r="76" spans="1:13">
      <c r="A76" s="82" t="s">
        <v>169</v>
      </c>
      <c r="B76" s="121">
        <v>-5.2584169999999997</v>
      </c>
      <c r="C76" s="71"/>
      <c r="D76" s="12">
        <v>0.16048013551961601</v>
      </c>
      <c r="E76" s="10">
        <v>5</v>
      </c>
      <c r="F76" s="10">
        <v>167.75</v>
      </c>
      <c r="G76" s="6">
        <v>2.87</v>
      </c>
      <c r="H76" s="14">
        <f t="shared" si="0"/>
        <v>-3.7975000000000003</v>
      </c>
      <c r="I76" s="23"/>
      <c r="J76" s="7"/>
      <c r="K76" s="7"/>
      <c r="L76" s="24"/>
      <c r="M76" s="11" t="s">
        <v>170</v>
      </c>
    </row>
    <row r="77" spans="1:13">
      <c r="A77" s="84" t="s">
        <v>171</v>
      </c>
      <c r="B77" s="122">
        <v>-6.3379729999999999</v>
      </c>
      <c r="C77" s="72"/>
      <c r="D77" s="4">
        <v>0.22239504833634874</v>
      </c>
      <c r="E77" s="2">
        <v>21</v>
      </c>
      <c r="F77" s="10">
        <v>159</v>
      </c>
      <c r="G77" s="6">
        <v>3.93</v>
      </c>
      <c r="H77" s="14">
        <f t="shared" si="0"/>
        <v>-4.7700000000000005</v>
      </c>
      <c r="I77" s="23"/>
      <c r="J77" s="7"/>
      <c r="K77" s="7"/>
      <c r="L77" s="24"/>
      <c r="M77" s="11" t="s">
        <v>172</v>
      </c>
    </row>
    <row r="78" spans="1:13">
      <c r="A78" s="82" t="s">
        <v>173</v>
      </c>
      <c r="B78" s="121">
        <v>-3.5762757999999999</v>
      </c>
      <c r="C78" s="71"/>
      <c r="D78" s="12">
        <v>0.21209434799218393</v>
      </c>
      <c r="E78" s="10">
        <v>5</v>
      </c>
      <c r="F78" s="10">
        <v>213.49999999999997</v>
      </c>
      <c r="G78" s="6">
        <v>3.04</v>
      </c>
      <c r="H78" s="14">
        <f t="shared" si="0"/>
        <v>-4.4249999999999998</v>
      </c>
      <c r="I78" s="23"/>
      <c r="J78" s="7"/>
      <c r="K78" s="7"/>
      <c r="L78" s="24"/>
      <c r="M78" s="11" t="s">
        <v>174</v>
      </c>
    </row>
    <row r="79" spans="1:13">
      <c r="A79" s="82" t="s">
        <v>175</v>
      </c>
      <c r="B79" s="121">
        <v>-6.5217624000000001</v>
      </c>
      <c r="C79" s="71"/>
      <c r="D79" s="12">
        <v>0.1407224156406931</v>
      </c>
      <c r="E79" s="10">
        <v>11</v>
      </c>
      <c r="F79" s="10">
        <v>146</v>
      </c>
      <c r="G79" s="6">
        <v>4.21</v>
      </c>
      <c r="H79" s="14">
        <f t="shared" si="0"/>
        <v>-4.92</v>
      </c>
      <c r="I79" s="23"/>
      <c r="J79" s="7"/>
      <c r="K79" s="7"/>
      <c r="L79" s="24"/>
      <c r="M79" s="11" t="s">
        <v>176</v>
      </c>
    </row>
    <row r="80" spans="1:13">
      <c r="A80" s="82" t="s">
        <v>177</v>
      </c>
      <c r="B80" s="121">
        <v>-5.6159716</v>
      </c>
      <c r="C80" s="71"/>
      <c r="D80" s="12">
        <v>0.21748916450754371</v>
      </c>
      <c r="E80" s="10">
        <v>5</v>
      </c>
      <c r="F80" s="10">
        <v>92.333333333333329</v>
      </c>
      <c r="G80" s="6">
        <v>4.21</v>
      </c>
      <c r="H80" s="14">
        <f t="shared" si="0"/>
        <v>-4.3833333333333329</v>
      </c>
      <c r="I80" s="23"/>
      <c r="J80" s="7"/>
      <c r="K80" s="7"/>
      <c r="L80" s="24"/>
      <c r="M80" s="11" t="s">
        <v>178</v>
      </c>
    </row>
    <row r="81" spans="1:13">
      <c r="A81" s="81" t="s">
        <v>179</v>
      </c>
      <c r="B81" s="121">
        <v>-5.0355160000000003</v>
      </c>
      <c r="C81" s="71"/>
      <c r="D81" s="12">
        <v>0.20531013145176411</v>
      </c>
      <c r="E81" s="10">
        <v>8</v>
      </c>
      <c r="F81" s="10">
        <v>256</v>
      </c>
      <c r="G81" s="6">
        <v>2.71</v>
      </c>
      <c r="H81" s="14">
        <f t="shared" si="0"/>
        <v>-4.5199999999999996</v>
      </c>
      <c r="I81" s="23"/>
      <c r="J81" s="7"/>
      <c r="K81" s="7"/>
      <c r="L81" s="24"/>
      <c r="M81" s="11" t="s">
        <v>180</v>
      </c>
    </row>
    <row r="82" spans="1:13">
      <c r="A82" s="81" t="s">
        <v>181</v>
      </c>
      <c r="B82" s="121">
        <v>-3.3792686000000001</v>
      </c>
      <c r="C82" s="71"/>
      <c r="D82" s="12">
        <v>0.21176785142223761</v>
      </c>
      <c r="E82" s="10">
        <v>3</v>
      </c>
      <c r="F82" s="10">
        <v>80</v>
      </c>
      <c r="G82" s="6">
        <v>3.37</v>
      </c>
      <c r="H82" s="14">
        <f t="shared" si="0"/>
        <v>-3.42</v>
      </c>
      <c r="I82" s="23"/>
      <c r="J82" s="7"/>
      <c r="K82" s="7"/>
      <c r="L82" s="24"/>
      <c r="M82" s="11" t="s">
        <v>182</v>
      </c>
    </row>
    <row r="83" spans="1:13">
      <c r="A83" s="81" t="s">
        <v>183</v>
      </c>
      <c r="B83" s="121">
        <v>-3.4434767000000002</v>
      </c>
      <c r="C83" s="71"/>
      <c r="D83" s="12">
        <v>0.16217657762412213</v>
      </c>
      <c r="E83" s="10">
        <v>17</v>
      </c>
      <c r="F83" s="10">
        <v>153</v>
      </c>
      <c r="G83" s="6">
        <v>3.04</v>
      </c>
      <c r="H83" s="14">
        <f t="shared" si="0"/>
        <v>-3.8200000000000003</v>
      </c>
      <c r="I83" s="23"/>
      <c r="J83" s="7"/>
      <c r="K83" s="7"/>
      <c r="L83" s="24"/>
      <c r="M83" s="11" t="s">
        <v>184</v>
      </c>
    </row>
    <row r="84" spans="1:13">
      <c r="A84" s="82" t="s">
        <v>185</v>
      </c>
      <c r="B84" s="121">
        <v>-7.8558979999999998</v>
      </c>
      <c r="C84" s="71"/>
      <c r="D84" s="12">
        <v>0.20448827496623867</v>
      </c>
      <c r="E84" s="10">
        <v>3</v>
      </c>
      <c r="F84" s="10">
        <v>349.84</v>
      </c>
      <c r="G84" s="6">
        <v>4.75</v>
      </c>
      <c r="H84" s="14">
        <f t="shared" si="0"/>
        <v>-7.4984000000000002</v>
      </c>
      <c r="I84" s="23"/>
      <c r="J84" s="7"/>
      <c r="K84" s="7"/>
      <c r="L84" s="24"/>
      <c r="M84" s="11" t="s">
        <v>186</v>
      </c>
    </row>
    <row r="85" spans="1:13">
      <c r="A85" s="82" t="s">
        <v>187</v>
      </c>
      <c r="B85" s="121">
        <v>-2.5532029000000001</v>
      </c>
      <c r="C85" s="71"/>
      <c r="D85" s="12">
        <v>0.14358294446577732</v>
      </c>
      <c r="E85" s="10">
        <v>6</v>
      </c>
      <c r="F85" s="10">
        <v>248</v>
      </c>
      <c r="G85" s="6">
        <v>2.65</v>
      </c>
      <c r="H85" s="14">
        <f t="shared" si="0"/>
        <v>-4.38</v>
      </c>
      <c r="I85" s="23"/>
      <c r="J85" s="7"/>
      <c r="K85" s="7"/>
      <c r="L85" s="24"/>
      <c r="M85" s="11" t="s">
        <v>188</v>
      </c>
    </row>
    <row r="86" spans="1:13">
      <c r="A86" s="82" t="s">
        <v>189</v>
      </c>
      <c r="B86" s="121">
        <v>-2.9525497000000001</v>
      </c>
      <c r="C86" s="71"/>
      <c r="D86" s="12">
        <v>0.15384096988991314</v>
      </c>
      <c r="E86" s="10">
        <v>11</v>
      </c>
      <c r="F86" s="10">
        <v>173</v>
      </c>
      <c r="G86" s="6">
        <v>2.1800000000000002</v>
      </c>
      <c r="H86" s="14">
        <f t="shared" si="0"/>
        <v>-3.16</v>
      </c>
      <c r="I86" s="23"/>
      <c r="J86" s="7"/>
      <c r="K86" s="7"/>
      <c r="L86" s="24"/>
      <c r="M86" s="11" t="s">
        <v>190</v>
      </c>
    </row>
    <row r="87" spans="1:13">
      <c r="A87" s="82" t="s">
        <v>191</v>
      </c>
      <c r="B87" s="121">
        <v>-2.9871067999999998</v>
      </c>
      <c r="C87" s="71"/>
      <c r="D87" s="12">
        <v>0.14176528631434945</v>
      </c>
      <c r="E87" s="10">
        <v>5</v>
      </c>
      <c r="F87" s="10">
        <v>143.75</v>
      </c>
      <c r="G87" s="6">
        <v>2.76</v>
      </c>
      <c r="H87" s="14">
        <f t="shared" ref="H87:H122" si="1">0.5-G87-0.01*(F87-25)</f>
        <v>-3.4474999999999998</v>
      </c>
      <c r="I87" s="23"/>
      <c r="J87" s="7"/>
      <c r="K87" s="7"/>
      <c r="L87" s="24"/>
      <c r="M87" s="11" t="s">
        <v>192</v>
      </c>
    </row>
    <row r="88" spans="1:13">
      <c r="A88" s="82" t="s">
        <v>193</v>
      </c>
      <c r="B88" s="121">
        <v>-3.0077414999999998</v>
      </c>
      <c r="C88" s="71"/>
      <c r="D88" s="12">
        <v>0.16213928191469343</v>
      </c>
      <c r="E88" s="10">
        <v>19</v>
      </c>
      <c r="F88" s="10">
        <v>220.5</v>
      </c>
      <c r="G88" s="6">
        <v>1.27</v>
      </c>
      <c r="H88" s="14">
        <f t="shared" si="1"/>
        <v>-2.7250000000000001</v>
      </c>
      <c r="I88" s="23"/>
      <c r="J88" s="7"/>
      <c r="K88" s="7"/>
      <c r="L88" s="24"/>
      <c r="M88" s="11" t="s">
        <v>194</v>
      </c>
    </row>
    <row r="89" spans="1:13">
      <c r="A89" s="82" t="s">
        <v>195</v>
      </c>
      <c r="B89" s="121">
        <v>-4.1670794000000004</v>
      </c>
      <c r="C89" s="71"/>
      <c r="D89" s="12">
        <v>0.16127920198135692</v>
      </c>
      <c r="E89" s="10">
        <v>5</v>
      </c>
      <c r="F89" s="10">
        <v>214</v>
      </c>
      <c r="G89" s="6">
        <v>3.83</v>
      </c>
      <c r="H89" s="14">
        <f t="shared" si="1"/>
        <v>-5.2200000000000006</v>
      </c>
      <c r="I89" s="23"/>
      <c r="J89" s="7"/>
      <c r="K89" s="7"/>
      <c r="L89" s="24"/>
      <c r="M89" s="11" t="s">
        <v>196</v>
      </c>
    </row>
    <row r="90" spans="1:13">
      <c r="A90" s="83" t="s">
        <v>197</v>
      </c>
      <c r="B90" s="121">
        <v>-4.6979674999999999</v>
      </c>
      <c r="C90" s="71"/>
      <c r="D90" s="12">
        <v>0.13869006117838048</v>
      </c>
      <c r="E90" s="10">
        <v>3</v>
      </c>
      <c r="F90" s="10">
        <v>176</v>
      </c>
      <c r="G90" s="6">
        <v>2.88</v>
      </c>
      <c r="H90" s="14">
        <f t="shared" si="1"/>
        <v>-3.8899999999999997</v>
      </c>
      <c r="I90" s="23"/>
      <c r="J90" s="7"/>
      <c r="K90" s="7"/>
      <c r="L90" s="24"/>
      <c r="M90" s="11" t="s">
        <v>198</v>
      </c>
    </row>
    <row r="91" spans="1:13">
      <c r="A91" s="85" t="s">
        <v>199</v>
      </c>
      <c r="B91" s="122">
        <v>-3.9637470000000001</v>
      </c>
      <c r="C91" s="72"/>
      <c r="D91" s="4">
        <v>0.1259834086188602</v>
      </c>
      <c r="E91" s="2">
        <v>14</v>
      </c>
      <c r="F91" s="10">
        <v>253.5</v>
      </c>
      <c r="G91" s="6">
        <v>1.54</v>
      </c>
      <c r="H91" s="14">
        <f t="shared" si="1"/>
        <v>-3.3250000000000002</v>
      </c>
      <c r="I91" s="23"/>
      <c r="J91" s="7"/>
      <c r="K91" s="7"/>
      <c r="L91" s="24"/>
      <c r="M91" s="11" t="s">
        <v>200</v>
      </c>
    </row>
    <row r="92" spans="1:13">
      <c r="A92" s="82" t="s">
        <v>201</v>
      </c>
      <c r="B92" s="121">
        <v>-3.4648314</v>
      </c>
      <c r="C92" s="71"/>
      <c r="D92" s="12">
        <v>0.16504944177542516</v>
      </c>
      <c r="E92" s="10">
        <v>5</v>
      </c>
      <c r="F92" s="10">
        <v>205.50000000000003</v>
      </c>
      <c r="G92" s="6">
        <v>2.4500000000000002</v>
      </c>
      <c r="H92" s="14">
        <f t="shared" si="1"/>
        <v>-3.7550000000000008</v>
      </c>
      <c r="I92" s="23"/>
      <c r="J92" s="7"/>
      <c r="K92" s="7"/>
      <c r="L92" s="24"/>
      <c r="M92" s="11" t="s">
        <v>202</v>
      </c>
    </row>
    <row r="93" spans="1:13">
      <c r="A93" s="83" t="s">
        <v>203</v>
      </c>
      <c r="B93" s="121">
        <v>-4.0895904999999999</v>
      </c>
      <c r="C93" s="71"/>
      <c r="D93" s="12">
        <v>0.19426266518058349</v>
      </c>
      <c r="E93" s="10">
        <v>3</v>
      </c>
      <c r="F93" s="10">
        <v>96</v>
      </c>
      <c r="G93" s="6">
        <v>3.49</v>
      </c>
      <c r="H93" s="14">
        <f t="shared" si="1"/>
        <v>-3.7</v>
      </c>
      <c r="I93" s="23"/>
      <c r="J93" s="7"/>
      <c r="K93" s="7"/>
      <c r="L93" s="24"/>
      <c r="M93" s="11" t="s">
        <v>204</v>
      </c>
    </row>
    <row r="94" spans="1:13">
      <c r="A94" s="82" t="s">
        <v>205</v>
      </c>
      <c r="B94" s="121">
        <v>-5.4963173999999997</v>
      </c>
      <c r="C94" s="71"/>
      <c r="D94" s="12">
        <v>0.18894337149737056</v>
      </c>
      <c r="E94" s="10">
        <v>12</v>
      </c>
      <c r="F94" s="10">
        <v>147.25</v>
      </c>
      <c r="G94" s="6">
        <v>3.86</v>
      </c>
      <c r="H94" s="14">
        <f t="shared" si="1"/>
        <v>-4.5824999999999996</v>
      </c>
      <c r="I94" s="23"/>
      <c r="J94" s="7"/>
      <c r="K94" s="7"/>
      <c r="L94" s="24"/>
      <c r="M94" s="11" t="s">
        <v>206</v>
      </c>
    </row>
    <row r="95" spans="1:13">
      <c r="A95" s="82" t="s">
        <v>207</v>
      </c>
      <c r="B95" s="121">
        <v>-5.4963173999999997</v>
      </c>
      <c r="C95" s="71"/>
      <c r="D95" s="12">
        <v>0.17391407185160324</v>
      </c>
      <c r="E95" s="10">
        <v>6</v>
      </c>
      <c r="F95" s="10">
        <v>97</v>
      </c>
      <c r="G95" s="6">
        <v>3.94</v>
      </c>
      <c r="H95" s="14">
        <f t="shared" si="1"/>
        <v>-4.16</v>
      </c>
      <c r="I95" s="23"/>
      <c r="J95" s="7"/>
      <c r="K95" s="7"/>
      <c r="L95" s="24"/>
      <c r="M95" s="11" t="s">
        <v>208</v>
      </c>
    </row>
    <row r="96" spans="1:13">
      <c r="A96" s="81" t="s">
        <v>209</v>
      </c>
      <c r="B96" s="121">
        <v>-2.1083858000000002</v>
      </c>
      <c r="C96" s="71"/>
      <c r="D96" s="12">
        <v>0.13764369691033657</v>
      </c>
      <c r="E96" s="10">
        <v>10</v>
      </c>
      <c r="F96" s="10">
        <v>134.5</v>
      </c>
      <c r="G96" s="6">
        <v>2.04</v>
      </c>
      <c r="H96" s="14">
        <f t="shared" si="1"/>
        <v>-2.6349999999999998</v>
      </c>
      <c r="I96" s="23"/>
      <c r="J96" s="7"/>
      <c r="K96" s="7"/>
      <c r="L96" s="24"/>
      <c r="M96" s="11" t="s">
        <v>210</v>
      </c>
    </row>
    <row r="97" spans="1:13">
      <c r="A97" s="82" t="s">
        <v>211</v>
      </c>
      <c r="B97" s="121">
        <v>-2.6822211999999999</v>
      </c>
      <c r="C97" s="71"/>
      <c r="D97" s="12">
        <v>0.16245746888591447</v>
      </c>
      <c r="E97" s="10">
        <v>7</v>
      </c>
      <c r="F97" s="10">
        <v>139</v>
      </c>
      <c r="G97" s="6">
        <v>2.66</v>
      </c>
      <c r="H97" s="14">
        <f t="shared" si="1"/>
        <v>-3.3000000000000003</v>
      </c>
      <c r="I97" s="23"/>
      <c r="J97" s="7"/>
      <c r="K97" s="7"/>
      <c r="L97" s="24"/>
      <c r="M97" s="11" t="s">
        <v>212</v>
      </c>
    </row>
    <row r="98" spans="1:13">
      <c r="A98" s="82" t="s">
        <v>213</v>
      </c>
      <c r="B98" s="121">
        <v>-3.1673909999999998</v>
      </c>
      <c r="C98" s="71"/>
      <c r="D98" s="12">
        <v>0.15322122505052199</v>
      </c>
      <c r="E98" s="10">
        <v>9</v>
      </c>
      <c r="F98" s="10">
        <v>170</v>
      </c>
      <c r="G98" s="6">
        <v>1.91</v>
      </c>
      <c r="H98" s="14">
        <f t="shared" si="1"/>
        <v>-2.86</v>
      </c>
      <c r="I98" s="23"/>
      <c r="J98" s="7"/>
      <c r="K98" s="7"/>
      <c r="L98" s="24"/>
      <c r="M98" s="11" t="s">
        <v>214</v>
      </c>
    </row>
    <row r="99" spans="1:13">
      <c r="A99" s="81" t="s">
        <v>215</v>
      </c>
      <c r="B99" s="121">
        <v>-5.2771169999999996</v>
      </c>
      <c r="C99" s="71"/>
      <c r="D99" s="12">
        <v>0.15273607916541068</v>
      </c>
      <c r="E99" s="10">
        <v>10</v>
      </c>
      <c r="F99" s="10">
        <v>326</v>
      </c>
      <c r="G99" s="6">
        <v>2.44</v>
      </c>
      <c r="H99" s="14">
        <f t="shared" si="1"/>
        <v>-4.95</v>
      </c>
      <c r="I99" s="23"/>
      <c r="J99" s="7"/>
      <c r="K99" s="7"/>
      <c r="L99" s="24"/>
      <c r="M99" s="11" t="s">
        <v>216</v>
      </c>
    </row>
    <row r="100" spans="1:13">
      <c r="A100" s="82" t="s">
        <v>217</v>
      </c>
      <c r="B100" s="121">
        <v>-3.9905580999999999</v>
      </c>
      <c r="C100" s="71"/>
      <c r="D100" s="12">
        <v>0.18404701512102448</v>
      </c>
      <c r="E100" s="10">
        <v>5</v>
      </c>
      <c r="F100" s="10">
        <v>232.50000000000003</v>
      </c>
      <c r="G100" s="6">
        <v>1.8</v>
      </c>
      <c r="H100" s="14">
        <f t="shared" si="1"/>
        <v>-3.375</v>
      </c>
      <c r="I100" s="23"/>
      <c r="J100" s="7"/>
      <c r="K100" s="7"/>
      <c r="L100" s="24"/>
      <c r="M100" s="11" t="s">
        <v>218</v>
      </c>
    </row>
    <row r="101" spans="1:13">
      <c r="A101" s="82" t="s">
        <v>219</v>
      </c>
      <c r="B101" s="121">
        <v>-1.7057905</v>
      </c>
      <c r="C101" s="71"/>
      <c r="D101" s="12">
        <v>0.13604063752604376</v>
      </c>
      <c r="E101" s="10">
        <v>4</v>
      </c>
      <c r="F101" s="10">
        <v>281.5</v>
      </c>
      <c r="G101" s="6">
        <v>0.54</v>
      </c>
      <c r="H101" s="14">
        <f t="shared" si="1"/>
        <v>-2.605</v>
      </c>
      <c r="I101" s="23"/>
      <c r="J101" s="7"/>
      <c r="K101" s="7"/>
      <c r="L101" s="24"/>
      <c r="M101" s="11" t="s">
        <v>220</v>
      </c>
    </row>
    <row r="102" spans="1:13">
      <c r="A102" s="82" t="s">
        <v>221</v>
      </c>
      <c r="B102" s="121">
        <v>-2.8070621</v>
      </c>
      <c r="C102" s="71"/>
      <c r="D102" s="12">
        <v>0.19798964803022484</v>
      </c>
      <c r="E102" s="10">
        <v>4</v>
      </c>
      <c r="F102" s="10">
        <v>197.1</v>
      </c>
      <c r="G102" s="6">
        <v>2.2000000000000002</v>
      </c>
      <c r="H102" s="14">
        <f t="shared" si="1"/>
        <v>-3.4210000000000003</v>
      </c>
      <c r="I102" s="23"/>
      <c r="J102" s="7"/>
      <c r="K102" s="7"/>
      <c r="L102" s="24"/>
      <c r="M102" s="11" t="s">
        <v>222</v>
      </c>
    </row>
    <row r="103" spans="1:13">
      <c r="A103" s="83" t="s">
        <v>223</v>
      </c>
      <c r="B103" s="121">
        <v>-5.4318856999999996</v>
      </c>
      <c r="C103" s="71"/>
      <c r="D103" s="12">
        <v>0.13486720020739137</v>
      </c>
      <c r="E103" s="10">
        <v>4</v>
      </c>
      <c r="F103" s="10">
        <v>33</v>
      </c>
      <c r="G103" s="6">
        <v>4.24</v>
      </c>
      <c r="H103" s="14">
        <f t="shared" si="1"/>
        <v>-3.8200000000000003</v>
      </c>
      <c r="I103" s="23"/>
      <c r="J103" s="7"/>
      <c r="K103" s="7"/>
      <c r="L103" s="24"/>
      <c r="M103" s="11" t="s">
        <v>224</v>
      </c>
    </row>
    <row r="104" spans="1:13">
      <c r="A104" s="82" t="s">
        <v>225</v>
      </c>
      <c r="B104" s="121">
        <v>-5.4318856999999996</v>
      </c>
      <c r="C104" s="71"/>
      <c r="D104" s="12">
        <v>0.18801274760604275</v>
      </c>
      <c r="E104" s="10">
        <v>11</v>
      </c>
      <c r="F104" s="10">
        <v>60</v>
      </c>
      <c r="G104" s="6">
        <v>4.24</v>
      </c>
      <c r="H104" s="14">
        <f t="shared" si="1"/>
        <v>-4.09</v>
      </c>
      <c r="I104" s="23"/>
      <c r="J104" s="7"/>
      <c r="K104" s="7"/>
      <c r="L104" s="24"/>
      <c r="M104" s="11" t="s">
        <v>226</v>
      </c>
    </row>
    <row r="105" spans="1:13">
      <c r="A105" s="82" t="s">
        <v>227</v>
      </c>
      <c r="B105" s="121">
        <v>-7.8987837000000001</v>
      </c>
      <c r="C105" s="71"/>
      <c r="D105" s="12">
        <v>0.1664014074224209</v>
      </c>
      <c r="E105" s="10">
        <v>4</v>
      </c>
      <c r="F105" s="10">
        <v>130.5</v>
      </c>
      <c r="G105" s="6">
        <v>5.22</v>
      </c>
      <c r="H105" s="14">
        <f t="shared" si="1"/>
        <v>-5.7749999999999995</v>
      </c>
      <c r="I105" s="23"/>
      <c r="J105" s="7"/>
      <c r="K105" s="7"/>
      <c r="L105" s="24"/>
      <c r="M105" s="11" t="s">
        <v>228</v>
      </c>
    </row>
    <row r="106" spans="1:13">
      <c r="A106" s="83" t="s">
        <v>103</v>
      </c>
      <c r="B106" s="121">
        <v>-3.5619497</v>
      </c>
      <c r="C106" s="71"/>
      <c r="D106" s="12">
        <v>0.17506472136100007</v>
      </c>
      <c r="E106" s="10">
        <v>7</v>
      </c>
      <c r="F106" s="10">
        <v>254</v>
      </c>
      <c r="G106" s="6">
        <v>2.97</v>
      </c>
      <c r="H106" s="14">
        <f t="shared" si="1"/>
        <v>-4.76</v>
      </c>
      <c r="I106" s="23"/>
      <c r="J106" s="7"/>
      <c r="K106" s="7"/>
      <c r="L106" s="24"/>
      <c r="M106" s="11" t="s">
        <v>229</v>
      </c>
    </row>
    <row r="107" spans="1:13">
      <c r="A107" s="83" t="s">
        <v>230</v>
      </c>
      <c r="B107" s="121">
        <v>-7.7550410000000003</v>
      </c>
      <c r="C107" s="71"/>
      <c r="D107" s="12">
        <v>0.1605416460069265</v>
      </c>
      <c r="E107" s="10">
        <v>5</v>
      </c>
      <c r="F107" s="10">
        <v>121</v>
      </c>
      <c r="G107" s="6">
        <v>5.91</v>
      </c>
      <c r="H107" s="14">
        <f t="shared" si="1"/>
        <v>-6.37</v>
      </c>
      <c r="I107" s="23"/>
      <c r="J107" s="7"/>
      <c r="K107" s="7"/>
      <c r="L107" s="24"/>
      <c r="M107" s="11" t="s">
        <v>231</v>
      </c>
    </row>
    <row r="108" spans="1:13">
      <c r="A108" s="82" t="s">
        <v>232</v>
      </c>
      <c r="B108" s="121">
        <v>-3.4613537999999999</v>
      </c>
      <c r="C108" s="71"/>
      <c r="D108" s="12">
        <v>0.15756984748208766</v>
      </c>
      <c r="E108" s="10">
        <v>5</v>
      </c>
      <c r="F108" s="10">
        <v>206.99999999999997</v>
      </c>
      <c r="G108" s="6">
        <v>2.56</v>
      </c>
      <c r="H108" s="14">
        <f t="shared" si="1"/>
        <v>-3.88</v>
      </c>
      <c r="I108" s="23"/>
      <c r="J108" s="7"/>
      <c r="K108" s="7"/>
      <c r="L108" s="24"/>
      <c r="M108" s="11" t="s">
        <v>233</v>
      </c>
    </row>
    <row r="109" spans="1:13">
      <c r="A109" s="81" t="s">
        <v>234</v>
      </c>
      <c r="B109" s="121">
        <v>-6.358708</v>
      </c>
      <c r="C109" s="71"/>
      <c r="D109" s="12">
        <v>0.16160362353179636</v>
      </c>
      <c r="E109" s="10">
        <v>6</v>
      </c>
      <c r="F109" s="10">
        <v>134.5</v>
      </c>
      <c r="G109" s="6">
        <v>4.8499999999999996</v>
      </c>
      <c r="H109" s="14">
        <f t="shared" si="1"/>
        <v>-5.4449999999999994</v>
      </c>
      <c r="I109" s="23"/>
      <c r="J109" s="7"/>
      <c r="K109" s="7"/>
      <c r="L109" s="24"/>
      <c r="M109" s="11" t="s">
        <v>235</v>
      </c>
    </row>
    <row r="110" spans="1:13">
      <c r="A110" s="81" t="s">
        <v>236</v>
      </c>
      <c r="B110" s="121">
        <v>-2.709632</v>
      </c>
      <c r="C110" s="71"/>
      <c r="D110" s="12">
        <v>0.18685765827673947</v>
      </c>
      <c r="E110" s="10">
        <v>6</v>
      </c>
      <c r="F110" s="10">
        <v>275</v>
      </c>
      <c r="G110" s="6">
        <v>2.09</v>
      </c>
      <c r="H110" s="14">
        <f t="shared" si="1"/>
        <v>-4.09</v>
      </c>
      <c r="I110" s="23"/>
      <c r="J110" s="7"/>
      <c r="K110" s="7"/>
      <c r="L110" s="24"/>
      <c r="M110" s="11" t="s">
        <v>237</v>
      </c>
    </row>
    <row r="111" spans="1:13">
      <c r="A111" s="82" t="s">
        <v>238</v>
      </c>
      <c r="B111" s="121">
        <v>-5.5886870000000002</v>
      </c>
      <c r="C111" s="71"/>
      <c r="D111" s="12">
        <v>0.13950112944748669</v>
      </c>
      <c r="E111" s="10">
        <v>9</v>
      </c>
      <c r="F111" s="10">
        <v>220.00000000000003</v>
      </c>
      <c r="G111" s="6">
        <v>1.8</v>
      </c>
      <c r="H111" s="14">
        <f t="shared" si="1"/>
        <v>-3.2500000000000004</v>
      </c>
      <c r="I111" s="23"/>
      <c r="J111" s="7"/>
      <c r="K111" s="7"/>
      <c r="L111" s="24"/>
      <c r="M111" s="11" t="s">
        <v>239</v>
      </c>
    </row>
    <row r="112" spans="1:13">
      <c r="A112" s="85" t="s">
        <v>240</v>
      </c>
      <c r="B112" s="122">
        <v>-2.4014045999999998</v>
      </c>
      <c r="C112" s="72"/>
      <c r="D112" s="4">
        <v>0.22014005046870977</v>
      </c>
      <c r="E112" s="2">
        <v>9</v>
      </c>
      <c r="F112" s="10">
        <v>202</v>
      </c>
      <c r="G112" s="6">
        <v>1.53</v>
      </c>
      <c r="H112" s="14">
        <f t="shared" si="1"/>
        <v>-2.8</v>
      </c>
      <c r="I112" s="23"/>
      <c r="J112" s="7"/>
      <c r="K112" s="7"/>
      <c r="L112" s="24"/>
      <c r="M112" s="11" t="s">
        <v>241</v>
      </c>
    </row>
    <row r="113" spans="1:28">
      <c r="A113" s="82" t="s">
        <v>242</v>
      </c>
      <c r="B113" s="121">
        <v>-2.9197169999999999</v>
      </c>
      <c r="C113" s="71"/>
      <c r="D113" s="12">
        <v>0.14014083879485537</v>
      </c>
      <c r="E113" s="10">
        <v>3</v>
      </c>
      <c r="F113" s="10">
        <v>243.00000000000003</v>
      </c>
      <c r="G113" s="6">
        <v>1.48</v>
      </c>
      <c r="H113" s="14">
        <f t="shared" si="1"/>
        <v>-3.16</v>
      </c>
      <c r="I113" s="23"/>
      <c r="J113" s="7"/>
      <c r="K113" s="7"/>
      <c r="L113" s="24"/>
      <c r="M113" s="11" t="s">
        <v>243</v>
      </c>
    </row>
    <row r="114" spans="1:28">
      <c r="A114" s="83" t="s">
        <v>244</v>
      </c>
      <c r="B114" s="121">
        <v>-2.4443514</v>
      </c>
      <c r="C114" s="71"/>
      <c r="D114" s="12">
        <v>0.13726989684757951</v>
      </c>
      <c r="E114" s="10">
        <v>3</v>
      </c>
      <c r="F114" s="10">
        <v>191</v>
      </c>
      <c r="G114" s="6">
        <v>1.67</v>
      </c>
      <c r="H114" s="14">
        <f t="shared" si="1"/>
        <v>-2.83</v>
      </c>
      <c r="I114" s="23"/>
      <c r="J114" s="7"/>
      <c r="K114" s="7"/>
      <c r="L114" s="24"/>
      <c r="M114" s="11" t="s">
        <v>245</v>
      </c>
    </row>
    <row r="115" spans="1:28">
      <c r="A115" s="82" t="s">
        <v>246</v>
      </c>
      <c r="B115" s="121">
        <v>-5.5975966000000001</v>
      </c>
      <c r="C115" s="71"/>
      <c r="D115" s="12">
        <v>0.21357402153711522</v>
      </c>
      <c r="E115" s="10">
        <v>7</v>
      </c>
      <c r="F115" s="10">
        <v>183.5</v>
      </c>
      <c r="G115" s="6">
        <v>4.37</v>
      </c>
      <c r="H115" s="14">
        <f t="shared" si="1"/>
        <v>-5.4550000000000001</v>
      </c>
      <c r="I115" s="23"/>
      <c r="J115" s="7"/>
      <c r="K115" s="7"/>
      <c r="L115" s="24"/>
      <c r="M115" s="11" t="s">
        <v>247</v>
      </c>
    </row>
    <row r="116" spans="1:28">
      <c r="A116" s="82" t="s">
        <v>248</v>
      </c>
      <c r="B116" s="121">
        <v>-3.8105593</v>
      </c>
      <c r="C116" s="71"/>
      <c r="D116" s="12">
        <v>0.10564411177747912</v>
      </c>
      <c r="E116" s="10">
        <v>3</v>
      </c>
      <c r="F116" s="10">
        <v>149</v>
      </c>
      <c r="G116" s="6">
        <v>2.62</v>
      </c>
      <c r="H116" s="14">
        <f t="shared" si="1"/>
        <v>-3.3600000000000003</v>
      </c>
      <c r="I116" s="23"/>
      <c r="J116" s="7"/>
      <c r="K116" s="7"/>
      <c r="L116" s="24"/>
      <c r="M116" s="11" t="s">
        <v>249</v>
      </c>
    </row>
    <row r="117" spans="1:28">
      <c r="A117" s="81" t="s">
        <v>250</v>
      </c>
      <c r="B117" s="121">
        <v>-4.5725965000000004</v>
      </c>
      <c r="C117" s="71"/>
      <c r="D117" s="12">
        <v>0.14623917640453388</v>
      </c>
      <c r="E117" s="10">
        <v>8</v>
      </c>
      <c r="F117" s="10">
        <v>165</v>
      </c>
      <c r="G117" s="6">
        <v>-0.37</v>
      </c>
      <c r="H117" s="14">
        <f t="shared" si="1"/>
        <v>-0.53000000000000014</v>
      </c>
      <c r="I117" s="23"/>
      <c r="J117" s="7"/>
      <c r="K117" s="7"/>
      <c r="L117" s="24"/>
      <c r="M117" s="11" t="s">
        <v>251</v>
      </c>
    </row>
    <row r="118" spans="1:28">
      <c r="A118" s="82" t="s">
        <v>252</v>
      </c>
      <c r="B118" s="121">
        <v>-2.6781253999999999</v>
      </c>
      <c r="C118" s="71"/>
      <c r="D118" s="12">
        <v>0.16291639539032501</v>
      </c>
      <c r="E118" s="10">
        <v>10</v>
      </c>
      <c r="F118" s="10">
        <v>225</v>
      </c>
      <c r="G118" s="6">
        <v>0.81</v>
      </c>
      <c r="H118" s="14">
        <f t="shared" si="1"/>
        <v>-2.31</v>
      </c>
      <c r="I118" s="23"/>
      <c r="J118" s="7"/>
      <c r="K118" s="7"/>
      <c r="L118" s="24"/>
      <c r="M118" s="11" t="s">
        <v>253</v>
      </c>
    </row>
    <row r="119" spans="1:28">
      <c r="A119" s="82" t="s">
        <v>254</v>
      </c>
      <c r="B119" s="121">
        <v>-3.8430423999999999</v>
      </c>
      <c r="C119" s="71"/>
      <c r="D119" s="12">
        <v>0.21166647357477791</v>
      </c>
      <c r="E119" s="10">
        <v>5</v>
      </c>
      <c r="F119" s="10">
        <v>270</v>
      </c>
      <c r="G119" s="6">
        <v>0.62</v>
      </c>
      <c r="H119" s="14">
        <f t="shared" si="1"/>
        <v>-2.5700000000000003</v>
      </c>
      <c r="I119" s="23"/>
      <c r="J119" s="7"/>
      <c r="K119" s="7"/>
      <c r="L119" s="24"/>
      <c r="M119" s="11" t="s">
        <v>255</v>
      </c>
    </row>
    <row r="120" spans="1:28">
      <c r="A120" s="81" t="s">
        <v>256</v>
      </c>
      <c r="B120" s="121">
        <v>-2.8337145000000001</v>
      </c>
      <c r="C120" s="71"/>
      <c r="D120" s="12">
        <v>0.14175650298978676</v>
      </c>
      <c r="E120" s="10">
        <v>9</v>
      </c>
      <c r="F120" s="10">
        <v>312.66666666666669</v>
      </c>
      <c r="G120" s="6">
        <v>0.83</v>
      </c>
      <c r="H120" s="14">
        <f t="shared" si="1"/>
        <v>-3.206666666666667</v>
      </c>
      <c r="I120" s="23"/>
      <c r="J120" s="7"/>
      <c r="K120" s="7"/>
      <c r="L120" s="24"/>
      <c r="M120" s="11" t="s">
        <v>257</v>
      </c>
    </row>
    <row r="121" spans="1:28">
      <c r="A121" s="82" t="s">
        <v>258</v>
      </c>
      <c r="B121" s="121">
        <v>-3.5737076000000001</v>
      </c>
      <c r="C121" s="71"/>
      <c r="D121" s="12">
        <v>0.2034688635346244</v>
      </c>
      <c r="E121" s="10">
        <v>11</v>
      </c>
      <c r="F121" s="10">
        <v>161</v>
      </c>
      <c r="G121" s="6">
        <v>3.61</v>
      </c>
      <c r="H121" s="14">
        <f t="shared" si="1"/>
        <v>-4.47</v>
      </c>
      <c r="I121" s="23"/>
      <c r="J121" s="7"/>
      <c r="K121" s="7"/>
      <c r="L121" s="24"/>
      <c r="M121" s="11" t="s">
        <v>259</v>
      </c>
    </row>
    <row r="122" spans="1:28">
      <c r="A122" s="81" t="s">
        <v>109</v>
      </c>
      <c r="B122" s="121">
        <v>-1.3610534999999999</v>
      </c>
      <c r="C122" s="71"/>
      <c r="D122" s="12">
        <v>0.20579636821699754</v>
      </c>
      <c r="E122" s="10">
        <v>3</v>
      </c>
      <c r="F122" s="10">
        <v>300</v>
      </c>
      <c r="G122" s="6">
        <v>-1.06</v>
      </c>
      <c r="H122" s="14">
        <f t="shared" si="1"/>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s="120">
        <v>-1.4855815000000001</v>
      </c>
      <c r="C129" s="73" t="s">
        <v>30</v>
      </c>
      <c r="D129" s="12">
        <v>0.50033555401430185</v>
      </c>
      <c r="E129" s="10">
        <v>3</v>
      </c>
      <c r="F129" s="10">
        <v>180</v>
      </c>
      <c r="G129" s="1">
        <v>1.91</v>
      </c>
      <c r="H129" s="14">
        <f t="shared" ref="H129:H160" si="2">0.5-G129-0.01*(F129-25)</f>
        <v>-2.96</v>
      </c>
      <c r="I129" s="53" t="s">
        <v>31</v>
      </c>
      <c r="J129" s="54"/>
      <c r="K129" s="14"/>
      <c r="L129" s="14"/>
      <c r="M129" s="3" t="s">
        <v>269</v>
      </c>
    </row>
    <row r="130" spans="1:13">
      <c r="A130" s="82" t="s">
        <v>270</v>
      </c>
      <c r="B130" s="29">
        <v>-8.1068020000000001</v>
      </c>
      <c r="C130" s="73" t="s">
        <v>36</v>
      </c>
      <c r="D130" s="12">
        <v>0.5</v>
      </c>
      <c r="E130" s="6">
        <v>5</v>
      </c>
      <c r="F130" s="10">
        <v>156</v>
      </c>
      <c r="G130" s="1">
        <v>6.94</v>
      </c>
      <c r="H130" s="14">
        <f t="shared" si="2"/>
        <v>-7.75</v>
      </c>
      <c r="I130" s="53" t="s">
        <v>37</v>
      </c>
      <c r="J130" s="54"/>
      <c r="K130" s="14"/>
      <c r="L130" s="14"/>
      <c r="M130" s="3" t="s">
        <v>271</v>
      </c>
    </row>
    <row r="131" spans="1:13">
      <c r="A131" s="83" t="s">
        <v>272</v>
      </c>
      <c r="B131" s="121">
        <v>-6.2203059999999999</v>
      </c>
      <c r="C131" s="73" t="s">
        <v>41</v>
      </c>
      <c r="D131" s="12">
        <v>0.6530957900260097</v>
      </c>
      <c r="E131" s="10">
        <v>3</v>
      </c>
      <c r="F131" s="10">
        <v>208</v>
      </c>
      <c r="G131" s="1">
        <v>5.18</v>
      </c>
      <c r="H131" s="14">
        <f t="shared" si="2"/>
        <v>-6.51</v>
      </c>
      <c r="I131" s="53" t="s">
        <v>42</v>
      </c>
      <c r="J131" s="54"/>
      <c r="K131" s="14"/>
      <c r="L131" s="14"/>
      <c r="M131" s="3" t="s">
        <v>273</v>
      </c>
    </row>
    <row r="132" spans="1:13">
      <c r="A132" s="82" t="s">
        <v>274</v>
      </c>
      <c r="B132" s="121">
        <v>-4.4483240000000004</v>
      </c>
      <c r="C132" s="73" t="s">
        <v>46</v>
      </c>
      <c r="D132" s="12">
        <v>0.59285217963150294</v>
      </c>
      <c r="E132" s="10">
        <v>3</v>
      </c>
      <c r="F132" s="10">
        <v>100</v>
      </c>
      <c r="G132" s="1">
        <v>2.37</v>
      </c>
      <c r="H132" s="14">
        <f t="shared" si="2"/>
        <v>-2.62</v>
      </c>
      <c r="I132" s="15" t="s">
        <v>47</v>
      </c>
      <c r="J132" s="29"/>
      <c r="K132" s="14"/>
      <c r="L132" s="14"/>
      <c r="M132" s="3" t="s">
        <v>275</v>
      </c>
    </row>
    <row r="133" spans="1:13">
      <c r="A133" s="82" t="s">
        <v>276</v>
      </c>
      <c r="B133" s="121">
        <v>-6.6297189999999997</v>
      </c>
      <c r="C133" s="73" t="s">
        <v>51</v>
      </c>
      <c r="D133" s="12">
        <v>0.51067901383936642</v>
      </c>
      <c r="E133" s="10">
        <v>5</v>
      </c>
      <c r="F133" s="10">
        <v>217</v>
      </c>
      <c r="G133" s="1">
        <v>3.19</v>
      </c>
      <c r="H133" s="14">
        <f t="shared" si="2"/>
        <v>-4.6099999999999994</v>
      </c>
      <c r="I133" s="15" t="s">
        <v>52</v>
      </c>
      <c r="J133" s="29"/>
      <c r="K133" s="14"/>
      <c r="L133" s="14"/>
      <c r="M133" s="3" t="s">
        <v>277</v>
      </c>
    </row>
    <row r="134" spans="1:13">
      <c r="A134" s="82" t="s">
        <v>278</v>
      </c>
      <c r="B134" s="121">
        <v>-6.6730285</v>
      </c>
      <c r="C134" s="71"/>
      <c r="D134" s="12">
        <v>0.83065522865171437</v>
      </c>
      <c r="E134" s="10">
        <v>3</v>
      </c>
      <c r="F134" s="10">
        <v>209.50000000000003</v>
      </c>
      <c r="G134" s="1">
        <v>4.41</v>
      </c>
      <c r="H134" s="14">
        <f t="shared" si="2"/>
        <v>-5.7550000000000008</v>
      </c>
      <c r="I134" s="15" t="s">
        <v>56</v>
      </c>
      <c r="J134" s="29"/>
      <c r="K134" s="14"/>
      <c r="L134" s="14"/>
      <c r="M134" s="3" t="s">
        <v>279</v>
      </c>
    </row>
    <row r="135" spans="1:13">
      <c r="A135" s="82" t="s">
        <v>280</v>
      </c>
      <c r="B135" s="121">
        <v>-6.2954049999999997</v>
      </c>
      <c r="C135" s="71"/>
      <c r="D135" s="12">
        <v>0.51097181417141646</v>
      </c>
      <c r="E135" s="10">
        <v>6</v>
      </c>
      <c r="F135" s="10">
        <v>97.5</v>
      </c>
      <c r="G135" s="1">
        <v>5.19</v>
      </c>
      <c r="H135" s="14">
        <f t="shared" si="2"/>
        <v>-5.415</v>
      </c>
      <c r="I135" s="15" t="s">
        <v>60</v>
      </c>
      <c r="J135" s="31"/>
      <c r="K135" s="14"/>
      <c r="L135" s="14"/>
      <c r="M135" s="3" t="s">
        <v>281</v>
      </c>
    </row>
    <row r="136" spans="1:13">
      <c r="A136" s="81" t="s">
        <v>282</v>
      </c>
      <c r="B136" s="121">
        <v>-8.1068020000000001</v>
      </c>
      <c r="C136" s="71"/>
      <c r="D136" s="12">
        <v>0.92735432696895004</v>
      </c>
      <c r="E136" s="10">
        <v>5</v>
      </c>
      <c r="F136" s="10">
        <v>211</v>
      </c>
      <c r="G136" s="1">
        <v>7.49</v>
      </c>
      <c r="H136" s="14">
        <f t="shared" si="2"/>
        <v>-8.85</v>
      </c>
      <c r="I136" s="30" t="s">
        <v>64</v>
      </c>
      <c r="J136" s="32" t="s">
        <v>374</v>
      </c>
      <c r="K136" s="33" t="s">
        <v>375</v>
      </c>
      <c r="L136" s="34"/>
      <c r="M136" s="3" t="s">
        <v>283</v>
      </c>
    </row>
    <row r="137" spans="1:13">
      <c r="A137" s="82" t="s">
        <v>112</v>
      </c>
      <c r="B137" s="121">
        <v>-5.6824159999999999</v>
      </c>
      <c r="C137" s="71"/>
      <c r="D137" s="12">
        <v>0.68239272333923895</v>
      </c>
      <c r="E137" s="10">
        <v>3</v>
      </c>
      <c r="F137" s="10">
        <v>177</v>
      </c>
      <c r="G137" s="1">
        <v>3.37</v>
      </c>
      <c r="H137" s="14">
        <f t="shared" si="2"/>
        <v>-4.3900000000000006</v>
      </c>
      <c r="J137" s="14"/>
      <c r="K137" s="14"/>
      <c r="L137" s="14"/>
      <c r="M137" s="3" t="s">
        <v>284</v>
      </c>
    </row>
    <row r="138" spans="1:13">
      <c r="A138" s="82" t="s">
        <v>285</v>
      </c>
      <c r="B138" s="121">
        <v>-5.9175133999999998</v>
      </c>
      <c r="C138" s="71"/>
      <c r="D138" s="12">
        <v>0.520951861602862</v>
      </c>
      <c r="E138" s="10">
        <v>10</v>
      </c>
      <c r="F138" s="10">
        <v>228.6</v>
      </c>
      <c r="G138" s="1">
        <v>4.22</v>
      </c>
      <c r="H138" s="14">
        <f t="shared" si="2"/>
        <v>-5.7560000000000002</v>
      </c>
      <c r="I138" s="16" t="s">
        <v>286</v>
      </c>
      <c r="J138" s="17"/>
      <c r="K138" s="17"/>
      <c r="L138" s="18"/>
      <c r="M138" s="3" t="s">
        <v>287</v>
      </c>
    </row>
    <row r="139" spans="1:13" ht="14.25" customHeight="1">
      <c r="A139" s="81" t="s">
        <v>288</v>
      </c>
      <c r="B139" s="121">
        <v>-1.8888564000000001</v>
      </c>
      <c r="C139" s="71"/>
      <c r="D139" s="12">
        <v>0.53906642829149898</v>
      </c>
      <c r="E139" s="10">
        <v>3</v>
      </c>
      <c r="F139" s="10">
        <v>161.5</v>
      </c>
      <c r="G139" s="1">
        <v>-0.21</v>
      </c>
      <c r="H139" s="14">
        <f t="shared" si="2"/>
        <v>-0.65500000000000003</v>
      </c>
      <c r="I139" s="859" t="s">
        <v>389</v>
      </c>
      <c r="J139" s="860"/>
      <c r="K139" s="860"/>
      <c r="L139" s="861"/>
      <c r="M139" s="3" t="s">
        <v>289</v>
      </c>
    </row>
    <row r="140" spans="1:13">
      <c r="A140" s="81" t="s">
        <v>290</v>
      </c>
      <c r="B140" s="121">
        <v>-3.5248704000000002</v>
      </c>
      <c r="C140" s="71"/>
      <c r="D140" s="12">
        <v>0.56233984781338708</v>
      </c>
      <c r="E140" s="10">
        <v>11</v>
      </c>
      <c r="F140" s="10">
        <v>213.49999999999997</v>
      </c>
      <c r="G140" s="1">
        <v>3.04</v>
      </c>
      <c r="H140" s="14">
        <f t="shared" si="2"/>
        <v>-4.4249999999999998</v>
      </c>
      <c r="I140" s="862"/>
      <c r="J140" s="855"/>
      <c r="K140" s="855"/>
      <c r="L140" s="863"/>
      <c r="M140" s="3" t="s">
        <v>291</v>
      </c>
    </row>
    <row r="141" spans="1:13">
      <c r="A141" s="83" t="s">
        <v>292</v>
      </c>
      <c r="B141" s="121">
        <v>-3.7300582000000002</v>
      </c>
      <c r="C141" s="71"/>
      <c r="D141" s="12">
        <v>0.54710381306524825</v>
      </c>
      <c r="E141" s="10">
        <v>4</v>
      </c>
      <c r="F141" s="10">
        <v>168.5</v>
      </c>
      <c r="G141" s="1">
        <v>3.35</v>
      </c>
      <c r="H141" s="14">
        <f t="shared" si="2"/>
        <v>-4.2850000000000001</v>
      </c>
      <c r="I141" s="862"/>
      <c r="J141" s="855"/>
      <c r="K141" s="855"/>
      <c r="L141" s="863"/>
      <c r="M141" s="3" t="s">
        <v>293</v>
      </c>
    </row>
    <row r="142" spans="1:13">
      <c r="A142" s="81" t="s">
        <v>114</v>
      </c>
      <c r="B142" s="121">
        <v>-3.825828</v>
      </c>
      <c r="C142" s="71"/>
      <c r="D142" s="12">
        <v>0.54612637818466869</v>
      </c>
      <c r="E142" s="10">
        <v>3</v>
      </c>
      <c r="F142" s="13">
        <v>124.1</v>
      </c>
      <c r="G142" s="1">
        <v>2.81</v>
      </c>
      <c r="H142" s="14">
        <f t="shared" si="2"/>
        <v>-3.3010000000000002</v>
      </c>
      <c r="I142" s="862"/>
      <c r="J142" s="855"/>
      <c r="K142" s="855"/>
      <c r="L142" s="863"/>
      <c r="M142" s="3" t="s">
        <v>294</v>
      </c>
    </row>
    <row r="143" spans="1:13">
      <c r="A143" s="81" t="s">
        <v>295</v>
      </c>
      <c r="B143" s="121">
        <v>-7.6034439999999996</v>
      </c>
      <c r="C143" s="71"/>
      <c r="D143" s="12">
        <v>0.51160213896594608</v>
      </c>
      <c r="E143" s="10">
        <v>4</v>
      </c>
      <c r="F143" s="10">
        <v>165</v>
      </c>
      <c r="G143" s="1">
        <v>4.8899999999999997</v>
      </c>
      <c r="H143" s="14">
        <f t="shared" si="2"/>
        <v>-5.79</v>
      </c>
      <c r="I143" s="862"/>
      <c r="J143" s="855"/>
      <c r="K143" s="855"/>
      <c r="L143" s="863"/>
      <c r="M143" s="3" t="s">
        <v>296</v>
      </c>
    </row>
    <row r="144" spans="1:13">
      <c r="A144" s="81" t="s">
        <v>117</v>
      </c>
      <c r="B144" s="121">
        <v>-6.4652799999999999</v>
      </c>
      <c r="C144" s="71"/>
      <c r="D144" s="12">
        <v>0.65141515533308314</v>
      </c>
      <c r="E144" s="10">
        <v>4</v>
      </c>
      <c r="F144" s="10">
        <v>161.1</v>
      </c>
      <c r="G144" s="1">
        <v>4.76</v>
      </c>
      <c r="H144" s="14">
        <f t="shared" si="2"/>
        <v>-5.6209999999999996</v>
      </c>
      <c r="I144" s="25"/>
      <c r="J144" s="7"/>
      <c r="K144" s="7"/>
      <c r="L144" s="24"/>
      <c r="M144" s="3" t="s">
        <v>297</v>
      </c>
    </row>
    <row r="145" spans="1:28">
      <c r="A145" s="83" t="s">
        <v>298</v>
      </c>
      <c r="B145" s="121">
        <v>-6.8059105999999998</v>
      </c>
      <c r="C145" s="71"/>
      <c r="D145" s="12">
        <v>0.65883215509381909</v>
      </c>
      <c r="E145" s="10">
        <v>3</v>
      </c>
      <c r="F145" s="10">
        <v>155</v>
      </c>
      <c r="G145" s="1">
        <v>3.74</v>
      </c>
      <c r="H145" s="14">
        <f t="shared" si="2"/>
        <v>-4.54</v>
      </c>
      <c r="I145" s="25"/>
      <c r="J145" s="7"/>
      <c r="K145" s="7"/>
      <c r="L145" s="24"/>
      <c r="M145" s="3" t="s">
        <v>299</v>
      </c>
    </row>
    <row r="146" spans="1:28">
      <c r="A146" s="82" t="s">
        <v>300</v>
      </c>
      <c r="B146" s="121">
        <v>-8.6786060000000003</v>
      </c>
      <c r="C146" s="71"/>
      <c r="D146" s="12">
        <v>0.61400477095750339</v>
      </c>
      <c r="E146" s="10">
        <v>3</v>
      </c>
      <c r="F146" s="10">
        <v>165.4</v>
      </c>
      <c r="G146" s="1">
        <v>5.58</v>
      </c>
      <c r="H146" s="14">
        <f t="shared" si="2"/>
        <v>-6.484</v>
      </c>
      <c r="I146" s="25"/>
      <c r="J146" s="7"/>
      <c r="K146" s="7"/>
      <c r="L146" s="24"/>
      <c r="M146" s="3" t="s">
        <v>301</v>
      </c>
    </row>
    <row r="147" spans="1:28">
      <c r="A147" s="82" t="s">
        <v>302</v>
      </c>
      <c r="B147" s="121">
        <v>-7.8987837000000001</v>
      </c>
      <c r="C147" s="71"/>
      <c r="D147" s="12">
        <v>0.50406532001413251</v>
      </c>
      <c r="E147" s="10">
        <v>6</v>
      </c>
      <c r="F147" s="10">
        <v>161</v>
      </c>
      <c r="G147" s="1">
        <v>6.45</v>
      </c>
      <c r="H147" s="14">
        <f t="shared" si="2"/>
        <v>-7.3100000000000005</v>
      </c>
      <c r="I147" s="26"/>
      <c r="J147" s="27"/>
      <c r="K147" s="27"/>
      <c r="L147" s="28"/>
      <c r="M147" s="3" t="s">
        <v>303</v>
      </c>
    </row>
    <row r="148" spans="1:28">
      <c r="A148" s="82" t="s">
        <v>304</v>
      </c>
      <c r="B148" s="121">
        <v>-6.2203059999999999</v>
      </c>
      <c r="C148" s="71"/>
      <c r="D148" s="12">
        <v>0.75493366325441691</v>
      </c>
      <c r="E148" s="10">
        <v>4</v>
      </c>
      <c r="F148" s="10">
        <v>193.5</v>
      </c>
      <c r="G148" s="1">
        <v>5.41</v>
      </c>
      <c r="H148" s="14">
        <f t="shared" si="2"/>
        <v>-6.5950000000000006</v>
      </c>
      <c r="J148" s="14"/>
      <c r="K148" s="14"/>
      <c r="L148" s="14"/>
      <c r="M148" s="3" t="s">
        <v>305</v>
      </c>
    </row>
    <row r="149" spans="1:28">
      <c r="A149" s="82" t="s">
        <v>306</v>
      </c>
      <c r="B149" s="121">
        <v>-4.9136220000000002</v>
      </c>
      <c r="C149" s="71"/>
      <c r="D149" s="12">
        <v>0.50089358058597189</v>
      </c>
      <c r="E149" s="10">
        <v>3</v>
      </c>
      <c r="F149" s="10">
        <v>156</v>
      </c>
      <c r="G149" s="1">
        <v>2.9</v>
      </c>
      <c r="H149" s="14">
        <f t="shared" si="2"/>
        <v>-3.71</v>
      </c>
      <c r="I149" s="70" t="s">
        <v>133</v>
      </c>
      <c r="J149" s="864">
        <v>212</v>
      </c>
      <c r="K149" s="865"/>
      <c r="L149" s="14"/>
      <c r="M149" s="3" t="s">
        <v>307</v>
      </c>
    </row>
    <row r="150" spans="1:28">
      <c r="A150" s="83" t="s">
        <v>308</v>
      </c>
      <c r="B150" s="121">
        <v>-5.368779</v>
      </c>
      <c r="C150" s="71"/>
      <c r="D150" s="12">
        <v>0.6587984329866341</v>
      </c>
      <c r="E150" s="10">
        <v>4</v>
      </c>
      <c r="F150" s="10">
        <v>183.5</v>
      </c>
      <c r="G150" s="1">
        <v>3.16</v>
      </c>
      <c r="H150" s="14">
        <f t="shared" si="2"/>
        <v>-4.2450000000000001</v>
      </c>
      <c r="I150" s="70" t="s">
        <v>136</v>
      </c>
      <c r="J150" s="32"/>
      <c r="K150" s="34"/>
      <c r="L150" s="14"/>
      <c r="M150" s="3" t="s">
        <v>309</v>
      </c>
    </row>
    <row r="151" spans="1:28">
      <c r="A151" s="83" t="s">
        <v>310</v>
      </c>
      <c r="B151" s="121">
        <v>-2.2002801999999999</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s="121">
        <v>-3.2880864000000001</v>
      </c>
      <c r="C152" s="71"/>
      <c r="D152" s="12">
        <v>0.57115657899345518</v>
      </c>
      <c r="E152" s="10">
        <v>7</v>
      </c>
      <c r="F152" s="10">
        <v>177</v>
      </c>
      <c r="G152" s="1">
        <v>3.17</v>
      </c>
      <c r="H152" s="14">
        <f t="shared" si="2"/>
        <v>-4.1899999999999995</v>
      </c>
      <c r="I152" s="14"/>
      <c r="J152" s="14"/>
      <c r="K152" s="14"/>
      <c r="L152" s="14"/>
      <c r="M152" s="3" t="s">
        <v>313</v>
      </c>
    </row>
    <row r="153" spans="1:28">
      <c r="A153" s="81" t="s">
        <v>314</v>
      </c>
      <c r="B153" s="121">
        <v>-8.1068020000000001</v>
      </c>
      <c r="C153" s="71"/>
      <c r="D153" s="12">
        <v>0.55807775121880254</v>
      </c>
      <c r="E153" s="10">
        <v>6</v>
      </c>
      <c r="F153" s="10">
        <v>145</v>
      </c>
      <c r="G153" s="1">
        <v>6.08</v>
      </c>
      <c r="H153" s="14">
        <f t="shared" si="2"/>
        <v>-6.78</v>
      </c>
      <c r="I153" s="19" t="s">
        <v>144</v>
      </c>
      <c r="J153" s="17"/>
      <c r="K153" s="17"/>
      <c r="L153" s="18"/>
      <c r="M153" s="3" t="s">
        <v>315</v>
      </c>
    </row>
    <row r="154" spans="1:28" ht="30.75" customHeight="1">
      <c r="A154" s="81" t="s">
        <v>316</v>
      </c>
      <c r="B154" s="121">
        <v>-8.6993410000000004</v>
      </c>
      <c r="C154" s="71"/>
      <c r="D154" s="12">
        <v>0.66417698790166113</v>
      </c>
      <c r="E154" s="10">
        <v>3</v>
      </c>
      <c r="F154" s="13">
        <v>175.8</v>
      </c>
      <c r="G154" s="1">
        <v>4.62</v>
      </c>
      <c r="H154" s="14">
        <f t="shared" si="2"/>
        <v>-5.6280000000000001</v>
      </c>
      <c r="I154" s="125" t="s">
        <v>378</v>
      </c>
      <c r="J154" s="860" t="s">
        <v>385</v>
      </c>
      <c r="K154" s="860"/>
      <c r="L154" s="22"/>
      <c r="M154" s="3" t="s">
        <v>317</v>
      </c>
    </row>
    <row r="155" spans="1:28" ht="29.25" customHeight="1">
      <c r="A155" s="82" t="s">
        <v>318</v>
      </c>
      <c r="B155" s="121">
        <v>-5.5916804999999998</v>
      </c>
      <c r="C155" s="71"/>
      <c r="D155" s="12">
        <v>0.57716593661781801</v>
      </c>
      <c r="E155" s="10">
        <v>3</v>
      </c>
      <c r="F155" s="10">
        <v>349.84</v>
      </c>
      <c r="G155" s="1">
        <v>3.09</v>
      </c>
      <c r="H155" s="14">
        <f t="shared" si="2"/>
        <v>-5.8384</v>
      </c>
      <c r="I155" s="23" t="s">
        <v>379</v>
      </c>
      <c r="J155" s="855" t="s">
        <v>386</v>
      </c>
      <c r="K155" s="855"/>
      <c r="L155" s="24"/>
      <c r="M155" s="3" t="s">
        <v>319</v>
      </c>
    </row>
    <row r="156" spans="1:28" ht="42.75" customHeight="1">
      <c r="A156" s="83" t="s">
        <v>320</v>
      </c>
      <c r="B156" s="121">
        <v>-2.7628663000000002</v>
      </c>
      <c r="C156" s="71"/>
      <c r="D156" s="12">
        <v>0.70324590282883903</v>
      </c>
      <c r="E156" s="10">
        <v>3</v>
      </c>
      <c r="F156" s="10">
        <v>204</v>
      </c>
      <c r="G156" s="1">
        <v>0.88</v>
      </c>
      <c r="H156" s="14">
        <f t="shared" si="2"/>
        <v>-2.17</v>
      </c>
      <c r="I156" s="126" t="s">
        <v>380</v>
      </c>
      <c r="J156" s="855" t="s">
        <v>387</v>
      </c>
      <c r="K156" s="855"/>
      <c r="L156" s="24"/>
      <c r="M156" s="3" t="s">
        <v>321</v>
      </c>
    </row>
    <row r="157" spans="1:28" ht="31.5" customHeight="1">
      <c r="A157" s="82" t="s">
        <v>322</v>
      </c>
      <c r="B157" s="121">
        <v>-8.1068020000000001</v>
      </c>
      <c r="C157" s="71"/>
      <c r="D157" s="12">
        <v>0.7237903588794764</v>
      </c>
      <c r="E157" s="10">
        <v>7</v>
      </c>
      <c r="F157" s="10">
        <v>97.8</v>
      </c>
      <c r="G157" s="1">
        <v>6</v>
      </c>
      <c r="H157" s="14">
        <f t="shared" si="2"/>
        <v>-6.2279999999999998</v>
      </c>
      <c r="I157" s="126" t="s">
        <v>381</v>
      </c>
      <c r="J157" s="855" t="s">
        <v>388</v>
      </c>
      <c r="K157" s="855"/>
      <c r="L157" s="24"/>
      <c r="M157" s="3" t="s">
        <v>323</v>
      </c>
    </row>
    <row r="158" spans="1:28">
      <c r="A158" s="82" t="s">
        <v>324</v>
      </c>
      <c r="B158" s="121">
        <v>-8.3517759999999992</v>
      </c>
      <c r="C158" s="71"/>
      <c r="D158" s="12">
        <v>0.84033450922624497</v>
      </c>
      <c r="E158" s="10">
        <v>5</v>
      </c>
      <c r="F158" s="10">
        <v>262</v>
      </c>
      <c r="G158" s="1">
        <v>7.26</v>
      </c>
      <c r="H158" s="14">
        <f t="shared" si="2"/>
        <v>-9.129999999999999</v>
      </c>
      <c r="I158" s="23" t="s">
        <v>382</v>
      </c>
      <c r="J158" s="7"/>
      <c r="K158" s="7"/>
      <c r="L158" s="24"/>
      <c r="M158" s="3" t="s">
        <v>325</v>
      </c>
    </row>
    <row r="159" spans="1:28" ht="25">
      <c r="A159" s="82" t="s">
        <v>326</v>
      </c>
      <c r="B159" s="121">
        <v>-8.3517759999999992</v>
      </c>
      <c r="C159" s="71"/>
      <c r="D159" s="12">
        <v>0.70969645885144073</v>
      </c>
      <c r="E159" s="10">
        <v>11</v>
      </c>
      <c r="F159" s="10">
        <v>149.6</v>
      </c>
      <c r="G159" s="1">
        <v>6.45</v>
      </c>
      <c r="H159" s="14">
        <f t="shared" si="2"/>
        <v>-7.1959999999999997</v>
      </c>
      <c r="I159" s="126" t="s">
        <v>383</v>
      </c>
      <c r="J159" s="7"/>
      <c r="K159" s="7"/>
      <c r="L159" s="24"/>
      <c r="M159" s="3" t="s">
        <v>327</v>
      </c>
    </row>
    <row r="160" spans="1:28" s="62" customFormat="1" ht="25">
      <c r="A160" s="81" t="s">
        <v>328</v>
      </c>
      <c r="B160" s="121">
        <v>-2.7694523000000002</v>
      </c>
      <c r="C160" s="71"/>
      <c r="D160" s="12">
        <v>0.49644864464459931</v>
      </c>
      <c r="E160" s="10">
        <v>4</v>
      </c>
      <c r="F160" s="10">
        <v>304.5</v>
      </c>
      <c r="G160" s="1">
        <v>2.69</v>
      </c>
      <c r="H160" s="14">
        <f t="shared" si="2"/>
        <v>-4.9849999999999994</v>
      </c>
      <c r="I160" s="127" t="s">
        <v>384</v>
      </c>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43"/>
      <c r="B194" s="44"/>
      <c r="C194" s="44"/>
      <c r="D194" s="44"/>
      <c r="E194" s="44"/>
      <c r="F194" s="44"/>
      <c r="G194" s="44"/>
      <c r="H194" s="44"/>
      <c r="I194" s="44"/>
      <c r="J194" s="44"/>
      <c r="K194" s="44"/>
      <c r="L194" s="44"/>
      <c r="M194" s="48"/>
      <c r="N194" s="44"/>
      <c r="O194" s="44"/>
      <c r="P194" s="44"/>
      <c r="Q194" s="45"/>
    </row>
  </sheetData>
  <mergeCells count="19">
    <mergeCell ref="I73:L73"/>
    <mergeCell ref="I33:L33"/>
    <mergeCell ref="J59:K59"/>
    <mergeCell ref="I64:L64"/>
    <mergeCell ref="I65:L65"/>
    <mergeCell ref="I66:L66"/>
    <mergeCell ref="I67:L67"/>
    <mergeCell ref="I68:L68"/>
    <mergeCell ref="I69:L69"/>
    <mergeCell ref="I70:L70"/>
    <mergeCell ref="I71:L71"/>
    <mergeCell ref="I72:L72"/>
    <mergeCell ref="J157:K157"/>
    <mergeCell ref="I74:L74"/>
    <mergeCell ref="I139:L143"/>
    <mergeCell ref="J149:K149"/>
    <mergeCell ref="J154:K154"/>
    <mergeCell ref="J155:K155"/>
    <mergeCell ref="J156:K156"/>
  </mergeCells>
  <pageMargins left="0" right="0" top="0" bottom="0" header="0.3" footer="0.3"/>
  <pageSetup scale="54"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14E14-0A74-4356-A437-671DB3F613C7}">
  <dimension ref="A1:AB194"/>
  <sheetViews>
    <sheetView workbookViewId="0">
      <selection activeCell="B4" sqref="B4:B9"/>
    </sheetView>
  </sheetViews>
  <sheetFormatPr baseColWidth="10" defaultColWidth="9.1640625" defaultRowHeight="15"/>
  <cols>
    <col min="1" max="1" width="18.83203125" customWidth="1"/>
    <col min="2" max="3" width="11.33203125" customWidth="1"/>
    <col min="4" max="4" width="7.6640625" customWidth="1"/>
    <col min="5" max="5" width="7.83203125" customWidth="1"/>
    <col min="6" max="6" width="10.1640625" customWidth="1"/>
    <col min="7" max="7" width="11.5" customWidth="1"/>
    <col min="9" max="9" width="13.1640625" customWidth="1"/>
    <col min="10" max="10" width="4.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41"/>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t="s">
        <v>32</v>
      </c>
      <c r="C14" t="s">
        <v>11</v>
      </c>
    </row>
    <row r="15" spans="1:25" s="90" customFormat="1">
      <c r="A15" s="89" t="s">
        <v>12</v>
      </c>
    </row>
    <row r="16" spans="1:25">
      <c r="B16" s="117"/>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s="120">
        <v>-1.3633999999999999</v>
      </c>
      <c r="C23" s="73" t="s">
        <v>30</v>
      </c>
      <c r="D23" s="12">
        <v>0.17592262140645501</v>
      </c>
      <c r="E23" s="10">
        <v>11</v>
      </c>
      <c r="F23" s="10">
        <v>258.5</v>
      </c>
      <c r="G23" s="6">
        <v>-0.86</v>
      </c>
      <c r="H23" s="14">
        <f t="shared" ref="H23:H86" si="0">0.5-G23-0.01*(F23-25)</f>
        <v>-0.97500000000000009</v>
      </c>
      <c r="I23" s="53" t="s">
        <v>31</v>
      </c>
      <c r="J23" s="54"/>
      <c r="K23" s="14"/>
      <c r="L23" s="14"/>
      <c r="M23" s="11" t="s">
        <v>33</v>
      </c>
    </row>
    <row r="24" spans="1:28">
      <c r="A24" s="82" t="s">
        <v>35</v>
      </c>
      <c r="B24" s="121">
        <v>-1.3148</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s="121">
        <v>-2.6960000000000002</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s="121">
        <v>-2.6190000000000002</v>
      </c>
      <c r="C26" s="73" t="s">
        <v>46</v>
      </c>
      <c r="D26" s="12">
        <v>0.16999222507469616</v>
      </c>
      <c r="E26" s="10">
        <v>3</v>
      </c>
      <c r="F26" s="10">
        <v>234</v>
      </c>
      <c r="G26" s="6">
        <v>3.19</v>
      </c>
      <c r="H26" s="14">
        <f t="shared" si="0"/>
        <v>-4.7799999999999994</v>
      </c>
      <c r="I26" s="15" t="s">
        <v>47</v>
      </c>
      <c r="J26" s="29"/>
      <c r="K26" s="14"/>
      <c r="L26" s="14"/>
      <c r="M26" s="11" t="s">
        <v>48</v>
      </c>
    </row>
    <row r="27" spans="1:28">
      <c r="A27" s="82" t="s">
        <v>50</v>
      </c>
      <c r="B27" s="121">
        <v>-4.1311</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s="121">
        <v>-4.3902999999999999</v>
      </c>
      <c r="C28" s="71"/>
      <c r="D28" s="12">
        <v>0.18412396392404196</v>
      </c>
      <c r="E28" s="10">
        <v>3</v>
      </c>
      <c r="F28" s="10">
        <v>224.00000000000003</v>
      </c>
      <c r="G28" s="6">
        <v>5.51</v>
      </c>
      <c r="H28" s="14">
        <f t="shared" si="0"/>
        <v>-7</v>
      </c>
      <c r="I28" s="15" t="s">
        <v>56</v>
      </c>
      <c r="J28" s="29"/>
      <c r="K28" s="14"/>
      <c r="L28" s="14"/>
      <c r="M28" s="11" t="s">
        <v>57</v>
      </c>
    </row>
    <row r="29" spans="1:28">
      <c r="A29" s="81" t="s">
        <v>59</v>
      </c>
      <c r="B29" s="121">
        <v>-3.879</v>
      </c>
      <c r="C29" s="71"/>
      <c r="D29" s="12">
        <v>0.14933733874523175</v>
      </c>
      <c r="E29" s="10">
        <v>6</v>
      </c>
      <c r="F29" s="10">
        <v>172.5</v>
      </c>
      <c r="G29" s="6">
        <v>1.78</v>
      </c>
      <c r="H29" s="14">
        <f t="shared" si="0"/>
        <v>-2.7549999999999999</v>
      </c>
      <c r="I29" s="15" t="s">
        <v>60</v>
      </c>
      <c r="J29" s="31"/>
      <c r="K29" s="14"/>
      <c r="L29" s="14"/>
      <c r="M29" s="11" t="s">
        <v>61</v>
      </c>
    </row>
    <row r="30" spans="1:28">
      <c r="A30" s="81" t="s">
        <v>63</v>
      </c>
      <c r="B30" s="121">
        <v>-2.1627000000000001</v>
      </c>
      <c r="C30" s="71"/>
      <c r="D30" s="12">
        <v>0.14842266063120066</v>
      </c>
      <c r="E30" s="10">
        <v>4</v>
      </c>
      <c r="F30" s="10">
        <v>207.50000000000003</v>
      </c>
      <c r="G30" s="6">
        <v>1.86</v>
      </c>
      <c r="H30" s="14">
        <f t="shared" si="0"/>
        <v>-3.1850000000000005</v>
      </c>
      <c r="I30" s="30" t="s">
        <v>64</v>
      </c>
      <c r="J30" s="32" t="s">
        <v>32</v>
      </c>
      <c r="K30" s="33" t="s">
        <v>370</v>
      </c>
      <c r="L30" s="34"/>
      <c r="M30" s="11" t="s">
        <v>65</v>
      </c>
    </row>
    <row r="31" spans="1:28">
      <c r="A31" s="83" t="s">
        <v>66</v>
      </c>
      <c r="B31" s="121">
        <v>-2.3384999999999998</v>
      </c>
      <c r="C31" s="71"/>
      <c r="D31" s="12">
        <v>0.1617973106900604</v>
      </c>
      <c r="E31" s="10">
        <v>10</v>
      </c>
      <c r="F31" s="10">
        <v>166.5</v>
      </c>
      <c r="G31" s="6">
        <v>0.79</v>
      </c>
      <c r="H31" s="14">
        <f t="shared" si="0"/>
        <v>-1.7050000000000001</v>
      </c>
      <c r="J31" s="14"/>
      <c r="K31" s="14"/>
      <c r="L31" s="14"/>
      <c r="M31" s="11" t="s">
        <v>67</v>
      </c>
    </row>
    <row r="32" spans="1:28">
      <c r="A32" s="82" t="s">
        <v>68</v>
      </c>
      <c r="B32" s="121">
        <v>-4.0791000000000004</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s="122">
        <v>-3.2000999999999999</v>
      </c>
      <c r="C33" s="72"/>
      <c r="D33" s="4">
        <v>0.12912520605069597</v>
      </c>
      <c r="E33" s="2">
        <v>3</v>
      </c>
      <c r="F33" s="13">
        <v>192.7</v>
      </c>
      <c r="G33" s="6">
        <v>2.63</v>
      </c>
      <c r="H33" s="14">
        <f t="shared" si="0"/>
        <v>-3.8069999999999995</v>
      </c>
      <c r="I33" s="20" t="s">
        <v>371</v>
      </c>
      <c r="J33" s="21"/>
      <c r="K33" s="21"/>
      <c r="L33" s="22"/>
      <c r="M33" s="11" t="s">
        <v>72</v>
      </c>
    </row>
    <row r="34" spans="1:13">
      <c r="A34" s="81" t="s">
        <v>74</v>
      </c>
      <c r="B34" s="121">
        <v>-4.7229999999999999</v>
      </c>
      <c r="C34" s="71"/>
      <c r="D34" s="12">
        <v>0.14911462098310888</v>
      </c>
      <c r="E34" s="10">
        <v>6</v>
      </c>
      <c r="F34" s="10">
        <v>167</v>
      </c>
      <c r="G34" s="6">
        <v>6.32</v>
      </c>
      <c r="H34" s="14">
        <f t="shared" si="0"/>
        <v>-7.24</v>
      </c>
      <c r="I34" s="23"/>
      <c r="J34" s="7"/>
      <c r="K34" s="7"/>
      <c r="L34" s="24"/>
      <c r="M34" s="11" t="s">
        <v>75</v>
      </c>
    </row>
    <row r="35" spans="1:13">
      <c r="A35" s="82" t="s">
        <v>77</v>
      </c>
      <c r="B35" s="121">
        <v>-2.3725000000000001</v>
      </c>
      <c r="C35" s="71"/>
      <c r="D35" s="12">
        <v>0.15809078703524676</v>
      </c>
      <c r="E35" s="10">
        <v>15</v>
      </c>
      <c r="F35" s="10">
        <v>191.5</v>
      </c>
      <c r="G35" s="6">
        <v>3.39</v>
      </c>
      <c r="H35" s="14">
        <f t="shared" si="0"/>
        <v>-4.5549999999999997</v>
      </c>
      <c r="I35" s="23"/>
      <c r="J35" s="7"/>
      <c r="K35" s="7"/>
      <c r="L35" s="24"/>
      <c r="M35" s="11" t="s">
        <v>78</v>
      </c>
    </row>
    <row r="36" spans="1:13">
      <c r="A36" s="83" t="s">
        <v>80</v>
      </c>
      <c r="B36" s="121">
        <v>-3.9878</v>
      </c>
      <c r="C36" s="71"/>
      <c r="D36" s="12">
        <v>0.1911503089068218</v>
      </c>
      <c r="E36" s="10">
        <v>3</v>
      </c>
      <c r="F36" s="10">
        <v>246.2</v>
      </c>
      <c r="G36" s="6">
        <v>3.32</v>
      </c>
      <c r="H36" s="14">
        <f t="shared" si="0"/>
        <v>-5.032</v>
      </c>
      <c r="I36" s="25"/>
      <c r="J36" s="7"/>
      <c r="K36" s="7"/>
      <c r="L36" s="24"/>
      <c r="M36" s="11" t="s">
        <v>81</v>
      </c>
    </row>
    <row r="37" spans="1:13">
      <c r="A37" s="83" t="s">
        <v>73</v>
      </c>
      <c r="B37" s="121">
        <v>-3.4687000000000001</v>
      </c>
      <c r="C37" s="71"/>
      <c r="D37" s="12">
        <v>0.19050575600734274</v>
      </c>
      <c r="E37" s="10">
        <v>4</v>
      </c>
      <c r="F37" s="10">
        <v>304</v>
      </c>
      <c r="G37" s="6">
        <v>1.74</v>
      </c>
      <c r="H37" s="14">
        <f t="shared" si="0"/>
        <v>-4.03</v>
      </c>
      <c r="I37" s="25"/>
      <c r="J37" s="7"/>
      <c r="K37" s="7"/>
      <c r="L37" s="24"/>
      <c r="M37" s="11" t="s">
        <v>83</v>
      </c>
    </row>
    <row r="38" spans="1:13">
      <c r="A38" s="81" t="s">
        <v>76</v>
      </c>
      <c r="B38" s="121">
        <v>-3.5836999999999999</v>
      </c>
      <c r="C38" s="71"/>
      <c r="D38" s="12">
        <v>0.13682393527498057</v>
      </c>
      <c r="E38" s="10">
        <v>7</v>
      </c>
      <c r="F38" s="10">
        <v>187</v>
      </c>
      <c r="G38" s="6">
        <v>-0.87</v>
      </c>
      <c r="H38" s="14">
        <f t="shared" si="0"/>
        <v>-0.25</v>
      </c>
      <c r="I38" s="25"/>
      <c r="J38" s="7"/>
      <c r="K38" s="7"/>
      <c r="L38" s="24"/>
      <c r="M38" s="66" t="s">
        <v>85</v>
      </c>
    </row>
    <row r="39" spans="1:13">
      <c r="A39" s="81" t="s">
        <v>87</v>
      </c>
      <c r="B39" s="121">
        <v>-2.8828</v>
      </c>
      <c r="C39" s="71"/>
      <c r="D39" s="12">
        <v>0.20462356367492032</v>
      </c>
      <c r="E39" s="10">
        <v>4</v>
      </c>
      <c r="F39" s="10">
        <v>221.5</v>
      </c>
      <c r="G39" s="6">
        <v>0.71</v>
      </c>
      <c r="H39" s="14">
        <f t="shared" si="0"/>
        <v>-2.1749999999999998</v>
      </c>
      <c r="I39" s="25"/>
      <c r="J39" s="7"/>
      <c r="K39" s="7"/>
      <c r="L39" s="24"/>
      <c r="M39" s="11" t="s">
        <v>88</v>
      </c>
    </row>
    <row r="40" spans="1:13">
      <c r="A40" s="81" t="s">
        <v>90</v>
      </c>
      <c r="B40" s="121">
        <v>-4.1578999999999997</v>
      </c>
      <c r="C40" s="71"/>
      <c r="D40" s="12">
        <v>0.18274602564465547</v>
      </c>
      <c r="E40" s="10">
        <v>6</v>
      </c>
      <c r="F40" s="10">
        <v>157.83333333333334</v>
      </c>
      <c r="G40" s="6">
        <v>3.51</v>
      </c>
      <c r="H40" s="14">
        <f t="shared" si="0"/>
        <v>-4.3383333333333329</v>
      </c>
      <c r="I40" s="25"/>
      <c r="J40" s="39"/>
      <c r="K40" s="39"/>
      <c r="L40" s="40"/>
      <c r="M40" s="11" t="s">
        <v>91</v>
      </c>
    </row>
    <row r="41" spans="1:13">
      <c r="A41" s="84" t="s">
        <v>93</v>
      </c>
      <c r="B41" s="122">
        <v>-2.5343</v>
      </c>
      <c r="C41" s="72"/>
      <c r="D41" s="4">
        <v>0.12610247911779729</v>
      </c>
      <c r="E41" s="2">
        <v>8</v>
      </c>
      <c r="F41" s="10">
        <v>140</v>
      </c>
      <c r="G41" s="6">
        <v>0.35</v>
      </c>
      <c r="H41" s="14">
        <f t="shared" si="0"/>
        <v>-1</v>
      </c>
      <c r="I41" s="25"/>
      <c r="J41" s="39"/>
      <c r="K41" s="39"/>
      <c r="L41" s="40"/>
      <c r="M41" s="11" t="s">
        <v>94</v>
      </c>
    </row>
    <row r="42" spans="1:13">
      <c r="A42" s="82" t="s">
        <v>96</v>
      </c>
      <c r="B42" s="121">
        <v>-3.1614</v>
      </c>
      <c r="C42" s="71"/>
      <c r="D42" s="12">
        <v>0.14493441954543959</v>
      </c>
      <c r="E42" s="10">
        <v>7</v>
      </c>
      <c r="F42" s="10">
        <v>127.93333333333334</v>
      </c>
      <c r="G42" s="6">
        <v>1.74</v>
      </c>
      <c r="H42" s="14">
        <f t="shared" si="0"/>
        <v>-2.2693333333333334</v>
      </c>
      <c r="I42" s="25"/>
      <c r="J42" s="39"/>
      <c r="K42" s="39"/>
      <c r="L42" s="40"/>
      <c r="M42" s="11" t="s">
        <v>97</v>
      </c>
    </row>
    <row r="43" spans="1:13">
      <c r="A43" s="82" t="s">
        <v>79</v>
      </c>
      <c r="B43" s="121">
        <v>-4.5556000000000001</v>
      </c>
      <c r="C43" s="71"/>
      <c r="D43" s="12">
        <v>0.14861388626870758</v>
      </c>
      <c r="E43" s="10">
        <v>7</v>
      </c>
      <c r="F43" s="10">
        <v>176</v>
      </c>
      <c r="G43" s="6">
        <v>4.4800000000000004</v>
      </c>
      <c r="H43" s="14">
        <f t="shared" si="0"/>
        <v>-5.49</v>
      </c>
      <c r="I43" s="25"/>
      <c r="J43" s="39"/>
      <c r="K43" s="39"/>
      <c r="L43" s="40"/>
      <c r="M43" s="11" t="s">
        <v>99</v>
      </c>
    </row>
    <row r="44" spans="1:13">
      <c r="A44" s="85" t="s">
        <v>101</v>
      </c>
      <c r="B44" s="122">
        <v>-4.0887000000000002</v>
      </c>
      <c r="C44" s="72"/>
      <c r="D44" s="4">
        <v>0.1280711495400205</v>
      </c>
      <c r="E44" s="2">
        <v>3</v>
      </c>
      <c r="F44" s="10">
        <v>159.69999999999999</v>
      </c>
      <c r="G44" s="6">
        <v>3.46</v>
      </c>
      <c r="H44" s="14">
        <f t="shared" si="0"/>
        <v>-4.3070000000000004</v>
      </c>
      <c r="I44" s="25"/>
      <c r="J44" s="39"/>
      <c r="K44" s="39"/>
      <c r="L44" s="40"/>
      <c r="M44" s="11" t="s">
        <v>102</v>
      </c>
    </row>
    <row r="45" spans="1:13">
      <c r="A45" s="84" t="s">
        <v>104</v>
      </c>
      <c r="B45" s="122">
        <v>-3.4251999999999998</v>
      </c>
      <c r="C45" s="72"/>
      <c r="D45" s="4">
        <v>0.21683500301481054</v>
      </c>
      <c r="E45" s="2">
        <v>8</v>
      </c>
      <c r="F45" s="10">
        <v>142</v>
      </c>
      <c r="G45" s="6">
        <v>0.6</v>
      </c>
      <c r="H45" s="14">
        <f t="shared" si="0"/>
        <v>-1.27</v>
      </c>
      <c r="I45" s="25"/>
      <c r="J45" s="39"/>
      <c r="K45" s="39"/>
      <c r="L45" s="40"/>
      <c r="M45" s="11" t="s">
        <v>105</v>
      </c>
    </row>
    <row r="46" spans="1:13">
      <c r="A46" s="82" t="s">
        <v>107</v>
      </c>
      <c r="B46" s="121">
        <v>-3.6884000000000001</v>
      </c>
      <c r="C46" s="71"/>
      <c r="D46" s="12">
        <v>0.18255878892749886</v>
      </c>
      <c r="E46" s="10">
        <v>20</v>
      </c>
      <c r="F46" s="10">
        <v>267</v>
      </c>
      <c r="G46" s="6">
        <v>1.58</v>
      </c>
      <c r="H46" s="14">
        <f t="shared" si="0"/>
        <v>-3.5</v>
      </c>
      <c r="I46" s="25"/>
      <c r="J46" s="39"/>
      <c r="K46" s="39"/>
      <c r="L46" s="40"/>
      <c r="M46" s="11" t="s">
        <v>108</v>
      </c>
    </row>
    <row r="47" spans="1:13">
      <c r="A47" s="81" t="s">
        <v>110</v>
      </c>
      <c r="B47" s="121">
        <v>-4.0921000000000003</v>
      </c>
      <c r="C47" s="71"/>
      <c r="D47" s="12">
        <v>0.16704647063532602</v>
      </c>
      <c r="E47" s="10">
        <v>6</v>
      </c>
      <c r="F47" s="10">
        <v>110.00000000000001</v>
      </c>
      <c r="G47" s="6">
        <v>3.36</v>
      </c>
      <c r="H47" s="14">
        <f t="shared" si="0"/>
        <v>-3.71</v>
      </c>
      <c r="I47" s="25"/>
      <c r="J47" s="39"/>
      <c r="K47" s="39"/>
      <c r="L47" s="40"/>
      <c r="M47" s="11" t="s">
        <v>111</v>
      </c>
    </row>
    <row r="48" spans="1:13">
      <c r="A48" s="82" t="s">
        <v>82</v>
      </c>
      <c r="B48" s="121">
        <v>-3.6745999999999999</v>
      </c>
      <c r="C48" s="71"/>
      <c r="D48" s="12">
        <v>0.17164501312359953</v>
      </c>
      <c r="E48" s="10">
        <v>7</v>
      </c>
      <c r="F48" s="10">
        <v>182</v>
      </c>
      <c r="G48" s="6">
        <v>2.67</v>
      </c>
      <c r="H48" s="14">
        <f t="shared" si="0"/>
        <v>-3.74</v>
      </c>
      <c r="I48" s="25"/>
      <c r="J48" s="39"/>
      <c r="K48" s="39"/>
      <c r="L48" s="40"/>
      <c r="M48" s="11" t="s">
        <v>113</v>
      </c>
    </row>
    <row r="49" spans="1:13">
      <c r="A49" s="84" t="s">
        <v>115</v>
      </c>
      <c r="B49" s="122">
        <v>-3.9958</v>
      </c>
      <c r="C49" s="72"/>
      <c r="D49" s="4">
        <v>0.12558353028546052</v>
      </c>
      <c r="E49" s="2">
        <v>4</v>
      </c>
      <c r="F49" s="10">
        <v>222.00000000000003</v>
      </c>
      <c r="G49" s="6">
        <v>2.56</v>
      </c>
      <c r="H49" s="14">
        <f t="shared" si="0"/>
        <v>-4.03</v>
      </c>
      <c r="I49" s="25"/>
      <c r="J49" s="39"/>
      <c r="K49" s="39"/>
      <c r="L49" s="40"/>
      <c r="M49" s="11" t="s">
        <v>116</v>
      </c>
    </row>
    <row r="50" spans="1:13">
      <c r="A50" s="82" t="s">
        <v>118</v>
      </c>
      <c r="B50" s="121">
        <v>-4.0095000000000001</v>
      </c>
      <c r="C50" s="71"/>
      <c r="D50" s="12">
        <v>0.1568133990664792</v>
      </c>
      <c r="E50" s="10">
        <v>6</v>
      </c>
      <c r="F50" s="10">
        <v>151</v>
      </c>
      <c r="G50" s="6">
        <v>3.27</v>
      </c>
      <c r="H50" s="14">
        <f t="shared" si="0"/>
        <v>-4.03</v>
      </c>
      <c r="I50" s="25"/>
      <c r="J50" s="39"/>
      <c r="K50" s="39"/>
      <c r="L50" s="40"/>
      <c r="M50" s="11" t="s">
        <v>119</v>
      </c>
    </row>
    <row r="51" spans="1:13">
      <c r="A51" s="85" t="s">
        <v>84</v>
      </c>
      <c r="B51" s="122">
        <v>-3.5634000000000001</v>
      </c>
      <c r="C51" s="72"/>
      <c r="D51" s="4">
        <v>0.12789394574374285</v>
      </c>
      <c r="E51" s="2">
        <v>5</v>
      </c>
      <c r="F51" s="10">
        <v>330</v>
      </c>
      <c r="G51" s="6">
        <v>2.87</v>
      </c>
      <c r="H51" s="14">
        <f t="shared" si="0"/>
        <v>-5.42</v>
      </c>
      <c r="I51" s="25"/>
      <c r="J51" s="39"/>
      <c r="K51" s="39"/>
      <c r="L51" s="40"/>
      <c r="M51" s="11" t="s">
        <v>120</v>
      </c>
    </row>
    <row r="52" spans="1:13">
      <c r="A52" s="82" t="s">
        <v>121</v>
      </c>
      <c r="B52" s="121">
        <v>-3.0876999999999999</v>
      </c>
      <c r="C52" s="71"/>
      <c r="D52" s="12">
        <v>0.18012800124370357</v>
      </c>
      <c r="E52" s="10">
        <v>3</v>
      </c>
      <c r="F52" s="10">
        <v>100</v>
      </c>
      <c r="G52" s="6">
        <v>3.53</v>
      </c>
      <c r="H52" s="14">
        <f t="shared" si="0"/>
        <v>-3.78</v>
      </c>
      <c r="I52" s="23"/>
      <c r="J52" s="7"/>
      <c r="K52" s="7"/>
      <c r="L52" s="24"/>
      <c r="M52" s="11" t="s">
        <v>122</v>
      </c>
    </row>
    <row r="53" spans="1:13">
      <c r="A53" s="81" t="s">
        <v>123</v>
      </c>
      <c r="B53" s="121">
        <v>-4.5880000000000001</v>
      </c>
      <c r="C53" s="71"/>
      <c r="D53" s="12">
        <v>0.18062104750721683</v>
      </c>
      <c r="E53" s="10">
        <v>16</v>
      </c>
      <c r="F53" s="10">
        <v>262.5</v>
      </c>
      <c r="G53" s="6">
        <v>1.9</v>
      </c>
      <c r="H53" s="14">
        <f t="shared" si="0"/>
        <v>-3.7749999999999999</v>
      </c>
      <c r="I53" s="23"/>
      <c r="J53" s="7"/>
      <c r="K53" s="7"/>
      <c r="L53" s="24"/>
      <c r="M53" s="11" t="s">
        <v>124</v>
      </c>
    </row>
    <row r="54" spans="1:13">
      <c r="A54" s="84" t="s">
        <v>125</v>
      </c>
      <c r="B54" s="122">
        <v>-3.4089</v>
      </c>
      <c r="C54" s="72"/>
      <c r="D54" s="4">
        <v>0.22156244268660033</v>
      </c>
      <c r="E54" s="2">
        <v>4</v>
      </c>
      <c r="F54" s="10">
        <v>328.85</v>
      </c>
      <c r="G54" s="6">
        <v>1.87</v>
      </c>
      <c r="H54" s="14">
        <f t="shared" si="0"/>
        <v>-4.4085000000000001</v>
      </c>
      <c r="I54" s="23"/>
      <c r="J54" s="7"/>
      <c r="K54" s="7"/>
      <c r="L54" s="24"/>
      <c r="M54" s="11" t="s">
        <v>126</v>
      </c>
    </row>
    <row r="55" spans="1:13">
      <c r="A55" s="82" t="s">
        <v>127</v>
      </c>
      <c r="B55" s="121">
        <v>-3.6789999999999998</v>
      </c>
      <c r="C55" s="71"/>
      <c r="D55" s="12">
        <v>0.18450811780713378</v>
      </c>
      <c r="E55" s="10">
        <v>33</v>
      </c>
      <c r="F55" s="10">
        <v>167.5</v>
      </c>
      <c r="G55" s="6">
        <v>4.3600000000000003</v>
      </c>
      <c r="H55" s="14">
        <f t="shared" si="0"/>
        <v>-5.2850000000000001</v>
      </c>
      <c r="I55" s="23"/>
      <c r="J55" s="7"/>
      <c r="K55" s="7"/>
      <c r="L55" s="24"/>
      <c r="M55" s="11" t="s">
        <v>128</v>
      </c>
    </row>
    <row r="56" spans="1:13">
      <c r="A56" s="82" t="s">
        <v>86</v>
      </c>
      <c r="B56" s="121">
        <v>-4.3840000000000003</v>
      </c>
      <c r="C56" s="71"/>
      <c r="D56" s="12">
        <v>0.15609203233531485</v>
      </c>
      <c r="E56" s="10">
        <v>3</v>
      </c>
      <c r="F56" s="10">
        <v>223</v>
      </c>
      <c r="G56" s="6">
        <v>2.99</v>
      </c>
      <c r="H56" s="14">
        <f t="shared" si="0"/>
        <v>-4.4700000000000006</v>
      </c>
      <c r="I56" s="23"/>
      <c r="J56" s="7"/>
      <c r="K56" s="7"/>
      <c r="L56" s="24"/>
      <c r="M56" s="11" t="s">
        <v>129</v>
      </c>
    </row>
    <row r="57" spans="1:13">
      <c r="A57" s="82" t="s">
        <v>89</v>
      </c>
      <c r="B57" s="121">
        <v>-3.0362</v>
      </c>
      <c r="C57" s="71"/>
      <c r="D57" s="12">
        <v>0.20872343532408041</v>
      </c>
      <c r="E57" s="10">
        <v>3</v>
      </c>
      <c r="F57" s="10">
        <v>210.5</v>
      </c>
      <c r="G57" s="6">
        <v>2.72</v>
      </c>
      <c r="H57" s="14">
        <f t="shared" si="0"/>
        <v>-4.0750000000000002</v>
      </c>
      <c r="I57" s="26"/>
      <c r="J57" s="27"/>
      <c r="K57" s="27"/>
      <c r="L57" s="28"/>
      <c r="M57" s="11" t="s">
        <v>130</v>
      </c>
    </row>
    <row r="58" spans="1:13">
      <c r="A58" s="84" t="s">
        <v>131</v>
      </c>
      <c r="B58" s="122">
        <v>-3.6783999999999999</v>
      </c>
      <c r="C58" s="72"/>
      <c r="D58" s="4">
        <v>0.1297319013416561</v>
      </c>
      <c r="E58" s="2">
        <v>3</v>
      </c>
      <c r="F58" s="10">
        <v>209.75</v>
      </c>
      <c r="G58" s="6">
        <v>3.37</v>
      </c>
      <c r="H58" s="14">
        <f t="shared" si="0"/>
        <v>-4.7175000000000002</v>
      </c>
      <c r="J58" s="14"/>
      <c r="K58" s="14"/>
      <c r="L58" s="14"/>
      <c r="M58" s="11" t="s">
        <v>132</v>
      </c>
    </row>
    <row r="59" spans="1:13">
      <c r="A59" s="81" t="s">
        <v>92</v>
      </c>
      <c r="B59" s="121">
        <v>-2.9478</v>
      </c>
      <c r="C59" s="71"/>
      <c r="D59" s="12">
        <v>0.14124198841117766</v>
      </c>
      <c r="E59" s="10">
        <v>3</v>
      </c>
      <c r="F59" s="10">
        <v>53.5</v>
      </c>
      <c r="G59" s="6">
        <v>3.43</v>
      </c>
      <c r="H59" s="14">
        <f t="shared" si="0"/>
        <v>-3.2150000000000003</v>
      </c>
      <c r="I59" s="70" t="s">
        <v>133</v>
      </c>
      <c r="J59" s="32">
        <v>5778</v>
      </c>
      <c r="K59" s="34"/>
      <c r="L59" s="14"/>
      <c r="M59" s="11" t="s">
        <v>134</v>
      </c>
    </row>
    <row r="60" spans="1:13">
      <c r="A60" s="81" t="s">
        <v>135</v>
      </c>
      <c r="B60" s="121">
        <v>-0.8347</v>
      </c>
      <c r="C60" s="71"/>
      <c r="D60" s="12">
        <v>0.17069281866408892</v>
      </c>
      <c r="E60" s="10">
        <v>6</v>
      </c>
      <c r="F60" s="10">
        <v>270</v>
      </c>
      <c r="G60" s="6">
        <v>0.05</v>
      </c>
      <c r="H60" s="14">
        <f t="shared" si="0"/>
        <v>-2</v>
      </c>
      <c r="I60" s="70" t="s">
        <v>136</v>
      </c>
      <c r="J60" s="32">
        <v>1445</v>
      </c>
      <c r="K60" s="34"/>
      <c r="L60" s="14"/>
      <c r="M60" s="11" t="s">
        <v>137</v>
      </c>
    </row>
    <row r="61" spans="1:13">
      <c r="A61" s="82" t="s">
        <v>138</v>
      </c>
      <c r="B61" s="121">
        <v>-2.1846999999999999</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s="121">
        <v>-4.5776000000000003</v>
      </c>
      <c r="C62" s="71"/>
      <c r="D62" s="12">
        <v>0.18021422622763517</v>
      </c>
      <c r="E62" s="10">
        <v>5</v>
      </c>
      <c r="F62" s="10">
        <v>214.5</v>
      </c>
      <c r="G62" s="6">
        <v>3.61</v>
      </c>
      <c r="H62" s="14">
        <f t="shared" si="0"/>
        <v>-5.0049999999999999</v>
      </c>
      <c r="I62" s="14"/>
      <c r="J62" s="14"/>
      <c r="K62" s="14"/>
      <c r="L62" s="14"/>
      <c r="M62" s="11" t="s">
        <v>142</v>
      </c>
    </row>
    <row r="63" spans="1:13">
      <c r="A63" s="82" t="s">
        <v>143</v>
      </c>
      <c r="B63" s="121">
        <v>-4.0594000000000001</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s="121">
        <v>-2.5402999999999998</v>
      </c>
      <c r="C64" s="71"/>
      <c r="D64" s="12">
        <v>0.17</v>
      </c>
      <c r="E64" s="10">
        <v>3</v>
      </c>
      <c r="F64" s="10">
        <v>189</v>
      </c>
      <c r="G64" s="6">
        <v>1.34</v>
      </c>
      <c r="H64" s="14">
        <f t="shared" si="0"/>
        <v>-2.4800000000000004</v>
      </c>
      <c r="I64" s="20" t="s">
        <v>372</v>
      </c>
      <c r="J64" s="21"/>
      <c r="K64" s="21"/>
      <c r="L64" s="22"/>
      <c r="M64" s="11" t="s">
        <v>148</v>
      </c>
    </row>
    <row r="65" spans="1:13">
      <c r="A65" s="82" t="s">
        <v>149</v>
      </c>
      <c r="B65" s="121">
        <v>-4.2398999999999996</v>
      </c>
      <c r="C65" s="71"/>
      <c r="D65" s="12">
        <v>0.19794493160510693</v>
      </c>
      <c r="E65" s="10">
        <v>4</v>
      </c>
      <c r="F65" s="10">
        <v>243.5</v>
      </c>
      <c r="G65" s="6">
        <v>1.34</v>
      </c>
      <c r="H65" s="14">
        <f t="shared" si="0"/>
        <v>-3.0250000000000004</v>
      </c>
      <c r="I65" s="23"/>
      <c r="J65" s="7"/>
      <c r="K65" s="7"/>
      <c r="L65" s="24"/>
      <c r="M65" s="11" t="s">
        <v>151</v>
      </c>
    </row>
    <row r="66" spans="1:13">
      <c r="A66" s="81" t="s">
        <v>95</v>
      </c>
      <c r="B66" s="121">
        <v>-2.1558999999999999</v>
      </c>
      <c r="C66" s="71"/>
      <c r="D66" s="12">
        <v>0.21056099074293383</v>
      </c>
      <c r="E66" s="10">
        <v>3</v>
      </c>
      <c r="F66" s="10">
        <v>36.5</v>
      </c>
      <c r="G66" s="6">
        <v>2.74</v>
      </c>
      <c r="H66" s="14">
        <f t="shared" si="0"/>
        <v>-2.3550000000000004</v>
      </c>
      <c r="I66" s="23"/>
      <c r="J66" s="7"/>
      <c r="K66" s="7"/>
      <c r="L66" s="24"/>
      <c r="M66" s="11" t="s">
        <v>152</v>
      </c>
    </row>
    <row r="67" spans="1:13">
      <c r="A67" s="83" t="s">
        <v>153</v>
      </c>
      <c r="B67" s="121">
        <v>-3.8348</v>
      </c>
      <c r="C67" s="71"/>
      <c r="D67" s="12">
        <v>0.21092434073951916</v>
      </c>
      <c r="E67" s="10">
        <v>10</v>
      </c>
      <c r="F67" s="10">
        <v>186</v>
      </c>
      <c r="G67" s="6">
        <v>3.4</v>
      </c>
      <c r="H67" s="14">
        <f t="shared" si="0"/>
        <v>-4.51</v>
      </c>
      <c r="I67" s="23"/>
      <c r="J67" s="7"/>
      <c r="K67" s="7"/>
      <c r="L67" s="24"/>
      <c r="M67" s="11" t="s">
        <v>154</v>
      </c>
    </row>
    <row r="68" spans="1:13">
      <c r="A68" s="81" t="s">
        <v>98</v>
      </c>
      <c r="B68" s="121">
        <v>-3.5609999999999999</v>
      </c>
      <c r="C68" s="71"/>
      <c r="D68" s="12">
        <v>0.18695478693957188</v>
      </c>
      <c r="E68" s="10">
        <v>3</v>
      </c>
      <c r="F68" s="10">
        <v>252.99999999999997</v>
      </c>
      <c r="G68" s="6">
        <v>2.35</v>
      </c>
      <c r="H68" s="14">
        <f t="shared" si="0"/>
        <v>-4.13</v>
      </c>
      <c r="I68" s="23"/>
      <c r="J68" s="7"/>
      <c r="K68" s="7"/>
      <c r="L68" s="24"/>
      <c r="M68" s="11" t="s">
        <v>155</v>
      </c>
    </row>
    <row r="69" spans="1:13">
      <c r="A69" s="83" t="s">
        <v>156</v>
      </c>
      <c r="B69" s="121">
        <v>-3.8292000000000002</v>
      </c>
      <c r="C69" s="71"/>
      <c r="D69" s="12">
        <v>0.20491085989689112</v>
      </c>
      <c r="E69" s="10">
        <v>23</v>
      </c>
      <c r="F69" s="10">
        <v>111.00000000000001</v>
      </c>
      <c r="G69" s="6">
        <v>3.68</v>
      </c>
      <c r="H69" s="14">
        <f t="shared" si="0"/>
        <v>-4.04</v>
      </c>
      <c r="I69" s="23"/>
      <c r="J69" s="7"/>
      <c r="K69" s="7"/>
      <c r="L69" s="24"/>
      <c r="M69" s="11" t="s">
        <v>157</v>
      </c>
    </row>
    <row r="70" spans="1:13">
      <c r="A70" s="81" t="s">
        <v>158</v>
      </c>
      <c r="B70" s="121">
        <v>-3.9678</v>
      </c>
      <c r="C70" s="71"/>
      <c r="D70" s="12">
        <v>0.15545016183846921</v>
      </c>
      <c r="E70" s="10">
        <v>6</v>
      </c>
      <c r="F70" s="10">
        <v>250</v>
      </c>
      <c r="G70" s="6">
        <v>-0.04</v>
      </c>
      <c r="H70" s="14">
        <f t="shared" si="0"/>
        <v>-1.71</v>
      </c>
      <c r="I70" s="23"/>
      <c r="J70" s="7"/>
      <c r="K70" s="7"/>
      <c r="L70" s="24"/>
      <c r="M70" s="11" t="s">
        <v>159</v>
      </c>
    </row>
    <row r="71" spans="1:13">
      <c r="A71" s="82" t="s">
        <v>160</v>
      </c>
      <c r="B71" s="121">
        <v>-2.4618000000000002</v>
      </c>
      <c r="C71" s="71"/>
      <c r="D71" s="12">
        <v>0.13261436390895148</v>
      </c>
      <c r="E71" s="10">
        <v>3</v>
      </c>
      <c r="F71" s="10">
        <v>250</v>
      </c>
      <c r="G71" s="6">
        <v>-1.97</v>
      </c>
      <c r="H71" s="14">
        <f t="shared" si="0"/>
        <v>0.21999999999999975</v>
      </c>
      <c r="I71" s="23"/>
      <c r="J71" s="7"/>
      <c r="K71" s="7"/>
      <c r="L71" s="24"/>
      <c r="M71" s="11" t="s">
        <v>161</v>
      </c>
    </row>
    <row r="72" spans="1:13">
      <c r="A72" s="82" t="s">
        <v>162</v>
      </c>
      <c r="B72" s="121">
        <v>-3.9533999999999998</v>
      </c>
      <c r="C72" s="71"/>
      <c r="D72" s="12">
        <v>0.21159815676624968</v>
      </c>
      <c r="E72" s="10">
        <v>9</v>
      </c>
      <c r="F72" s="10">
        <v>208.5</v>
      </c>
      <c r="G72" s="6">
        <v>2.08</v>
      </c>
      <c r="H72" s="14">
        <f t="shared" si="0"/>
        <v>-3.415</v>
      </c>
      <c r="I72" s="23"/>
      <c r="J72" s="7"/>
      <c r="K72" s="7"/>
      <c r="L72" s="24"/>
      <c r="M72" s="11" t="s">
        <v>163</v>
      </c>
    </row>
    <row r="73" spans="1:13">
      <c r="A73" s="82" t="s">
        <v>164</v>
      </c>
      <c r="B73" s="121">
        <v>-4.4927000000000001</v>
      </c>
      <c r="C73" s="71"/>
      <c r="D73" s="12">
        <v>0.1900151243705871</v>
      </c>
      <c r="E73" s="10">
        <v>15</v>
      </c>
      <c r="F73" s="10">
        <v>220.00000000000003</v>
      </c>
      <c r="G73" s="6">
        <v>2.69</v>
      </c>
      <c r="H73" s="14">
        <f t="shared" si="0"/>
        <v>-4.1400000000000006</v>
      </c>
      <c r="I73" s="23"/>
      <c r="J73" s="7"/>
      <c r="K73" s="7"/>
      <c r="L73" s="24"/>
      <c r="M73" s="11" t="s">
        <v>165</v>
      </c>
    </row>
    <row r="74" spans="1:13">
      <c r="A74" s="82" t="s">
        <v>166</v>
      </c>
      <c r="B74" s="121">
        <v>-3.9030999999999998</v>
      </c>
      <c r="C74" s="71"/>
      <c r="D74" s="12">
        <v>0.16978183023026608</v>
      </c>
      <c r="E74" s="10">
        <v>10</v>
      </c>
      <c r="F74" s="10">
        <v>151</v>
      </c>
      <c r="G74" s="6">
        <v>4.43</v>
      </c>
      <c r="H74" s="14">
        <f t="shared" si="0"/>
        <v>-5.1899999999999995</v>
      </c>
      <c r="I74" s="23"/>
      <c r="J74" s="7"/>
      <c r="K74" s="7"/>
      <c r="L74" s="24"/>
      <c r="M74" s="11" t="s">
        <v>167</v>
      </c>
    </row>
    <row r="75" spans="1:13">
      <c r="A75" s="83" t="s">
        <v>100</v>
      </c>
      <c r="B75" s="121">
        <v>-4.6307</v>
      </c>
      <c r="C75" s="71"/>
      <c r="D75" s="12">
        <v>0.19416214604145643</v>
      </c>
      <c r="E75" s="10">
        <v>7</v>
      </c>
      <c r="F75" s="10">
        <v>154.5</v>
      </c>
      <c r="G75" s="6">
        <v>4.22</v>
      </c>
      <c r="H75" s="14">
        <f t="shared" si="0"/>
        <v>-5.0149999999999997</v>
      </c>
      <c r="I75" s="23"/>
      <c r="J75" s="7"/>
      <c r="K75" s="7"/>
      <c r="L75" s="24"/>
      <c r="M75" s="11" t="s">
        <v>168</v>
      </c>
    </row>
    <row r="76" spans="1:13">
      <c r="A76" s="82" t="s">
        <v>169</v>
      </c>
      <c r="B76" s="121">
        <v>-3.9950000000000001</v>
      </c>
      <c r="C76" s="71"/>
      <c r="D76" s="12">
        <v>0.16048013551961601</v>
      </c>
      <c r="E76" s="10">
        <v>5</v>
      </c>
      <c r="F76" s="10">
        <v>167.75</v>
      </c>
      <c r="G76" s="6">
        <v>2.87</v>
      </c>
      <c r="H76" s="14">
        <f t="shared" si="0"/>
        <v>-3.7975000000000003</v>
      </c>
      <c r="I76" s="23"/>
      <c r="J76" s="7"/>
      <c r="K76" s="7"/>
      <c r="L76" s="24"/>
      <c r="M76" s="11" t="s">
        <v>170</v>
      </c>
    </row>
    <row r="77" spans="1:13">
      <c r="A77" s="84" t="s">
        <v>171</v>
      </c>
      <c r="B77" s="122">
        <v>-4.2918000000000003</v>
      </c>
      <c r="C77" s="72"/>
      <c r="D77" s="4">
        <v>0.22239504833634874</v>
      </c>
      <c r="E77" s="2">
        <v>21</v>
      </c>
      <c r="F77" s="10">
        <v>159</v>
      </c>
      <c r="G77" s="6">
        <v>3.93</v>
      </c>
      <c r="H77" s="14">
        <f t="shared" si="0"/>
        <v>-4.7700000000000005</v>
      </c>
      <c r="I77" s="23"/>
      <c r="J77" s="7"/>
      <c r="K77" s="7"/>
      <c r="L77" s="24"/>
      <c r="M77" s="11" t="s">
        <v>172</v>
      </c>
    </row>
    <row r="78" spans="1:13">
      <c r="A78" s="82" t="s">
        <v>173</v>
      </c>
      <c r="B78" s="121">
        <v>-2.9468000000000001</v>
      </c>
      <c r="C78" s="71"/>
      <c r="D78" s="12">
        <v>0.21209434799218393</v>
      </c>
      <c r="E78" s="10">
        <v>5</v>
      </c>
      <c r="F78" s="10">
        <v>213.49999999999997</v>
      </c>
      <c r="G78" s="6">
        <v>3.04</v>
      </c>
      <c r="H78" s="14">
        <f t="shared" si="0"/>
        <v>-4.4249999999999998</v>
      </c>
      <c r="I78" s="23"/>
      <c r="J78" s="7"/>
      <c r="K78" s="7"/>
      <c r="L78" s="24"/>
      <c r="M78" s="11" t="s">
        <v>174</v>
      </c>
    </row>
    <row r="79" spans="1:13">
      <c r="A79" s="82" t="s">
        <v>175</v>
      </c>
      <c r="B79" s="121">
        <v>-4.3327</v>
      </c>
      <c r="C79" s="71"/>
      <c r="D79" s="12">
        <v>0.1407224156406931</v>
      </c>
      <c r="E79" s="10">
        <v>11</v>
      </c>
      <c r="F79" s="10">
        <v>146</v>
      </c>
      <c r="G79" s="6">
        <v>4.21</v>
      </c>
      <c r="H79" s="14">
        <f t="shared" si="0"/>
        <v>-4.92</v>
      </c>
      <c r="I79" s="23"/>
      <c r="J79" s="7"/>
      <c r="K79" s="7"/>
      <c r="L79" s="24"/>
      <c r="M79" s="11" t="s">
        <v>176</v>
      </c>
    </row>
    <row r="80" spans="1:13">
      <c r="A80" s="82" t="s">
        <v>177</v>
      </c>
      <c r="B80" s="121">
        <v>-3.0326</v>
      </c>
      <c r="C80" s="71"/>
      <c r="D80" s="12">
        <v>0.21748916450754371</v>
      </c>
      <c r="E80" s="10">
        <v>5</v>
      </c>
      <c r="F80" s="10">
        <v>92.333333333333329</v>
      </c>
      <c r="G80" s="6">
        <v>4.21</v>
      </c>
      <c r="H80" s="14">
        <f t="shared" si="0"/>
        <v>-4.3833333333333329</v>
      </c>
      <c r="I80" s="23"/>
      <c r="J80" s="7"/>
      <c r="K80" s="7"/>
      <c r="L80" s="24"/>
      <c r="M80" s="11" t="s">
        <v>178</v>
      </c>
    </row>
    <row r="81" spans="1:13">
      <c r="A81" s="81" t="s">
        <v>179</v>
      </c>
      <c r="B81" s="121">
        <v>-3.5082</v>
      </c>
      <c r="C81" s="71"/>
      <c r="D81" s="12">
        <v>0.20531013145176411</v>
      </c>
      <c r="E81" s="10">
        <v>8</v>
      </c>
      <c r="F81" s="10">
        <v>256</v>
      </c>
      <c r="G81" s="6">
        <v>2.71</v>
      </c>
      <c r="H81" s="14">
        <f t="shared" si="0"/>
        <v>-4.5199999999999996</v>
      </c>
      <c r="I81" s="23"/>
      <c r="J81" s="7"/>
      <c r="K81" s="7"/>
      <c r="L81" s="24"/>
      <c r="M81" s="11" t="s">
        <v>180</v>
      </c>
    </row>
    <row r="82" spans="1:13">
      <c r="A82" s="81" t="s">
        <v>181</v>
      </c>
      <c r="B82" s="121">
        <v>-4.0856000000000003</v>
      </c>
      <c r="C82" s="71"/>
      <c r="D82" s="12">
        <v>0.21176785142223761</v>
      </c>
      <c r="E82" s="10">
        <v>3</v>
      </c>
      <c r="F82" s="10">
        <v>80</v>
      </c>
      <c r="G82" s="6">
        <v>3.37</v>
      </c>
      <c r="H82" s="14">
        <f t="shared" si="0"/>
        <v>-3.42</v>
      </c>
      <c r="I82" s="23"/>
      <c r="J82" s="7"/>
      <c r="K82" s="7"/>
      <c r="L82" s="24"/>
      <c r="M82" s="11" t="s">
        <v>182</v>
      </c>
    </row>
    <row r="83" spans="1:13">
      <c r="A83" s="81" t="s">
        <v>183</v>
      </c>
      <c r="B83" s="121">
        <v>-3.9192</v>
      </c>
      <c r="C83" s="71"/>
      <c r="D83" s="12">
        <v>0.16217657762412213</v>
      </c>
      <c r="E83" s="10">
        <v>17</v>
      </c>
      <c r="F83" s="10">
        <v>153</v>
      </c>
      <c r="G83" s="6">
        <v>3.04</v>
      </c>
      <c r="H83" s="14">
        <f t="shared" si="0"/>
        <v>-3.8200000000000003</v>
      </c>
      <c r="I83" s="23"/>
      <c r="J83" s="7"/>
      <c r="K83" s="7"/>
      <c r="L83" s="24"/>
      <c r="M83" s="11" t="s">
        <v>184</v>
      </c>
    </row>
    <row r="84" spans="1:13">
      <c r="A84" s="82" t="s">
        <v>185</v>
      </c>
      <c r="B84" s="121">
        <v>-4.5277000000000003</v>
      </c>
      <c r="C84" s="71"/>
      <c r="D84" s="12">
        <v>0.20448827496623867</v>
      </c>
      <c r="E84" s="10">
        <v>3</v>
      </c>
      <c r="F84" s="10">
        <v>349.84</v>
      </c>
      <c r="G84" s="6">
        <v>4.75</v>
      </c>
      <c r="H84" s="14">
        <f t="shared" si="0"/>
        <v>-7.4984000000000002</v>
      </c>
      <c r="I84" s="23"/>
      <c r="J84" s="7"/>
      <c r="K84" s="7"/>
      <c r="L84" s="24"/>
      <c r="M84" s="11" t="s">
        <v>186</v>
      </c>
    </row>
    <row r="85" spans="1:13">
      <c r="A85" s="82" t="s">
        <v>187</v>
      </c>
      <c r="B85" s="121">
        <v>-3.9420999999999999</v>
      </c>
      <c r="C85" s="71"/>
      <c r="D85" s="12">
        <v>0.14358294446577732</v>
      </c>
      <c r="E85" s="10">
        <v>6</v>
      </c>
      <c r="F85" s="10">
        <v>248</v>
      </c>
      <c r="G85" s="6">
        <v>2.65</v>
      </c>
      <c r="H85" s="14">
        <f t="shared" si="0"/>
        <v>-4.38</v>
      </c>
      <c r="I85" s="23"/>
      <c r="J85" s="7"/>
      <c r="K85" s="7"/>
      <c r="L85" s="24"/>
      <c r="M85" s="11" t="s">
        <v>188</v>
      </c>
    </row>
    <row r="86" spans="1:13">
      <c r="A86" s="82" t="s">
        <v>189</v>
      </c>
      <c r="B86" s="121">
        <v>-3.798</v>
      </c>
      <c r="C86" s="71"/>
      <c r="D86" s="12">
        <v>0.15384096988991314</v>
      </c>
      <c r="E86" s="10">
        <v>11</v>
      </c>
      <c r="F86" s="10">
        <v>173</v>
      </c>
      <c r="G86" s="6">
        <v>2.1800000000000002</v>
      </c>
      <c r="H86" s="14">
        <f t="shared" si="0"/>
        <v>-3.16</v>
      </c>
      <c r="I86" s="23"/>
      <c r="J86" s="7"/>
      <c r="K86" s="7"/>
      <c r="L86" s="24"/>
      <c r="M86" s="11" t="s">
        <v>190</v>
      </c>
    </row>
    <row r="87" spans="1:13">
      <c r="A87" s="82" t="s">
        <v>191</v>
      </c>
      <c r="B87" s="121">
        <v>-4.1546000000000003</v>
      </c>
      <c r="C87" s="71"/>
      <c r="D87" s="12">
        <v>0.14176528631434945</v>
      </c>
      <c r="E87" s="10">
        <v>5</v>
      </c>
      <c r="F87" s="10">
        <v>143.75</v>
      </c>
      <c r="G87" s="6">
        <v>2.76</v>
      </c>
      <c r="H87" s="14">
        <f t="shared" ref="H87:H122" si="1">0.5-G87-0.01*(F87-25)</f>
        <v>-3.4474999999999998</v>
      </c>
      <c r="I87" s="23"/>
      <c r="J87" s="7"/>
      <c r="K87" s="7"/>
      <c r="L87" s="24"/>
      <c r="M87" s="11" t="s">
        <v>192</v>
      </c>
    </row>
    <row r="88" spans="1:13">
      <c r="A88" s="82" t="s">
        <v>193</v>
      </c>
      <c r="B88" s="121">
        <v>-2.6856</v>
      </c>
      <c r="C88" s="71"/>
      <c r="D88" s="12">
        <v>0.16213928191469343</v>
      </c>
      <c r="E88" s="10">
        <v>19</v>
      </c>
      <c r="F88" s="10">
        <v>220.5</v>
      </c>
      <c r="G88" s="6">
        <v>1.27</v>
      </c>
      <c r="H88" s="14">
        <f t="shared" si="1"/>
        <v>-2.7250000000000001</v>
      </c>
      <c r="I88" s="23"/>
      <c r="J88" s="7"/>
      <c r="K88" s="7"/>
      <c r="L88" s="24"/>
      <c r="M88" s="11" t="s">
        <v>194</v>
      </c>
    </row>
    <row r="89" spans="1:13">
      <c r="A89" s="82" t="s">
        <v>195</v>
      </c>
      <c r="B89" s="121">
        <v>-3.4596</v>
      </c>
      <c r="C89" s="71"/>
      <c r="D89" s="12">
        <v>0.16127920198135692</v>
      </c>
      <c r="E89" s="10">
        <v>5</v>
      </c>
      <c r="F89" s="10">
        <v>214</v>
      </c>
      <c r="G89" s="6">
        <v>3.83</v>
      </c>
      <c r="H89" s="14">
        <f t="shared" si="1"/>
        <v>-5.2200000000000006</v>
      </c>
      <c r="I89" s="23"/>
      <c r="J89" s="7"/>
      <c r="K89" s="7"/>
      <c r="L89" s="24"/>
      <c r="M89" s="11" t="s">
        <v>196</v>
      </c>
    </row>
    <row r="90" spans="1:13">
      <c r="A90" s="83" t="s">
        <v>197</v>
      </c>
      <c r="B90" s="121">
        <v>-4.0008999999999997</v>
      </c>
      <c r="C90" s="71"/>
      <c r="D90" s="12">
        <v>0.13869006117838048</v>
      </c>
      <c r="E90" s="10">
        <v>3</v>
      </c>
      <c r="F90" s="10">
        <v>176</v>
      </c>
      <c r="G90" s="6">
        <v>2.88</v>
      </c>
      <c r="H90" s="14">
        <f t="shared" si="1"/>
        <v>-3.8899999999999997</v>
      </c>
      <c r="I90" s="23"/>
      <c r="J90" s="7"/>
      <c r="K90" s="7"/>
      <c r="L90" s="24"/>
      <c r="M90" s="11" t="s">
        <v>198</v>
      </c>
    </row>
    <row r="91" spans="1:13">
      <c r="A91" s="85" t="s">
        <v>199</v>
      </c>
      <c r="B91" s="122">
        <v>-3.2829000000000002</v>
      </c>
      <c r="C91" s="72"/>
      <c r="D91" s="4">
        <v>0.1259834086188602</v>
      </c>
      <c r="E91" s="2">
        <v>14</v>
      </c>
      <c r="F91" s="10">
        <v>253.5</v>
      </c>
      <c r="G91" s="6">
        <v>1.54</v>
      </c>
      <c r="H91" s="14">
        <f t="shared" si="1"/>
        <v>-3.3250000000000002</v>
      </c>
      <c r="I91" s="23"/>
      <c r="J91" s="7"/>
      <c r="K91" s="7"/>
      <c r="L91" s="24"/>
      <c r="M91" s="11" t="s">
        <v>200</v>
      </c>
    </row>
    <row r="92" spans="1:13">
      <c r="A92" s="82" t="s">
        <v>201</v>
      </c>
      <c r="B92" s="121">
        <v>-3.3631000000000002</v>
      </c>
      <c r="C92" s="71"/>
      <c r="D92" s="12">
        <v>0.16504944177542516</v>
      </c>
      <c r="E92" s="10">
        <v>5</v>
      </c>
      <c r="F92" s="10">
        <v>205.50000000000003</v>
      </c>
      <c r="G92" s="6">
        <v>2.4500000000000002</v>
      </c>
      <c r="H92" s="14">
        <f t="shared" si="1"/>
        <v>-3.7550000000000008</v>
      </c>
      <c r="I92" s="23"/>
      <c r="J92" s="7"/>
      <c r="K92" s="7"/>
      <c r="L92" s="24"/>
      <c r="M92" s="11" t="s">
        <v>202</v>
      </c>
    </row>
    <row r="93" spans="1:13">
      <c r="A93" s="83" t="s">
        <v>203</v>
      </c>
      <c r="B93" s="121">
        <v>-2.7366000000000001</v>
      </c>
      <c r="C93" s="71"/>
      <c r="D93" s="12">
        <v>0.19426266518058349</v>
      </c>
      <c r="E93" s="10">
        <v>3</v>
      </c>
      <c r="F93" s="10">
        <v>96</v>
      </c>
      <c r="G93" s="6">
        <v>3.49</v>
      </c>
      <c r="H93" s="14">
        <f t="shared" si="1"/>
        <v>-3.7</v>
      </c>
      <c r="I93" s="23"/>
      <c r="J93" s="7"/>
      <c r="K93" s="7"/>
      <c r="L93" s="24"/>
      <c r="M93" s="11" t="s">
        <v>204</v>
      </c>
    </row>
    <row r="94" spans="1:13">
      <c r="A94" s="82" t="s">
        <v>205</v>
      </c>
      <c r="B94" s="121">
        <v>-3.8946000000000001</v>
      </c>
      <c r="C94" s="71"/>
      <c r="D94" s="12">
        <v>0.18894337149737056</v>
      </c>
      <c r="E94" s="10">
        <v>12</v>
      </c>
      <c r="F94" s="10">
        <v>147.25</v>
      </c>
      <c r="G94" s="6">
        <v>3.86</v>
      </c>
      <c r="H94" s="14">
        <f t="shared" si="1"/>
        <v>-4.5824999999999996</v>
      </c>
      <c r="I94" s="23"/>
      <c r="J94" s="7"/>
      <c r="K94" s="7"/>
      <c r="L94" s="24"/>
      <c r="M94" s="11" t="s">
        <v>206</v>
      </c>
    </row>
    <row r="95" spans="1:13">
      <c r="A95" s="82" t="s">
        <v>207</v>
      </c>
      <c r="B95" s="121">
        <v>-4.2210999999999999</v>
      </c>
      <c r="C95" s="71"/>
      <c r="D95" s="12">
        <v>0.17391407185160324</v>
      </c>
      <c r="E95" s="10">
        <v>6</v>
      </c>
      <c r="F95" s="10">
        <v>97</v>
      </c>
      <c r="G95" s="6">
        <v>3.94</v>
      </c>
      <c r="H95" s="14">
        <f t="shared" si="1"/>
        <v>-4.16</v>
      </c>
      <c r="I95" s="23"/>
      <c r="J95" s="7"/>
      <c r="K95" s="7"/>
      <c r="L95" s="24"/>
      <c r="M95" s="11" t="s">
        <v>208</v>
      </c>
    </row>
    <row r="96" spans="1:13">
      <c r="A96" s="81" t="s">
        <v>209</v>
      </c>
      <c r="B96" s="121">
        <v>-2.3818999999999999</v>
      </c>
      <c r="C96" s="71"/>
      <c r="D96" s="12">
        <v>0.13764369691033657</v>
      </c>
      <c r="E96" s="10">
        <v>10</v>
      </c>
      <c r="F96" s="10">
        <v>134.5</v>
      </c>
      <c r="G96" s="6">
        <v>2.04</v>
      </c>
      <c r="H96" s="14">
        <f t="shared" si="1"/>
        <v>-2.6349999999999998</v>
      </c>
      <c r="I96" s="23"/>
      <c r="J96" s="7"/>
      <c r="K96" s="7"/>
      <c r="L96" s="24"/>
      <c r="M96" s="11" t="s">
        <v>210</v>
      </c>
    </row>
    <row r="97" spans="1:13">
      <c r="A97" s="82" t="s">
        <v>211</v>
      </c>
      <c r="B97" s="121">
        <v>-3.8121</v>
      </c>
      <c r="C97" s="71"/>
      <c r="D97" s="12">
        <v>0.16245746888591447</v>
      </c>
      <c r="E97" s="10">
        <v>7</v>
      </c>
      <c r="F97" s="10">
        <v>139</v>
      </c>
      <c r="G97" s="6">
        <v>2.66</v>
      </c>
      <c r="H97" s="14">
        <f t="shared" si="1"/>
        <v>-3.3000000000000003</v>
      </c>
      <c r="I97" s="23"/>
      <c r="J97" s="7"/>
      <c r="K97" s="7"/>
      <c r="L97" s="24"/>
      <c r="M97" s="11" t="s">
        <v>212</v>
      </c>
    </row>
    <row r="98" spans="1:13">
      <c r="A98" s="82" t="s">
        <v>213</v>
      </c>
      <c r="B98" s="121">
        <v>-2.4302999999999999</v>
      </c>
      <c r="C98" s="71"/>
      <c r="D98" s="12">
        <v>0.15322122505052199</v>
      </c>
      <c r="E98" s="10">
        <v>9</v>
      </c>
      <c r="F98" s="10">
        <v>170</v>
      </c>
      <c r="G98" s="6">
        <v>1.91</v>
      </c>
      <c r="H98" s="14">
        <f t="shared" si="1"/>
        <v>-2.86</v>
      </c>
      <c r="I98" s="23"/>
      <c r="J98" s="7"/>
      <c r="K98" s="7"/>
      <c r="L98" s="24"/>
      <c r="M98" s="11" t="s">
        <v>214</v>
      </c>
    </row>
    <row r="99" spans="1:13">
      <c r="A99" s="81" t="s">
        <v>215</v>
      </c>
      <c r="B99" s="121">
        <v>-3.5116000000000001</v>
      </c>
      <c r="C99" s="71"/>
      <c r="D99" s="12">
        <v>0.15273607916541068</v>
      </c>
      <c r="E99" s="10">
        <v>10</v>
      </c>
      <c r="F99" s="10">
        <v>326</v>
      </c>
      <c r="G99" s="6">
        <v>2.44</v>
      </c>
      <c r="H99" s="14">
        <f t="shared" si="1"/>
        <v>-4.95</v>
      </c>
      <c r="I99" s="23"/>
      <c r="J99" s="7"/>
      <c r="K99" s="7"/>
      <c r="L99" s="24"/>
      <c r="M99" s="11" t="s">
        <v>216</v>
      </c>
    </row>
    <row r="100" spans="1:13">
      <c r="A100" s="82" t="s">
        <v>217</v>
      </c>
      <c r="B100" s="121">
        <v>-3.6922999999999999</v>
      </c>
      <c r="C100" s="71"/>
      <c r="D100" s="12">
        <v>0.18404701512102448</v>
      </c>
      <c r="E100" s="10">
        <v>5</v>
      </c>
      <c r="F100" s="10">
        <v>232.50000000000003</v>
      </c>
      <c r="G100" s="6">
        <v>1.8</v>
      </c>
      <c r="H100" s="14">
        <f t="shared" si="1"/>
        <v>-3.375</v>
      </c>
      <c r="I100" s="23"/>
      <c r="J100" s="7"/>
      <c r="K100" s="7"/>
      <c r="L100" s="24"/>
      <c r="M100" s="11" t="s">
        <v>218</v>
      </c>
    </row>
    <row r="101" spans="1:13">
      <c r="A101" s="82" t="s">
        <v>219</v>
      </c>
      <c r="B101" s="121">
        <v>-2.2069999999999999</v>
      </c>
      <c r="C101" s="71"/>
      <c r="D101" s="12">
        <v>0.13604063752604376</v>
      </c>
      <c r="E101" s="10">
        <v>4</v>
      </c>
      <c r="F101" s="10">
        <v>281.5</v>
      </c>
      <c r="G101" s="6">
        <v>0.54</v>
      </c>
      <c r="H101" s="14">
        <f t="shared" si="1"/>
        <v>-2.605</v>
      </c>
      <c r="I101" s="23"/>
      <c r="J101" s="7"/>
      <c r="K101" s="7"/>
      <c r="L101" s="24"/>
      <c r="M101" s="11" t="s">
        <v>220</v>
      </c>
    </row>
    <row r="102" spans="1:13">
      <c r="A102" s="82" t="s">
        <v>221</v>
      </c>
      <c r="B102" s="121">
        <v>-2.6335999999999999</v>
      </c>
      <c r="C102" s="71"/>
      <c r="D102" s="12">
        <v>0.19798964803022484</v>
      </c>
      <c r="E102" s="10">
        <v>4</v>
      </c>
      <c r="F102" s="10">
        <v>197.1</v>
      </c>
      <c r="G102" s="6">
        <v>2.2000000000000002</v>
      </c>
      <c r="H102" s="14">
        <f t="shared" si="1"/>
        <v>-3.4210000000000003</v>
      </c>
      <c r="I102" s="23"/>
      <c r="J102" s="7"/>
      <c r="K102" s="7"/>
      <c r="L102" s="24"/>
      <c r="M102" s="11" t="s">
        <v>222</v>
      </c>
    </row>
    <row r="103" spans="1:13">
      <c r="A103" s="83" t="s">
        <v>223</v>
      </c>
      <c r="B103" s="121">
        <v>-4.3651</v>
      </c>
      <c r="C103" s="71"/>
      <c r="D103" s="12">
        <v>0.13486720020739137</v>
      </c>
      <c r="E103" s="10">
        <v>4</v>
      </c>
      <c r="F103" s="10">
        <v>33</v>
      </c>
      <c r="G103" s="6">
        <v>4.24</v>
      </c>
      <c r="H103" s="14">
        <f t="shared" si="1"/>
        <v>-3.8200000000000003</v>
      </c>
      <c r="I103" s="23"/>
      <c r="J103" s="7"/>
      <c r="K103" s="7"/>
      <c r="L103" s="24"/>
      <c r="M103" s="11" t="s">
        <v>224</v>
      </c>
    </row>
    <row r="104" spans="1:13">
      <c r="A104" s="82" t="s">
        <v>225</v>
      </c>
      <c r="B104" s="121">
        <v>-3.8206000000000002</v>
      </c>
      <c r="C104" s="71"/>
      <c r="D104" s="12">
        <v>0.18801274760604275</v>
      </c>
      <c r="E104" s="10">
        <v>11</v>
      </c>
      <c r="F104" s="10">
        <v>60</v>
      </c>
      <c r="G104" s="6">
        <v>4.24</v>
      </c>
      <c r="H104" s="14">
        <f t="shared" si="1"/>
        <v>-4.09</v>
      </c>
      <c r="I104" s="23"/>
      <c r="J104" s="7"/>
      <c r="K104" s="7"/>
      <c r="L104" s="24"/>
      <c r="M104" s="11" t="s">
        <v>226</v>
      </c>
    </row>
    <row r="105" spans="1:13">
      <c r="A105" s="82" t="s">
        <v>227</v>
      </c>
      <c r="B105" s="121">
        <v>-3.9813000000000001</v>
      </c>
      <c r="C105" s="71"/>
      <c r="D105" s="12">
        <v>0.1664014074224209</v>
      </c>
      <c r="E105" s="10">
        <v>4</v>
      </c>
      <c r="F105" s="10">
        <v>130.5</v>
      </c>
      <c r="G105" s="6">
        <v>5.22</v>
      </c>
      <c r="H105" s="14">
        <f t="shared" si="1"/>
        <v>-5.7749999999999995</v>
      </c>
      <c r="I105" s="23"/>
      <c r="J105" s="7"/>
      <c r="K105" s="7"/>
      <c r="L105" s="24"/>
      <c r="M105" s="11" t="s">
        <v>228</v>
      </c>
    </row>
    <row r="106" spans="1:13">
      <c r="A106" s="83" t="s">
        <v>103</v>
      </c>
      <c r="B106" s="121">
        <v>-3.0735000000000001</v>
      </c>
      <c r="C106" s="71"/>
      <c r="D106" s="12">
        <v>0.17506472136100007</v>
      </c>
      <c r="E106" s="10">
        <v>7</v>
      </c>
      <c r="F106" s="10">
        <v>254</v>
      </c>
      <c r="G106" s="6">
        <v>2.97</v>
      </c>
      <c r="H106" s="14">
        <f t="shared" si="1"/>
        <v>-4.76</v>
      </c>
      <c r="I106" s="23"/>
      <c r="J106" s="7"/>
      <c r="K106" s="7"/>
      <c r="L106" s="24"/>
      <c r="M106" s="11" t="s">
        <v>229</v>
      </c>
    </row>
    <row r="107" spans="1:13">
      <c r="A107" s="83" t="s">
        <v>230</v>
      </c>
      <c r="B107" s="121">
        <v>-4.1515000000000004</v>
      </c>
      <c r="C107" s="71"/>
      <c r="D107" s="12">
        <v>0.1605416460069265</v>
      </c>
      <c r="E107" s="10">
        <v>5</v>
      </c>
      <c r="F107" s="10">
        <v>121</v>
      </c>
      <c r="G107" s="6">
        <v>5.91</v>
      </c>
      <c r="H107" s="14">
        <f t="shared" si="1"/>
        <v>-6.37</v>
      </c>
      <c r="I107" s="23"/>
      <c r="J107" s="7"/>
      <c r="K107" s="7"/>
      <c r="L107" s="24"/>
      <c r="M107" s="11" t="s">
        <v>231</v>
      </c>
    </row>
    <row r="108" spans="1:13">
      <c r="A108" s="82" t="s">
        <v>232</v>
      </c>
      <c r="B108" s="121">
        <v>-2.5344000000000002</v>
      </c>
      <c r="C108" s="71"/>
      <c r="D108" s="12">
        <v>0.15756984748208766</v>
      </c>
      <c r="E108" s="10">
        <v>5</v>
      </c>
      <c r="F108" s="10">
        <v>206.99999999999997</v>
      </c>
      <c r="G108" s="6">
        <v>2.56</v>
      </c>
      <c r="H108" s="14">
        <f t="shared" si="1"/>
        <v>-3.88</v>
      </c>
      <c r="I108" s="23"/>
      <c r="J108" s="7"/>
      <c r="K108" s="7"/>
      <c r="L108" s="24"/>
      <c r="M108" s="11" t="s">
        <v>233</v>
      </c>
    </row>
    <row r="109" spans="1:13">
      <c r="A109" s="81" t="s">
        <v>234</v>
      </c>
      <c r="B109" s="121">
        <v>-4.4885000000000002</v>
      </c>
      <c r="C109" s="71"/>
      <c r="D109" s="12">
        <v>0.16160362353179636</v>
      </c>
      <c r="E109" s="10">
        <v>6</v>
      </c>
      <c r="F109" s="10">
        <v>134.5</v>
      </c>
      <c r="G109" s="6">
        <v>4.8499999999999996</v>
      </c>
      <c r="H109" s="14">
        <f t="shared" si="1"/>
        <v>-5.4449999999999994</v>
      </c>
      <c r="I109" s="23"/>
      <c r="J109" s="7"/>
      <c r="K109" s="7"/>
      <c r="L109" s="24"/>
      <c r="M109" s="11" t="s">
        <v>235</v>
      </c>
    </row>
    <row r="110" spans="1:13">
      <c r="A110" s="81" t="s">
        <v>236</v>
      </c>
      <c r="B110" s="121">
        <v>-3.1663000000000001</v>
      </c>
      <c r="C110" s="71"/>
      <c r="D110" s="12">
        <v>0.18685765827673947</v>
      </c>
      <c r="E110" s="10">
        <v>6</v>
      </c>
      <c r="F110" s="10">
        <v>275</v>
      </c>
      <c r="G110" s="6">
        <v>2.09</v>
      </c>
      <c r="H110" s="14">
        <f t="shared" si="1"/>
        <v>-4.09</v>
      </c>
      <c r="I110" s="23"/>
      <c r="J110" s="7"/>
      <c r="K110" s="7"/>
      <c r="L110" s="24"/>
      <c r="M110" s="11" t="s">
        <v>237</v>
      </c>
    </row>
    <row r="111" spans="1:13">
      <c r="A111" s="82" t="s">
        <v>238</v>
      </c>
      <c r="B111" s="121">
        <v>-3.9283000000000001</v>
      </c>
      <c r="C111" s="71"/>
      <c r="D111" s="12">
        <v>0.13950112944748669</v>
      </c>
      <c r="E111" s="10">
        <v>9</v>
      </c>
      <c r="F111" s="10">
        <v>220.00000000000003</v>
      </c>
      <c r="G111" s="6">
        <v>1.8</v>
      </c>
      <c r="H111" s="14">
        <f t="shared" si="1"/>
        <v>-3.2500000000000004</v>
      </c>
      <c r="I111" s="23"/>
      <c r="J111" s="7"/>
      <c r="K111" s="7"/>
      <c r="L111" s="24"/>
      <c r="M111" s="11" t="s">
        <v>239</v>
      </c>
    </row>
    <row r="112" spans="1:13">
      <c r="A112" s="85" t="s">
        <v>240</v>
      </c>
      <c r="B112" s="122">
        <v>-2.8189000000000002</v>
      </c>
      <c r="C112" s="72"/>
      <c r="D112" s="4">
        <v>0.22014005046870977</v>
      </c>
      <c r="E112" s="2">
        <v>9</v>
      </c>
      <c r="F112" s="10">
        <v>202</v>
      </c>
      <c r="G112" s="6">
        <v>1.53</v>
      </c>
      <c r="H112" s="14">
        <f t="shared" si="1"/>
        <v>-2.8</v>
      </c>
      <c r="I112" s="23"/>
      <c r="J112" s="7"/>
      <c r="K112" s="7"/>
      <c r="L112" s="24"/>
      <c r="M112" s="11" t="s">
        <v>241</v>
      </c>
    </row>
    <row r="113" spans="1:28">
      <c r="A113" s="82" t="s">
        <v>242</v>
      </c>
      <c r="B113" s="121">
        <v>-2.7749999999999999</v>
      </c>
      <c r="C113" s="71"/>
      <c r="D113" s="12">
        <v>0.14014083879485537</v>
      </c>
      <c r="E113" s="10">
        <v>3</v>
      </c>
      <c r="F113" s="10">
        <v>243.00000000000003</v>
      </c>
      <c r="G113" s="6">
        <v>1.48</v>
      </c>
      <c r="H113" s="14">
        <f t="shared" si="1"/>
        <v>-3.16</v>
      </c>
      <c r="I113" s="23"/>
      <c r="J113" s="7"/>
      <c r="K113" s="7"/>
      <c r="L113" s="24"/>
      <c r="M113" s="11" t="s">
        <v>243</v>
      </c>
    </row>
    <row r="114" spans="1:28">
      <c r="A114" s="83" t="s">
        <v>244</v>
      </c>
      <c r="B114" s="121">
        <v>-2.7949000000000002</v>
      </c>
      <c r="C114" s="71"/>
      <c r="D114" s="12">
        <v>0.13726989684757951</v>
      </c>
      <c r="E114" s="10">
        <v>3</v>
      </c>
      <c r="F114" s="10">
        <v>191</v>
      </c>
      <c r="G114" s="6">
        <v>1.67</v>
      </c>
      <c r="H114" s="14">
        <f t="shared" si="1"/>
        <v>-2.83</v>
      </c>
      <c r="I114" s="23"/>
      <c r="J114" s="7"/>
      <c r="K114" s="7"/>
      <c r="L114" s="24"/>
      <c r="M114" s="11" t="s">
        <v>245</v>
      </c>
    </row>
    <row r="115" spans="1:28">
      <c r="A115" s="82" t="s">
        <v>246</v>
      </c>
      <c r="B115" s="121">
        <v>-4.2488999999999999</v>
      </c>
      <c r="C115" s="71"/>
      <c r="D115" s="12">
        <v>0.21357402153711522</v>
      </c>
      <c r="E115" s="10">
        <v>7</v>
      </c>
      <c r="F115" s="10">
        <v>183.5</v>
      </c>
      <c r="G115" s="6">
        <v>4.37</v>
      </c>
      <c r="H115" s="14">
        <f t="shared" si="1"/>
        <v>-5.4550000000000001</v>
      </c>
      <c r="I115" s="23"/>
      <c r="J115" s="7"/>
      <c r="K115" s="7"/>
      <c r="L115" s="24"/>
      <c r="M115" s="11" t="s">
        <v>247</v>
      </c>
    </row>
    <row r="116" spans="1:28">
      <c r="A116" s="82" t="s">
        <v>248</v>
      </c>
      <c r="B116" s="121">
        <v>-3.6465000000000001</v>
      </c>
      <c r="C116" s="71"/>
      <c r="D116" s="12">
        <v>0.10564411177747912</v>
      </c>
      <c r="E116" s="10">
        <v>3</v>
      </c>
      <c r="F116" s="10">
        <v>149</v>
      </c>
      <c r="G116" s="6">
        <v>2.62</v>
      </c>
      <c r="H116" s="14">
        <f t="shared" si="1"/>
        <v>-3.3600000000000003</v>
      </c>
      <c r="I116" s="23"/>
      <c r="J116" s="7"/>
      <c r="K116" s="7"/>
      <c r="L116" s="24"/>
      <c r="M116" s="11" t="s">
        <v>249</v>
      </c>
    </row>
    <row r="117" spans="1:28">
      <c r="A117" s="81" t="s">
        <v>250</v>
      </c>
      <c r="B117" s="121">
        <v>-2.7818999999999998</v>
      </c>
      <c r="C117" s="71"/>
      <c r="D117" s="12">
        <v>0.14623917640453388</v>
      </c>
      <c r="E117" s="10">
        <v>8</v>
      </c>
      <c r="F117" s="10">
        <v>165</v>
      </c>
      <c r="G117" s="6">
        <v>-0.37</v>
      </c>
      <c r="H117" s="14">
        <f t="shared" si="1"/>
        <v>-0.53000000000000014</v>
      </c>
      <c r="I117" s="23"/>
      <c r="J117" s="7"/>
      <c r="K117" s="7"/>
      <c r="L117" s="24"/>
      <c r="M117" s="11" t="s">
        <v>251</v>
      </c>
    </row>
    <row r="118" spans="1:28">
      <c r="A118" s="82" t="s">
        <v>252</v>
      </c>
      <c r="B118" s="121">
        <v>-2.8108</v>
      </c>
      <c r="C118" s="71"/>
      <c r="D118" s="12">
        <v>0.16291639539032501</v>
      </c>
      <c r="E118" s="10">
        <v>10</v>
      </c>
      <c r="F118" s="10">
        <v>225</v>
      </c>
      <c r="G118" s="6">
        <v>0.81</v>
      </c>
      <c r="H118" s="14">
        <f t="shared" si="1"/>
        <v>-2.31</v>
      </c>
      <c r="I118" s="23"/>
      <c r="J118" s="7"/>
      <c r="K118" s="7"/>
      <c r="L118" s="24"/>
      <c r="M118" s="11" t="s">
        <v>253</v>
      </c>
    </row>
    <row r="119" spans="1:28">
      <c r="A119" s="82" t="s">
        <v>254</v>
      </c>
      <c r="B119" s="121">
        <v>-4.0690999999999997</v>
      </c>
      <c r="C119" s="71"/>
      <c r="D119" s="12">
        <v>0.21166647357477791</v>
      </c>
      <c r="E119" s="10">
        <v>5</v>
      </c>
      <c r="F119" s="10">
        <v>270</v>
      </c>
      <c r="G119" s="6">
        <v>0.62</v>
      </c>
      <c r="H119" s="14">
        <f t="shared" si="1"/>
        <v>-2.5700000000000003</v>
      </c>
      <c r="I119" s="23"/>
      <c r="J119" s="7"/>
      <c r="K119" s="7"/>
      <c r="L119" s="24"/>
      <c r="M119" s="11" t="s">
        <v>255</v>
      </c>
    </row>
    <row r="120" spans="1:28">
      <c r="A120" s="81" t="s">
        <v>256</v>
      </c>
      <c r="B120" s="121">
        <v>-3.5445000000000002</v>
      </c>
      <c r="C120" s="71"/>
      <c r="D120" s="12">
        <v>0.14175650298978676</v>
      </c>
      <c r="E120" s="10">
        <v>9</v>
      </c>
      <c r="F120" s="10">
        <v>312.66666666666669</v>
      </c>
      <c r="G120" s="6">
        <v>0.83</v>
      </c>
      <c r="H120" s="14">
        <f t="shared" si="1"/>
        <v>-3.206666666666667</v>
      </c>
      <c r="I120" s="23"/>
      <c r="J120" s="7"/>
      <c r="K120" s="7"/>
      <c r="L120" s="24"/>
      <c r="M120" s="11" t="s">
        <v>257</v>
      </c>
    </row>
    <row r="121" spans="1:28">
      <c r="A121" s="82" t="s">
        <v>258</v>
      </c>
      <c r="B121" s="121">
        <v>-3.4399000000000002</v>
      </c>
      <c r="C121" s="71"/>
      <c r="D121" s="12">
        <v>0.2034688635346244</v>
      </c>
      <c r="E121" s="10">
        <v>11</v>
      </c>
      <c r="F121" s="10">
        <v>161</v>
      </c>
      <c r="G121" s="6">
        <v>3.61</v>
      </c>
      <c r="H121" s="14">
        <f t="shared" si="1"/>
        <v>-4.47</v>
      </c>
      <c r="I121" s="23"/>
      <c r="J121" s="7"/>
      <c r="K121" s="7"/>
      <c r="L121" s="24"/>
      <c r="M121" s="11" t="s">
        <v>259</v>
      </c>
    </row>
    <row r="122" spans="1:28">
      <c r="A122" s="81" t="s">
        <v>109</v>
      </c>
      <c r="B122" s="121">
        <v>-2.6953</v>
      </c>
      <c r="C122" s="71"/>
      <c r="D122" s="12">
        <v>0.20579636821699754</v>
      </c>
      <c r="E122" s="10">
        <v>3</v>
      </c>
      <c r="F122" s="10">
        <v>300</v>
      </c>
      <c r="G122" s="6">
        <v>-1.06</v>
      </c>
      <c r="H122" s="14">
        <f t="shared" si="1"/>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s="120">
        <v>-1.3393999999999999</v>
      </c>
      <c r="C129" s="73" t="s">
        <v>30</v>
      </c>
      <c r="D129" s="12">
        <v>0.50033555401430185</v>
      </c>
      <c r="E129" s="10">
        <v>3</v>
      </c>
      <c r="F129" s="10">
        <v>180</v>
      </c>
      <c r="G129" s="1">
        <v>1.91</v>
      </c>
      <c r="H129" s="14">
        <f t="shared" ref="H129:H160" si="2">0.5-G129-0.01*(F129-25)</f>
        <v>-2.96</v>
      </c>
      <c r="I129" s="53" t="s">
        <v>31</v>
      </c>
      <c r="J129" s="54"/>
      <c r="K129" s="14"/>
      <c r="L129" s="14"/>
      <c r="M129" s="3" t="s">
        <v>269</v>
      </c>
    </row>
    <row r="130" spans="1:13">
      <c r="A130" s="82" t="s">
        <v>270</v>
      </c>
      <c r="B130" s="29">
        <v>-4.4180000000000001</v>
      </c>
      <c r="C130" s="73" t="s">
        <v>36</v>
      </c>
      <c r="D130" s="12">
        <v>0.5</v>
      </c>
      <c r="E130" s="6">
        <v>5</v>
      </c>
      <c r="F130" s="10">
        <v>156</v>
      </c>
      <c r="G130" s="1">
        <v>6.94</v>
      </c>
      <c r="H130" s="14">
        <f t="shared" si="2"/>
        <v>-7.75</v>
      </c>
      <c r="I130" s="53" t="s">
        <v>37</v>
      </c>
      <c r="J130" s="54"/>
      <c r="K130" s="14"/>
      <c r="L130" s="14"/>
      <c r="M130" s="3" t="s">
        <v>271</v>
      </c>
    </row>
    <row r="131" spans="1:13">
      <c r="A131" s="83" t="s">
        <v>272</v>
      </c>
      <c r="B131" s="121">
        <v>-3.0811000000000002</v>
      </c>
      <c r="C131" s="73" t="s">
        <v>41</v>
      </c>
      <c r="D131" s="12">
        <v>0.6530957900260097</v>
      </c>
      <c r="E131" s="10">
        <v>3</v>
      </c>
      <c r="F131" s="10">
        <v>208</v>
      </c>
      <c r="G131" s="1">
        <v>5.18</v>
      </c>
      <c r="H131" s="14">
        <f t="shared" si="2"/>
        <v>-6.51</v>
      </c>
      <c r="I131" s="53" t="s">
        <v>42</v>
      </c>
      <c r="J131" s="54"/>
      <c r="K131" s="14"/>
      <c r="L131" s="14"/>
      <c r="M131" s="3" t="s">
        <v>273</v>
      </c>
    </row>
    <row r="132" spans="1:13">
      <c r="A132" s="82" t="s">
        <v>274</v>
      </c>
      <c r="B132" s="121">
        <v>-1.8635999999999999</v>
      </c>
      <c r="C132" s="73" t="s">
        <v>46</v>
      </c>
      <c r="D132" s="12">
        <v>0.59285217963150294</v>
      </c>
      <c r="E132" s="10">
        <v>3</v>
      </c>
      <c r="F132" s="10">
        <v>100</v>
      </c>
      <c r="G132" s="1">
        <v>2.37</v>
      </c>
      <c r="H132" s="14">
        <f t="shared" si="2"/>
        <v>-2.62</v>
      </c>
      <c r="I132" s="15" t="s">
        <v>47</v>
      </c>
      <c r="J132" s="29"/>
      <c r="K132" s="14"/>
      <c r="L132" s="14"/>
      <c r="M132" s="3" t="s">
        <v>275</v>
      </c>
    </row>
    <row r="133" spans="1:13">
      <c r="A133" s="82" t="s">
        <v>276</v>
      </c>
      <c r="B133" s="121">
        <v>-4.4119999999999999</v>
      </c>
      <c r="C133" s="73" t="s">
        <v>51</v>
      </c>
      <c r="D133" s="12">
        <v>0.51067901383936642</v>
      </c>
      <c r="E133" s="10">
        <v>5</v>
      </c>
      <c r="F133" s="10">
        <v>217</v>
      </c>
      <c r="G133" s="1">
        <v>3.19</v>
      </c>
      <c r="H133" s="14">
        <f t="shared" si="2"/>
        <v>-4.6099999999999994</v>
      </c>
      <c r="I133" s="15" t="s">
        <v>52</v>
      </c>
      <c r="J133" s="29"/>
      <c r="K133" s="14"/>
      <c r="L133" s="14"/>
      <c r="M133" s="3" t="s">
        <v>277</v>
      </c>
    </row>
    <row r="134" spans="1:13">
      <c r="A134" s="82" t="s">
        <v>278</v>
      </c>
      <c r="B134" s="121">
        <v>-3.7643</v>
      </c>
      <c r="C134" s="71"/>
      <c r="D134" s="12">
        <v>0.83065522865171437</v>
      </c>
      <c r="E134" s="10">
        <v>3</v>
      </c>
      <c r="F134" s="10">
        <v>209.50000000000003</v>
      </c>
      <c r="G134" s="1">
        <v>4.41</v>
      </c>
      <c r="H134" s="14">
        <f t="shared" si="2"/>
        <v>-5.7550000000000008</v>
      </c>
      <c r="I134" s="15" t="s">
        <v>56</v>
      </c>
      <c r="J134" s="29"/>
      <c r="K134" s="14"/>
      <c r="L134" s="14"/>
      <c r="M134" s="3" t="s">
        <v>279</v>
      </c>
    </row>
    <row r="135" spans="1:13">
      <c r="A135" s="82" t="s">
        <v>280</v>
      </c>
      <c r="B135" s="121">
        <v>-4.9246999999999996</v>
      </c>
      <c r="C135" s="71"/>
      <c r="D135" s="12">
        <v>0.51097181417141646</v>
      </c>
      <c r="E135" s="10">
        <v>6</v>
      </c>
      <c r="F135" s="10">
        <v>97.5</v>
      </c>
      <c r="G135" s="1">
        <v>5.19</v>
      </c>
      <c r="H135" s="14">
        <f t="shared" si="2"/>
        <v>-5.415</v>
      </c>
      <c r="I135" s="15" t="s">
        <v>60</v>
      </c>
      <c r="J135" s="31"/>
      <c r="K135" s="14"/>
      <c r="L135" s="14"/>
      <c r="M135" s="3" t="s">
        <v>281</v>
      </c>
    </row>
    <row r="136" spans="1:13">
      <c r="A136" s="81" t="s">
        <v>282</v>
      </c>
      <c r="B136" s="121">
        <v>-4.3216000000000001</v>
      </c>
      <c r="C136" s="71"/>
      <c r="D136" s="12">
        <v>0.92735432696895004</v>
      </c>
      <c r="E136" s="10">
        <v>5</v>
      </c>
      <c r="F136" s="10">
        <v>211</v>
      </c>
      <c r="G136" s="1">
        <v>7.49</v>
      </c>
      <c r="H136" s="14">
        <f t="shared" si="2"/>
        <v>-8.85</v>
      </c>
      <c r="I136" s="30" t="s">
        <v>64</v>
      </c>
      <c r="J136" s="32" t="s">
        <v>32</v>
      </c>
      <c r="K136" s="33" t="s">
        <v>370</v>
      </c>
      <c r="L136" s="34"/>
      <c r="M136" s="3" t="s">
        <v>283</v>
      </c>
    </row>
    <row r="137" spans="1:13">
      <c r="A137" s="82" t="s">
        <v>112</v>
      </c>
      <c r="B137" s="121">
        <v>-2.8138999999999998</v>
      </c>
      <c r="C137" s="71"/>
      <c r="D137" s="12">
        <v>0.68239272333923895</v>
      </c>
      <c r="E137" s="10">
        <v>3</v>
      </c>
      <c r="F137" s="10">
        <v>177</v>
      </c>
      <c r="G137" s="1">
        <v>3.37</v>
      </c>
      <c r="H137" s="14">
        <f t="shared" si="2"/>
        <v>-4.3900000000000006</v>
      </c>
      <c r="J137" s="14"/>
      <c r="K137" s="14"/>
      <c r="L137" s="14"/>
      <c r="M137" s="3" t="s">
        <v>284</v>
      </c>
    </row>
    <row r="138" spans="1:13">
      <c r="A138" s="82" t="s">
        <v>285</v>
      </c>
      <c r="B138" s="121">
        <v>-4.5446999999999997</v>
      </c>
      <c r="C138" s="71"/>
      <c r="D138" s="12">
        <v>0.520951861602862</v>
      </c>
      <c r="E138" s="10">
        <v>10</v>
      </c>
      <c r="F138" s="10">
        <v>228.6</v>
      </c>
      <c r="G138" s="1">
        <v>4.22</v>
      </c>
      <c r="H138" s="14">
        <f t="shared" si="2"/>
        <v>-5.7560000000000002</v>
      </c>
      <c r="I138" s="16" t="s">
        <v>286</v>
      </c>
      <c r="J138" s="17"/>
      <c r="K138" s="17"/>
      <c r="L138" s="18"/>
      <c r="M138" s="3" t="s">
        <v>287</v>
      </c>
    </row>
    <row r="139" spans="1:13">
      <c r="A139" s="81" t="s">
        <v>288</v>
      </c>
      <c r="B139" s="121">
        <v>-1.849</v>
      </c>
      <c r="C139" s="71"/>
      <c r="D139" s="12">
        <v>0.53906642829149898</v>
      </c>
      <c r="E139" s="10">
        <v>3</v>
      </c>
      <c r="F139" s="10">
        <v>161.5</v>
      </c>
      <c r="G139" s="1">
        <v>-0.21</v>
      </c>
      <c r="H139" s="14">
        <f t="shared" si="2"/>
        <v>-0.65500000000000003</v>
      </c>
      <c r="I139" s="20" t="s">
        <v>371</v>
      </c>
      <c r="J139" s="21"/>
      <c r="K139" s="21"/>
      <c r="L139" s="22"/>
      <c r="M139" s="3" t="s">
        <v>289</v>
      </c>
    </row>
    <row r="140" spans="1:13">
      <c r="A140" s="81" t="s">
        <v>290</v>
      </c>
      <c r="B140" s="121">
        <v>-3.9424999999999999</v>
      </c>
      <c r="C140" s="71"/>
      <c r="D140" s="12">
        <v>0.56233984781338708</v>
      </c>
      <c r="E140" s="10">
        <v>11</v>
      </c>
      <c r="F140" s="10">
        <v>213.49999999999997</v>
      </c>
      <c r="G140" s="1">
        <v>3.04</v>
      </c>
      <c r="H140" s="14">
        <f t="shared" si="2"/>
        <v>-4.4249999999999998</v>
      </c>
      <c r="I140" s="23"/>
      <c r="J140" s="7"/>
      <c r="K140" s="7"/>
      <c r="L140" s="24"/>
      <c r="M140" s="3" t="s">
        <v>291</v>
      </c>
    </row>
    <row r="141" spans="1:13">
      <c r="A141" s="83" t="s">
        <v>292</v>
      </c>
      <c r="B141" s="121">
        <v>-2.5647000000000002</v>
      </c>
      <c r="C141" s="71"/>
      <c r="D141" s="12">
        <v>0.54710381306524825</v>
      </c>
      <c r="E141" s="10">
        <v>4</v>
      </c>
      <c r="F141" s="10">
        <v>168.5</v>
      </c>
      <c r="G141" s="1">
        <v>3.35</v>
      </c>
      <c r="H141" s="14">
        <f t="shared" si="2"/>
        <v>-4.2850000000000001</v>
      </c>
      <c r="I141" s="23"/>
      <c r="J141" s="7"/>
      <c r="K141" s="7"/>
      <c r="L141" s="24"/>
      <c r="M141" s="3" t="s">
        <v>293</v>
      </c>
    </row>
    <row r="142" spans="1:13">
      <c r="A142" s="81" t="s">
        <v>114</v>
      </c>
      <c r="B142" s="121">
        <v>-3.1815000000000002</v>
      </c>
      <c r="C142" s="71"/>
      <c r="D142" s="12">
        <v>0.54612637818466869</v>
      </c>
      <c r="E142" s="10">
        <v>3</v>
      </c>
      <c r="F142" s="13">
        <v>124.1</v>
      </c>
      <c r="G142" s="1">
        <v>2.81</v>
      </c>
      <c r="H142" s="14">
        <f t="shared" si="2"/>
        <v>-3.3010000000000002</v>
      </c>
      <c r="I142" s="25"/>
      <c r="J142" s="7"/>
      <c r="K142" s="7"/>
      <c r="L142" s="24"/>
      <c r="M142" s="3" t="s">
        <v>294</v>
      </c>
    </row>
    <row r="143" spans="1:13">
      <c r="A143" s="81" t="s">
        <v>295</v>
      </c>
      <c r="B143" s="121">
        <v>-3.0427</v>
      </c>
      <c r="C143" s="71"/>
      <c r="D143" s="12">
        <v>0.51160213896594608</v>
      </c>
      <c r="E143" s="10">
        <v>4</v>
      </c>
      <c r="F143" s="10">
        <v>165</v>
      </c>
      <c r="G143" s="1">
        <v>4.8899999999999997</v>
      </c>
      <c r="H143" s="14">
        <f t="shared" si="2"/>
        <v>-5.79</v>
      </c>
      <c r="I143" s="25"/>
      <c r="J143" s="7"/>
      <c r="K143" s="7"/>
      <c r="L143" s="24"/>
      <c r="M143" s="3" t="s">
        <v>296</v>
      </c>
    </row>
    <row r="144" spans="1:13">
      <c r="A144" s="81" t="s">
        <v>117</v>
      </c>
      <c r="B144" s="121">
        <v>-3.9161000000000001</v>
      </c>
      <c r="C144" s="71"/>
      <c r="D144" s="12">
        <v>0.65141515533308314</v>
      </c>
      <c r="E144" s="10">
        <v>4</v>
      </c>
      <c r="F144" s="10">
        <v>161.1</v>
      </c>
      <c r="G144" s="1">
        <v>4.76</v>
      </c>
      <c r="H144" s="14">
        <f t="shared" si="2"/>
        <v>-5.6209999999999996</v>
      </c>
      <c r="I144" s="25"/>
      <c r="J144" s="7"/>
      <c r="K144" s="7"/>
      <c r="L144" s="24"/>
      <c r="M144" s="3" t="s">
        <v>297</v>
      </c>
    </row>
    <row r="145" spans="1:28">
      <c r="A145" s="83" t="s">
        <v>298</v>
      </c>
      <c r="B145" s="121">
        <v>-2.6697000000000002</v>
      </c>
      <c r="C145" s="71"/>
      <c r="D145" s="12">
        <v>0.65883215509381909</v>
      </c>
      <c r="E145" s="10">
        <v>3</v>
      </c>
      <c r="F145" s="10">
        <v>155</v>
      </c>
      <c r="G145" s="1">
        <v>3.74</v>
      </c>
      <c r="H145" s="14">
        <f t="shared" si="2"/>
        <v>-4.54</v>
      </c>
      <c r="I145" s="25"/>
      <c r="J145" s="7"/>
      <c r="K145" s="7"/>
      <c r="L145" s="24"/>
      <c r="M145" s="3" t="s">
        <v>299</v>
      </c>
    </row>
    <row r="146" spans="1:28">
      <c r="A146" s="82" t="s">
        <v>300</v>
      </c>
      <c r="B146" s="121">
        <v>-4.5286</v>
      </c>
      <c r="C146" s="71"/>
      <c r="D146" s="12">
        <v>0.61400477095750339</v>
      </c>
      <c r="E146" s="10">
        <v>3</v>
      </c>
      <c r="F146" s="10">
        <v>165.4</v>
      </c>
      <c r="G146" s="1">
        <v>5.58</v>
      </c>
      <c r="H146" s="14">
        <f t="shared" si="2"/>
        <v>-6.484</v>
      </c>
      <c r="I146" s="25"/>
      <c r="J146" s="7"/>
      <c r="K146" s="7"/>
      <c r="L146" s="24"/>
      <c r="M146" s="3" t="s">
        <v>301</v>
      </c>
    </row>
    <row r="147" spans="1:28">
      <c r="A147" s="82" t="s">
        <v>302</v>
      </c>
      <c r="B147" s="121">
        <v>-4.1894999999999998</v>
      </c>
      <c r="C147" s="71"/>
      <c r="D147" s="12">
        <v>0.50406532001413251</v>
      </c>
      <c r="E147" s="10">
        <v>6</v>
      </c>
      <c r="F147" s="10">
        <v>161</v>
      </c>
      <c r="G147" s="1">
        <v>6.45</v>
      </c>
      <c r="H147" s="14">
        <f t="shared" si="2"/>
        <v>-7.3100000000000005</v>
      </c>
      <c r="I147" s="26"/>
      <c r="J147" s="27"/>
      <c r="K147" s="27"/>
      <c r="L147" s="28"/>
      <c r="M147" s="3" t="s">
        <v>303</v>
      </c>
    </row>
    <row r="148" spans="1:28">
      <c r="A148" s="82" t="s">
        <v>304</v>
      </c>
      <c r="B148" s="121">
        <v>-4.0835999999999997</v>
      </c>
      <c r="C148" s="71"/>
      <c r="D148" s="12">
        <v>0.75493366325441691</v>
      </c>
      <c r="E148" s="10">
        <v>4</v>
      </c>
      <c r="F148" s="10">
        <v>193.5</v>
      </c>
      <c r="G148" s="1">
        <v>5.41</v>
      </c>
      <c r="H148" s="14">
        <f t="shared" si="2"/>
        <v>-6.5950000000000006</v>
      </c>
      <c r="J148" s="14"/>
      <c r="K148" s="14"/>
      <c r="L148" s="14"/>
      <c r="M148" s="3" t="s">
        <v>305</v>
      </c>
    </row>
    <row r="149" spans="1:28">
      <c r="A149" s="82" t="s">
        <v>306</v>
      </c>
      <c r="B149" s="121">
        <v>-3.7435999999999998</v>
      </c>
      <c r="C149" s="71"/>
      <c r="D149" s="12">
        <v>0.50089358058597189</v>
      </c>
      <c r="E149" s="10">
        <v>3</v>
      </c>
      <c r="F149" s="10">
        <v>156</v>
      </c>
      <c r="G149" s="1">
        <v>2.9</v>
      </c>
      <c r="H149" s="14">
        <f t="shared" si="2"/>
        <v>-3.71</v>
      </c>
      <c r="I149" s="70" t="s">
        <v>133</v>
      </c>
      <c r="J149" s="32">
        <v>5778</v>
      </c>
      <c r="K149" s="34"/>
      <c r="L149" s="14"/>
      <c r="M149" s="3" t="s">
        <v>307</v>
      </c>
    </row>
    <row r="150" spans="1:28">
      <c r="A150" s="83" t="s">
        <v>308</v>
      </c>
      <c r="B150" s="121">
        <v>-3.7073999999999998</v>
      </c>
      <c r="C150" s="71"/>
      <c r="D150" s="12">
        <v>0.6587984329866341</v>
      </c>
      <c r="E150" s="10">
        <v>4</v>
      </c>
      <c r="F150" s="10">
        <v>183.5</v>
      </c>
      <c r="G150" s="1">
        <v>3.16</v>
      </c>
      <c r="H150" s="14">
        <f t="shared" si="2"/>
        <v>-4.2450000000000001</v>
      </c>
      <c r="I150" s="70" t="s">
        <v>136</v>
      </c>
      <c r="J150" s="32">
        <v>1445</v>
      </c>
      <c r="K150" s="34"/>
      <c r="L150" s="14"/>
      <c r="M150" s="3" t="s">
        <v>309</v>
      </c>
    </row>
    <row r="151" spans="1:28">
      <c r="A151" s="83" t="s">
        <v>310</v>
      </c>
      <c r="B151" s="121">
        <v>-2.1524999999999999</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s="121">
        <v>-3.1505999999999998</v>
      </c>
      <c r="C152" s="71"/>
      <c r="D152" s="12">
        <v>0.57115657899345518</v>
      </c>
      <c r="E152" s="10">
        <v>7</v>
      </c>
      <c r="F152" s="10">
        <v>177</v>
      </c>
      <c r="G152" s="1">
        <v>3.17</v>
      </c>
      <c r="H152" s="14">
        <f t="shared" si="2"/>
        <v>-4.1899999999999995</v>
      </c>
      <c r="I152" s="14"/>
      <c r="J152" s="14"/>
      <c r="K152" s="14"/>
      <c r="L152" s="14"/>
      <c r="M152" s="3" t="s">
        <v>313</v>
      </c>
    </row>
    <row r="153" spans="1:28">
      <c r="A153" s="81" t="s">
        <v>314</v>
      </c>
      <c r="B153" s="121">
        <v>-3.9860000000000002</v>
      </c>
      <c r="C153" s="71"/>
      <c r="D153" s="12">
        <v>0.55807775121880254</v>
      </c>
      <c r="E153" s="10">
        <v>6</v>
      </c>
      <c r="F153" s="10">
        <v>145</v>
      </c>
      <c r="G153" s="1">
        <v>6.08</v>
      </c>
      <c r="H153" s="14">
        <f t="shared" si="2"/>
        <v>-6.78</v>
      </c>
      <c r="I153" s="19" t="s">
        <v>144</v>
      </c>
      <c r="J153" s="17"/>
      <c r="K153" s="17"/>
      <c r="L153" s="18"/>
      <c r="M153" s="3" t="s">
        <v>315</v>
      </c>
    </row>
    <row r="154" spans="1:28">
      <c r="A154" s="81" t="s">
        <v>316</v>
      </c>
      <c r="B154" s="121">
        <v>-4.2058999999999997</v>
      </c>
      <c r="C154" s="71"/>
      <c r="D154" s="12">
        <v>0.66417698790166113</v>
      </c>
      <c r="E154" s="10">
        <v>3</v>
      </c>
      <c r="F154" s="13">
        <v>175.8</v>
      </c>
      <c r="G154" s="1">
        <v>4.62</v>
      </c>
      <c r="H154" s="14">
        <f t="shared" si="2"/>
        <v>-5.6280000000000001</v>
      </c>
      <c r="I154" s="20" t="s">
        <v>372</v>
      </c>
      <c r="J154" s="21"/>
      <c r="K154" s="21"/>
      <c r="L154" s="22"/>
      <c r="M154" s="3" t="s">
        <v>317</v>
      </c>
    </row>
    <row r="155" spans="1:28">
      <c r="A155" s="82" t="s">
        <v>318</v>
      </c>
      <c r="B155" s="121">
        <v>-4.2464000000000004</v>
      </c>
      <c r="C155" s="71"/>
      <c r="D155" s="12">
        <v>0.57716593661781801</v>
      </c>
      <c r="E155" s="10">
        <v>3</v>
      </c>
      <c r="F155" s="10">
        <v>349.84</v>
      </c>
      <c r="G155" s="1">
        <v>3.09</v>
      </c>
      <c r="H155" s="14">
        <f t="shared" si="2"/>
        <v>-5.8384</v>
      </c>
      <c r="I155" s="23"/>
      <c r="J155" s="7"/>
      <c r="K155" s="7"/>
      <c r="L155" s="24"/>
      <c r="M155" s="3" t="s">
        <v>319</v>
      </c>
    </row>
    <row r="156" spans="1:28">
      <c r="A156" s="83" t="s">
        <v>320</v>
      </c>
      <c r="B156" s="121">
        <v>-2.9441999999999999</v>
      </c>
      <c r="C156" s="71"/>
      <c r="D156" s="12">
        <v>0.70324590282883903</v>
      </c>
      <c r="E156" s="10">
        <v>3</v>
      </c>
      <c r="F156" s="10">
        <v>204</v>
      </c>
      <c r="G156" s="1">
        <v>0.88</v>
      </c>
      <c r="H156" s="14">
        <f t="shared" si="2"/>
        <v>-2.17</v>
      </c>
      <c r="I156" s="23"/>
      <c r="J156" s="7"/>
      <c r="K156" s="7"/>
      <c r="L156" s="24"/>
      <c r="M156" s="3" t="s">
        <v>321</v>
      </c>
    </row>
    <row r="157" spans="1:28">
      <c r="A157" s="82" t="s">
        <v>322</v>
      </c>
      <c r="B157" s="121">
        <v>-3.5558000000000001</v>
      </c>
      <c r="C157" s="71"/>
      <c r="D157" s="12">
        <v>0.7237903588794764</v>
      </c>
      <c r="E157" s="10">
        <v>7</v>
      </c>
      <c r="F157" s="10">
        <v>97.8</v>
      </c>
      <c r="G157" s="1">
        <v>6</v>
      </c>
      <c r="H157" s="14">
        <f t="shared" si="2"/>
        <v>-6.2279999999999998</v>
      </c>
      <c r="I157" s="23"/>
      <c r="J157" s="7"/>
      <c r="K157" s="7"/>
      <c r="L157" s="24"/>
      <c r="M157" s="3" t="s">
        <v>323</v>
      </c>
    </row>
    <row r="158" spans="1:28">
      <c r="A158" s="82" t="s">
        <v>324</v>
      </c>
      <c r="B158" s="121">
        <v>-4.2233000000000001</v>
      </c>
      <c r="C158" s="71"/>
      <c r="D158" s="12">
        <v>0.84033450922624497</v>
      </c>
      <c r="E158" s="10">
        <v>5</v>
      </c>
      <c r="F158" s="10">
        <v>262</v>
      </c>
      <c r="G158" s="1">
        <v>7.26</v>
      </c>
      <c r="H158" s="14">
        <f t="shared" si="2"/>
        <v>-9.129999999999999</v>
      </c>
      <c r="I158" s="23"/>
      <c r="J158" s="7"/>
      <c r="K158" s="7"/>
      <c r="L158" s="24"/>
      <c r="M158" s="3" t="s">
        <v>325</v>
      </c>
    </row>
    <row r="159" spans="1:28">
      <c r="A159" s="82" t="s">
        <v>326</v>
      </c>
      <c r="B159" s="121">
        <v>-3.7982999999999998</v>
      </c>
      <c r="C159" s="71"/>
      <c r="D159" s="12">
        <v>0.70969645885144073</v>
      </c>
      <c r="E159" s="10">
        <v>11</v>
      </c>
      <c r="F159" s="10">
        <v>149.6</v>
      </c>
      <c r="G159" s="1">
        <v>6.45</v>
      </c>
      <c r="H159" s="14">
        <f t="shared" si="2"/>
        <v>-7.1959999999999997</v>
      </c>
      <c r="I159" s="23"/>
      <c r="J159" s="7"/>
      <c r="K159" s="7"/>
      <c r="L159" s="24"/>
      <c r="M159" s="3" t="s">
        <v>327</v>
      </c>
    </row>
    <row r="160" spans="1:28" s="62" customFormat="1">
      <c r="A160" s="81" t="s">
        <v>328</v>
      </c>
      <c r="B160" s="121">
        <v>-2.9975000000000001</v>
      </c>
      <c r="C160" s="71"/>
      <c r="D160" s="12">
        <v>0.49644864464459931</v>
      </c>
      <c r="E160" s="10">
        <v>4</v>
      </c>
      <c r="F160" s="10">
        <v>304.5</v>
      </c>
      <c r="G160" s="1">
        <v>2.69</v>
      </c>
      <c r="H160" s="14">
        <f t="shared" si="2"/>
        <v>-4.9849999999999994</v>
      </c>
      <c r="I160" s="35"/>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119" t="s">
        <v>373</v>
      </c>
      <c r="B194" s="44"/>
      <c r="C194" s="44"/>
      <c r="D194" s="44"/>
      <c r="E194" s="44"/>
      <c r="F194" s="44"/>
      <c r="G194" s="44"/>
      <c r="H194" s="44"/>
      <c r="I194" s="44"/>
      <c r="J194" s="44"/>
      <c r="K194" s="44"/>
      <c r="L194" s="44"/>
      <c r="M194" s="48"/>
      <c r="N194" s="44"/>
      <c r="O194" s="44"/>
      <c r="P194" s="44"/>
      <c r="Q194" s="45"/>
    </row>
  </sheetData>
  <hyperlinks>
    <hyperlink ref="A194" r:id="rId1" xr:uid="{EE17A243-C520-413A-A7D0-20ACA71F3C49}"/>
  </hyperlinks>
  <pageMargins left="0" right="0" top="0" bottom="0" header="0.3" footer="0.3"/>
  <pageSetup scale="54" orientation="landscape"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931C8-68BE-446A-8871-85139C0710C4}">
  <dimension ref="A1:AB194"/>
  <sheetViews>
    <sheetView workbookViewId="0">
      <selection activeCell="B4" sqref="B4:B9"/>
    </sheetView>
  </sheetViews>
  <sheetFormatPr baseColWidth="10" defaultColWidth="9.1640625" defaultRowHeight="15"/>
  <cols>
    <col min="1" max="1" width="35.83203125" customWidth="1"/>
    <col min="2" max="2" width="41.83203125" customWidth="1"/>
    <col min="3" max="3" width="40.6640625" customWidth="1"/>
    <col min="4" max="4" width="42" customWidth="1"/>
    <col min="5" max="5" width="34.5" customWidth="1"/>
    <col min="6" max="6" width="10.1640625" customWidth="1"/>
    <col min="7" max="7" width="11.5" customWidth="1"/>
    <col min="9" max="9" width="13.1640625" customWidth="1"/>
    <col min="10" max="10" width="4.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118"/>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t="s">
        <v>367</v>
      </c>
      <c r="C14" t="s">
        <v>11</v>
      </c>
    </row>
    <row r="15" spans="1:25" s="90" customFormat="1">
      <c r="A15" s="89" t="s">
        <v>12</v>
      </c>
    </row>
    <row r="16" spans="1:25">
      <c r="B16" s="117" t="s">
        <v>367</v>
      </c>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v>-1.2066387999999999</v>
      </c>
      <c r="C23" s="73" t="s">
        <v>30</v>
      </c>
      <c r="D23" s="12">
        <v>0.17592262140645501</v>
      </c>
      <c r="E23" s="10">
        <v>11</v>
      </c>
      <c r="F23" s="10">
        <v>258.5</v>
      </c>
      <c r="G23" s="6">
        <v>-0.86</v>
      </c>
      <c r="H23" s="14">
        <f t="shared" ref="H23:H54" si="0">0.5-G23-0.01*(F23-25)</f>
        <v>-0.97500000000000009</v>
      </c>
      <c r="I23" s="53" t="s">
        <v>31</v>
      </c>
      <c r="J23" s="54"/>
      <c r="K23" s="14"/>
      <c r="L23" s="14"/>
      <c r="M23" s="11" t="s">
        <v>33</v>
      </c>
    </row>
    <row r="24" spans="1:28">
      <c r="A24" s="82" t="s">
        <v>35</v>
      </c>
      <c r="B24">
        <v>-2.0136308999999999</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v>-2.3389654000000002</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v>-2.4148003999999998</v>
      </c>
      <c r="C26" s="73" t="s">
        <v>46</v>
      </c>
      <c r="D26" s="12">
        <v>0.16999222507469616</v>
      </c>
      <c r="E26" s="10">
        <v>3</v>
      </c>
      <c r="F26" s="10">
        <v>234</v>
      </c>
      <c r="G26" s="6">
        <v>3.19</v>
      </c>
      <c r="H26" s="14">
        <f t="shared" si="0"/>
        <v>-4.7799999999999994</v>
      </c>
      <c r="I26" s="15" t="s">
        <v>47</v>
      </c>
      <c r="J26" s="29"/>
      <c r="K26" s="14"/>
      <c r="L26" s="14"/>
      <c r="M26" s="11" t="s">
        <v>48</v>
      </c>
    </row>
    <row r="27" spans="1:28">
      <c r="A27" s="82" t="s">
        <v>50</v>
      </c>
      <c r="B27">
        <v>-3.5605883999999999</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v>-5.1598309999999996</v>
      </c>
      <c r="C28" s="71"/>
      <c r="D28" s="12">
        <v>0.18412396392404196</v>
      </c>
      <c r="E28" s="10">
        <v>3</v>
      </c>
      <c r="F28" s="10">
        <v>224.00000000000003</v>
      </c>
      <c r="G28" s="6">
        <v>5.51</v>
      </c>
      <c r="H28" s="14">
        <f t="shared" si="0"/>
        <v>-7</v>
      </c>
      <c r="I28" s="15" t="s">
        <v>56</v>
      </c>
      <c r="J28" s="29"/>
      <c r="K28" s="14"/>
      <c r="L28" s="14"/>
      <c r="M28" s="11" t="s">
        <v>57</v>
      </c>
    </row>
    <row r="29" spans="1:28">
      <c r="A29" s="81" t="s">
        <v>59</v>
      </c>
      <c r="B29">
        <v>-3.0620880000000001</v>
      </c>
      <c r="C29" s="71"/>
      <c r="D29" s="12">
        <v>0.14933733874523175</v>
      </c>
      <c r="E29" s="10">
        <v>6</v>
      </c>
      <c r="F29" s="10">
        <v>172.5</v>
      </c>
      <c r="G29" s="6">
        <v>1.78</v>
      </c>
      <c r="H29" s="14">
        <f t="shared" si="0"/>
        <v>-2.7549999999999999</v>
      </c>
      <c r="I29" s="15" t="s">
        <v>60</v>
      </c>
      <c r="J29" s="31"/>
      <c r="K29" s="14"/>
      <c r="L29" s="14"/>
      <c r="M29" s="11" t="s">
        <v>61</v>
      </c>
    </row>
    <row r="30" spans="1:28">
      <c r="A30" s="81" t="s">
        <v>63</v>
      </c>
      <c r="B30">
        <v>-1.0023134</v>
      </c>
      <c r="C30" s="71"/>
      <c r="D30" s="12">
        <v>0.14842266063120066</v>
      </c>
      <c r="E30" s="10">
        <v>4</v>
      </c>
      <c r="F30" s="10">
        <v>207.50000000000003</v>
      </c>
      <c r="G30" s="6">
        <v>1.86</v>
      </c>
      <c r="H30" s="14">
        <f t="shared" si="0"/>
        <v>-3.1850000000000005</v>
      </c>
      <c r="I30" s="30" t="s">
        <v>64</v>
      </c>
      <c r="J30" s="32"/>
      <c r="K30" s="33" t="s">
        <v>366</v>
      </c>
      <c r="L30" s="34"/>
      <c r="M30" s="11" t="s">
        <v>65</v>
      </c>
    </row>
    <row r="31" spans="1:28">
      <c r="A31" s="83" t="s">
        <v>66</v>
      </c>
      <c r="B31">
        <v>-1.7836325</v>
      </c>
      <c r="C31" s="71"/>
      <c r="D31" s="12">
        <v>0.1617973106900604</v>
      </c>
      <c r="E31" s="10">
        <v>10</v>
      </c>
      <c r="F31" s="10">
        <v>166.5</v>
      </c>
      <c r="G31" s="6">
        <v>0.79</v>
      </c>
      <c r="H31" s="14">
        <f t="shared" si="0"/>
        <v>-1.7050000000000001</v>
      </c>
      <c r="J31" s="14"/>
      <c r="K31" s="14"/>
      <c r="L31" s="14"/>
      <c r="M31" s="11" t="s">
        <v>67</v>
      </c>
    </row>
    <row r="32" spans="1:28">
      <c r="A32" s="82" t="s">
        <v>68</v>
      </c>
      <c r="B32">
        <v>-2.2348137000000001</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v>-3.3038232000000001</v>
      </c>
      <c r="C33" s="72"/>
      <c r="D33" s="4">
        <v>0.12912520605069597</v>
      </c>
      <c r="E33" s="2">
        <v>3</v>
      </c>
      <c r="F33" s="13">
        <v>192.7</v>
      </c>
      <c r="G33" s="6">
        <v>2.63</v>
      </c>
      <c r="H33" s="14">
        <f t="shared" si="0"/>
        <v>-3.8069999999999995</v>
      </c>
      <c r="I33" s="20" t="s">
        <v>364</v>
      </c>
      <c r="J33" s="21"/>
      <c r="K33" s="21"/>
      <c r="L33" s="22"/>
      <c r="M33" s="11" t="s">
        <v>72</v>
      </c>
    </row>
    <row r="34" spans="1:13">
      <c r="A34" s="81" t="s">
        <v>74</v>
      </c>
      <c r="B34">
        <v>-5.5018450000000003</v>
      </c>
      <c r="C34" s="71"/>
      <c r="D34" s="12">
        <v>0.14911462098310888</v>
      </c>
      <c r="E34" s="10">
        <v>6</v>
      </c>
      <c r="F34" s="10">
        <v>167</v>
      </c>
      <c r="G34" s="6">
        <v>6.32</v>
      </c>
      <c r="H34" s="14">
        <f t="shared" si="0"/>
        <v>-7.24</v>
      </c>
      <c r="I34" s="23" t="s">
        <v>363</v>
      </c>
      <c r="J34" s="7"/>
      <c r="K34" s="7"/>
      <c r="L34" s="24"/>
      <c r="M34" s="11" t="s">
        <v>75</v>
      </c>
    </row>
    <row r="35" spans="1:13">
      <c r="A35" s="82" t="s">
        <v>77</v>
      </c>
      <c r="B35">
        <v>-3.2032243999999999</v>
      </c>
      <c r="C35" s="71"/>
      <c r="D35" s="12">
        <v>0.15809078703524676</v>
      </c>
      <c r="E35" s="10">
        <v>15</v>
      </c>
      <c r="F35" s="10">
        <v>191.5</v>
      </c>
      <c r="G35" s="6">
        <v>3.39</v>
      </c>
      <c r="H35" s="14">
        <f t="shared" si="0"/>
        <v>-4.5549999999999997</v>
      </c>
      <c r="I35" s="23"/>
      <c r="J35" s="7"/>
      <c r="K35" s="7"/>
      <c r="L35" s="24"/>
      <c r="M35" s="11" t="s">
        <v>78</v>
      </c>
    </row>
    <row r="36" spans="1:13">
      <c r="A36" s="83" t="s">
        <v>80</v>
      </c>
      <c r="B36">
        <v>-3.6829000000000001</v>
      </c>
      <c r="C36" s="71"/>
      <c r="D36" s="12">
        <v>0.1911503089068218</v>
      </c>
      <c r="E36" s="10">
        <v>3</v>
      </c>
      <c r="F36" s="10">
        <v>246.2</v>
      </c>
      <c r="G36" s="6">
        <v>3.32</v>
      </c>
      <c r="H36" s="14">
        <f t="shared" si="0"/>
        <v>-5.032</v>
      </c>
      <c r="I36" s="25"/>
      <c r="J36" s="7"/>
      <c r="K36" s="7"/>
      <c r="L36" s="24"/>
      <c r="M36" s="11" t="s">
        <v>81</v>
      </c>
    </row>
    <row r="37" spans="1:13">
      <c r="A37" s="83" t="s">
        <v>73</v>
      </c>
      <c r="B37">
        <v>-2.3961499000000002</v>
      </c>
      <c r="C37" s="71"/>
      <c r="D37" s="12">
        <v>0.19050575600734274</v>
      </c>
      <c r="E37" s="10">
        <v>4</v>
      </c>
      <c r="F37" s="10">
        <v>304</v>
      </c>
      <c r="G37" s="6">
        <v>1.74</v>
      </c>
      <c r="H37" s="14">
        <f t="shared" si="0"/>
        <v>-4.03</v>
      </c>
      <c r="I37" s="25"/>
      <c r="J37" s="7"/>
      <c r="K37" s="7"/>
      <c r="L37" s="24"/>
      <c r="M37" s="11" t="s">
        <v>83</v>
      </c>
    </row>
    <row r="38" spans="1:13">
      <c r="A38" s="81" t="s">
        <v>76</v>
      </c>
      <c r="B38">
        <v>-1.9659753</v>
      </c>
      <c r="C38" s="71"/>
      <c r="D38" s="12">
        <v>0.13682393527498057</v>
      </c>
      <c r="E38" s="10">
        <v>7</v>
      </c>
      <c r="F38" s="10">
        <v>187</v>
      </c>
      <c r="G38" s="6">
        <v>-0.87</v>
      </c>
      <c r="H38" s="14">
        <f t="shared" si="0"/>
        <v>-0.25</v>
      </c>
      <c r="I38" s="25"/>
      <c r="J38" s="7"/>
      <c r="K38" s="7"/>
      <c r="L38" s="24"/>
      <c r="M38" s="66" t="s">
        <v>85</v>
      </c>
    </row>
    <row r="39" spans="1:13">
      <c r="A39" s="81" t="s">
        <v>87</v>
      </c>
      <c r="B39">
        <v>-1.7228520000000001</v>
      </c>
      <c r="C39" s="71"/>
      <c r="D39" s="12">
        <v>0.20462356367492032</v>
      </c>
      <c r="E39" s="10">
        <v>4</v>
      </c>
      <c r="F39" s="10">
        <v>221.5</v>
      </c>
      <c r="G39" s="6">
        <v>0.71</v>
      </c>
      <c r="H39" s="14">
        <f t="shared" si="0"/>
        <v>-2.1749999999999998</v>
      </c>
      <c r="I39" s="25"/>
      <c r="J39" s="7"/>
      <c r="K39" s="7"/>
      <c r="L39" s="24"/>
      <c r="M39" s="11" t="s">
        <v>88</v>
      </c>
    </row>
    <row r="40" spans="1:13">
      <c r="A40" s="81" t="s">
        <v>90</v>
      </c>
      <c r="B40">
        <v>-4.0026836000000001</v>
      </c>
      <c r="C40" s="71"/>
      <c r="D40" s="12">
        <v>0.18274602564465547</v>
      </c>
      <c r="E40" s="10">
        <v>6</v>
      </c>
      <c r="F40" s="10">
        <v>157.83333333333334</v>
      </c>
      <c r="G40" s="6">
        <v>3.51</v>
      </c>
      <c r="H40" s="14">
        <f t="shared" si="0"/>
        <v>-4.3383333333333329</v>
      </c>
      <c r="I40" s="25"/>
      <c r="J40" s="39"/>
      <c r="K40" s="39"/>
      <c r="L40" s="40"/>
      <c r="M40" s="11" t="s">
        <v>91</v>
      </c>
    </row>
    <row r="41" spans="1:13">
      <c r="A41" s="84" t="s">
        <v>93</v>
      </c>
      <c r="B41">
        <v>-1.2337087</v>
      </c>
      <c r="C41" s="72"/>
      <c r="D41" s="4">
        <v>0.12610247911779729</v>
      </c>
      <c r="E41" s="2">
        <v>8</v>
      </c>
      <c r="F41" s="10">
        <v>140</v>
      </c>
      <c r="G41" s="6">
        <v>0.35</v>
      </c>
      <c r="H41" s="14">
        <f t="shared" si="0"/>
        <v>-1</v>
      </c>
      <c r="I41" s="25"/>
      <c r="J41" s="39"/>
      <c r="K41" s="39"/>
      <c r="L41" s="40"/>
      <c r="M41" s="11" t="s">
        <v>94</v>
      </c>
    </row>
    <row r="42" spans="1:13">
      <c r="A42" s="82" t="s">
        <v>96</v>
      </c>
      <c r="B42">
        <v>-2.469014</v>
      </c>
      <c r="C42" s="71"/>
      <c r="D42" s="12">
        <v>0.14493441954543959</v>
      </c>
      <c r="E42" s="10">
        <v>7</v>
      </c>
      <c r="F42" s="10">
        <v>127.93333333333334</v>
      </c>
      <c r="G42" s="6">
        <v>1.74</v>
      </c>
      <c r="H42" s="14">
        <f t="shared" si="0"/>
        <v>-2.2693333333333334</v>
      </c>
      <c r="I42" s="25"/>
      <c r="J42" s="39"/>
      <c r="K42" s="39"/>
      <c r="L42" s="40"/>
      <c r="M42" s="11" t="s">
        <v>97</v>
      </c>
    </row>
    <row r="43" spans="1:13">
      <c r="A43" s="82" t="s">
        <v>79</v>
      </c>
      <c r="B43">
        <v>-2.9609920000000001</v>
      </c>
      <c r="C43" s="71"/>
      <c r="D43" s="12">
        <v>0.14861388626870758</v>
      </c>
      <c r="E43" s="10">
        <v>7</v>
      </c>
      <c r="F43" s="10">
        <v>176</v>
      </c>
      <c r="G43" s="6">
        <v>4.4800000000000004</v>
      </c>
      <c r="H43" s="14">
        <f t="shared" si="0"/>
        <v>-5.49</v>
      </c>
      <c r="I43" s="25"/>
      <c r="J43" s="39"/>
      <c r="K43" s="39"/>
      <c r="L43" s="40"/>
      <c r="M43" s="11" t="s">
        <v>99</v>
      </c>
    </row>
    <row r="44" spans="1:13">
      <c r="A44" s="85" t="s">
        <v>101</v>
      </c>
      <c r="B44">
        <v>-3.8595313999999998</v>
      </c>
      <c r="C44" s="72"/>
      <c r="D44" s="4">
        <v>0.1280711495400205</v>
      </c>
      <c r="E44" s="2">
        <v>3</v>
      </c>
      <c r="F44" s="10">
        <v>159.69999999999999</v>
      </c>
      <c r="G44" s="6">
        <v>3.46</v>
      </c>
      <c r="H44" s="14">
        <f t="shared" si="0"/>
        <v>-4.3070000000000004</v>
      </c>
      <c r="I44" s="25"/>
      <c r="J44" s="39"/>
      <c r="K44" s="39"/>
      <c r="L44" s="40"/>
      <c r="M44" s="11" t="s">
        <v>102</v>
      </c>
    </row>
    <row r="45" spans="1:13">
      <c r="A45" s="84" t="s">
        <v>104</v>
      </c>
      <c r="B45">
        <v>-0.92980479999999999</v>
      </c>
      <c r="C45" s="72"/>
      <c r="D45" s="4">
        <v>0.21683500301481054</v>
      </c>
      <c r="E45" s="2">
        <v>8</v>
      </c>
      <c r="F45" s="10">
        <v>142</v>
      </c>
      <c r="G45" s="6">
        <v>0.6</v>
      </c>
      <c r="H45" s="14">
        <f t="shared" si="0"/>
        <v>-1.27</v>
      </c>
      <c r="I45" s="25"/>
      <c r="J45" s="39"/>
      <c r="K45" s="39"/>
      <c r="L45" s="40"/>
      <c r="M45" s="11" t="s">
        <v>105</v>
      </c>
    </row>
    <row r="46" spans="1:13">
      <c r="A46" s="82" t="s">
        <v>107</v>
      </c>
      <c r="B46">
        <v>-2.8899135999999999</v>
      </c>
      <c r="C46" s="71"/>
      <c r="D46" s="12">
        <v>0.18255878892749886</v>
      </c>
      <c r="E46" s="10">
        <v>20</v>
      </c>
      <c r="F46" s="10">
        <v>267</v>
      </c>
      <c r="G46" s="6">
        <v>1.58</v>
      </c>
      <c r="H46" s="14">
        <f t="shared" si="0"/>
        <v>-3.5</v>
      </c>
      <c r="I46" s="25"/>
      <c r="J46" s="39"/>
      <c r="K46" s="39"/>
      <c r="L46" s="40"/>
      <c r="M46" s="11" t="s">
        <v>108</v>
      </c>
    </row>
    <row r="47" spans="1:13">
      <c r="A47" s="81" t="s">
        <v>110</v>
      </c>
      <c r="B47">
        <v>-2.6101290000000001</v>
      </c>
      <c r="C47" s="71"/>
      <c r="D47" s="12">
        <v>0.16704647063532602</v>
      </c>
      <c r="E47" s="10">
        <v>6</v>
      </c>
      <c r="F47" s="10">
        <v>110.00000000000001</v>
      </c>
      <c r="G47" s="6">
        <v>3.36</v>
      </c>
      <c r="H47" s="14">
        <f t="shared" si="0"/>
        <v>-3.71</v>
      </c>
      <c r="I47" s="25"/>
      <c r="J47" s="39"/>
      <c r="K47" s="39"/>
      <c r="L47" s="40"/>
      <c r="M47" s="11" t="s">
        <v>111</v>
      </c>
    </row>
    <row r="48" spans="1:13">
      <c r="A48" s="82" t="s">
        <v>82</v>
      </c>
      <c r="B48">
        <v>-2.5974116</v>
      </c>
      <c r="C48" s="71"/>
      <c r="D48" s="12">
        <v>0.17164501312359953</v>
      </c>
      <c r="E48" s="10">
        <v>7</v>
      </c>
      <c r="F48" s="10">
        <v>182</v>
      </c>
      <c r="G48" s="6">
        <v>2.67</v>
      </c>
      <c r="H48" s="14">
        <f t="shared" si="0"/>
        <v>-3.74</v>
      </c>
      <c r="I48" s="25"/>
      <c r="J48" s="39"/>
      <c r="K48" s="39"/>
      <c r="L48" s="40"/>
      <c r="M48" s="11" t="s">
        <v>113</v>
      </c>
    </row>
    <row r="49" spans="1:13">
      <c r="A49" s="84" t="s">
        <v>115</v>
      </c>
      <c r="B49">
        <v>-3.2170633999999998</v>
      </c>
      <c r="C49" s="72"/>
      <c r="D49" s="4">
        <v>0.12558353028546052</v>
      </c>
      <c r="E49" s="2">
        <v>4</v>
      </c>
      <c r="F49" s="10">
        <v>222.00000000000003</v>
      </c>
      <c r="G49" s="6">
        <v>2.56</v>
      </c>
      <c r="H49" s="14">
        <f t="shared" si="0"/>
        <v>-4.03</v>
      </c>
      <c r="I49" s="25"/>
      <c r="J49" s="39"/>
      <c r="K49" s="39"/>
      <c r="L49" s="40"/>
      <c r="M49" s="11" t="s">
        <v>116</v>
      </c>
    </row>
    <row r="50" spans="1:13">
      <c r="A50" s="82" t="s">
        <v>118</v>
      </c>
      <c r="B50">
        <v>-4.0511499999999998</v>
      </c>
      <c r="C50" s="71"/>
      <c r="D50" s="12">
        <v>0.1568133990664792</v>
      </c>
      <c r="E50" s="10">
        <v>6</v>
      </c>
      <c r="F50" s="10">
        <v>151</v>
      </c>
      <c r="G50" s="6">
        <v>3.27</v>
      </c>
      <c r="H50" s="14">
        <f t="shared" si="0"/>
        <v>-4.03</v>
      </c>
      <c r="I50" s="25"/>
      <c r="J50" s="39"/>
      <c r="K50" s="39"/>
      <c r="L50" s="40"/>
      <c r="M50" s="11" t="s">
        <v>119</v>
      </c>
    </row>
    <row r="51" spans="1:13">
      <c r="A51" s="85" t="s">
        <v>84</v>
      </c>
      <c r="B51">
        <v>-3.2041605</v>
      </c>
      <c r="C51" s="72"/>
      <c r="D51" s="4">
        <v>0.12789394574374285</v>
      </c>
      <c r="E51" s="2">
        <v>5</v>
      </c>
      <c r="F51" s="10">
        <v>330</v>
      </c>
      <c r="G51" s="6">
        <v>2.87</v>
      </c>
      <c r="H51" s="14">
        <f t="shared" si="0"/>
        <v>-5.42</v>
      </c>
      <c r="I51" s="25"/>
      <c r="J51" s="39"/>
      <c r="K51" s="39"/>
      <c r="L51" s="40"/>
      <c r="M51" s="11" t="s">
        <v>120</v>
      </c>
    </row>
    <row r="52" spans="1:13">
      <c r="A52" s="82" t="s">
        <v>121</v>
      </c>
      <c r="B52">
        <v>-3.6178984999999999</v>
      </c>
      <c r="C52" s="71"/>
      <c r="D52" s="12">
        <v>0.18012800124370357</v>
      </c>
      <c r="E52" s="10">
        <v>3</v>
      </c>
      <c r="F52" s="10">
        <v>100</v>
      </c>
      <c r="G52" s="6">
        <v>3.53</v>
      </c>
      <c r="H52" s="14">
        <f t="shared" si="0"/>
        <v>-3.78</v>
      </c>
      <c r="I52" s="23"/>
      <c r="J52" s="7"/>
      <c r="K52" s="7"/>
      <c r="L52" s="24"/>
      <c r="M52" s="11" t="s">
        <v>122</v>
      </c>
    </row>
    <row r="53" spans="1:13">
      <c r="A53" s="81" t="s">
        <v>123</v>
      </c>
      <c r="B53">
        <v>-3.2568519999999999</v>
      </c>
      <c r="C53" s="71"/>
      <c r="D53" s="12">
        <v>0.18062104750721683</v>
      </c>
      <c r="E53" s="10">
        <v>16</v>
      </c>
      <c r="F53" s="10">
        <v>262.5</v>
      </c>
      <c r="G53" s="6">
        <v>1.9</v>
      </c>
      <c r="H53" s="14">
        <f t="shared" si="0"/>
        <v>-3.7749999999999999</v>
      </c>
      <c r="I53" s="23"/>
      <c r="J53" s="7"/>
      <c r="K53" s="7"/>
      <c r="L53" s="24"/>
      <c r="M53" s="11" t="s">
        <v>124</v>
      </c>
    </row>
    <row r="54" spans="1:13">
      <c r="A54" s="84" t="s">
        <v>125</v>
      </c>
      <c r="B54">
        <v>-2.1960700000000002</v>
      </c>
      <c r="C54" s="72"/>
      <c r="D54" s="4">
        <v>0.22156244268660033</v>
      </c>
      <c r="E54" s="2">
        <v>4</v>
      </c>
      <c r="F54" s="10">
        <v>328.85</v>
      </c>
      <c r="G54" s="6">
        <v>1.87</v>
      </c>
      <c r="H54" s="14">
        <f t="shared" si="0"/>
        <v>-4.4085000000000001</v>
      </c>
      <c r="I54" s="23"/>
      <c r="J54" s="7"/>
      <c r="K54" s="7"/>
      <c r="L54" s="24"/>
      <c r="M54" s="11" t="s">
        <v>126</v>
      </c>
    </row>
    <row r="55" spans="1:13">
      <c r="A55" s="82" t="s">
        <v>127</v>
      </c>
      <c r="B55">
        <v>-3.3525592999999998</v>
      </c>
      <c r="C55" s="71"/>
      <c r="D55" s="12">
        <v>0.18450811780713378</v>
      </c>
      <c r="E55" s="10">
        <v>33</v>
      </c>
      <c r="F55" s="10">
        <v>167.5</v>
      </c>
      <c r="G55" s="6">
        <v>4.3600000000000003</v>
      </c>
      <c r="H55" s="14">
        <f t="shared" ref="H55:H86" si="1">0.5-G55-0.01*(F55-25)</f>
        <v>-5.2850000000000001</v>
      </c>
      <c r="I55" s="23"/>
      <c r="J55" s="7"/>
      <c r="K55" s="7"/>
      <c r="L55" s="24"/>
      <c r="M55" s="11" t="s">
        <v>128</v>
      </c>
    </row>
    <row r="56" spans="1:13">
      <c r="A56" s="82" t="s">
        <v>86</v>
      </c>
      <c r="B56">
        <v>-2.9025216</v>
      </c>
      <c r="C56" s="71"/>
      <c r="D56" s="12">
        <v>0.15609203233531485</v>
      </c>
      <c r="E56" s="10">
        <v>3</v>
      </c>
      <c r="F56" s="10">
        <v>223</v>
      </c>
      <c r="G56" s="6">
        <v>2.99</v>
      </c>
      <c r="H56" s="14">
        <f t="shared" si="1"/>
        <v>-4.4700000000000006</v>
      </c>
      <c r="I56" s="23"/>
      <c r="J56" s="7"/>
      <c r="K56" s="7"/>
      <c r="L56" s="24"/>
      <c r="M56" s="11" t="s">
        <v>129</v>
      </c>
    </row>
    <row r="57" spans="1:13">
      <c r="A57" s="82" t="s">
        <v>89</v>
      </c>
      <c r="B57">
        <v>-2.8763983</v>
      </c>
      <c r="C57" s="71"/>
      <c r="D57" s="12">
        <v>0.20872343532408041</v>
      </c>
      <c r="E57" s="10">
        <v>3</v>
      </c>
      <c r="F57" s="10">
        <v>210.5</v>
      </c>
      <c r="G57" s="6">
        <v>2.72</v>
      </c>
      <c r="H57" s="14">
        <f t="shared" si="1"/>
        <v>-4.0750000000000002</v>
      </c>
      <c r="I57" s="26"/>
      <c r="J57" s="27"/>
      <c r="K57" s="27"/>
      <c r="L57" s="28"/>
      <c r="M57" s="11" t="s">
        <v>130</v>
      </c>
    </row>
    <row r="58" spans="1:13">
      <c r="A58" s="84" t="s">
        <v>131</v>
      </c>
      <c r="B58">
        <v>-1.8021083</v>
      </c>
      <c r="C58" s="72"/>
      <c r="D58" s="4">
        <v>0.1297319013416561</v>
      </c>
      <c r="E58" s="2">
        <v>3</v>
      </c>
      <c r="F58" s="10">
        <v>209.75</v>
      </c>
      <c r="G58" s="6">
        <v>3.37</v>
      </c>
      <c r="H58" s="14">
        <f t="shared" si="1"/>
        <v>-4.7175000000000002</v>
      </c>
      <c r="J58" s="14"/>
      <c r="K58" s="14"/>
      <c r="L58" s="14"/>
      <c r="M58" s="11" t="s">
        <v>132</v>
      </c>
    </row>
    <row r="59" spans="1:13">
      <c r="A59" s="81" t="s">
        <v>92</v>
      </c>
      <c r="B59">
        <v>-2.864004</v>
      </c>
      <c r="C59" s="71"/>
      <c r="D59" s="12">
        <v>0.14124198841117766</v>
      </c>
      <c r="E59" s="10">
        <v>3</v>
      </c>
      <c r="F59" s="10">
        <v>53.5</v>
      </c>
      <c r="G59" s="6">
        <v>3.43</v>
      </c>
      <c r="H59" s="14">
        <f t="shared" si="1"/>
        <v>-3.2150000000000003</v>
      </c>
      <c r="I59" s="70" t="s">
        <v>133</v>
      </c>
      <c r="J59" s="32"/>
      <c r="K59" s="34">
        <v>4741</v>
      </c>
      <c r="L59" s="14"/>
      <c r="M59" s="11" t="s">
        <v>134</v>
      </c>
    </row>
    <row r="60" spans="1:13">
      <c r="A60" s="81" t="s">
        <v>135</v>
      </c>
      <c r="B60">
        <v>-1.1922984999999999</v>
      </c>
      <c r="C60" s="71"/>
      <c r="D60" s="12">
        <v>0.17069281866408892</v>
      </c>
      <c r="E60" s="10">
        <v>6</v>
      </c>
      <c r="F60" s="10">
        <v>270</v>
      </c>
      <c r="G60" s="6">
        <v>0.05</v>
      </c>
      <c r="H60" s="14">
        <f t="shared" si="1"/>
        <v>-2</v>
      </c>
      <c r="I60" s="70" t="s">
        <v>136</v>
      </c>
      <c r="J60" s="32"/>
      <c r="K60" s="34">
        <v>1186</v>
      </c>
      <c r="L60" s="14"/>
      <c r="M60" s="11" t="s">
        <v>137</v>
      </c>
    </row>
    <row r="61" spans="1:13">
      <c r="A61" s="82" t="s">
        <v>138</v>
      </c>
      <c r="B61">
        <v>-1.3966855</v>
      </c>
      <c r="C61" s="71"/>
      <c r="D61" s="12">
        <v>0.2061475968316322</v>
      </c>
      <c r="E61" s="10">
        <v>3</v>
      </c>
      <c r="F61" s="10">
        <v>143.75</v>
      </c>
      <c r="G61" s="6">
        <v>1.6</v>
      </c>
      <c r="H61" s="14">
        <f t="shared" si="1"/>
        <v>-2.2875000000000001</v>
      </c>
      <c r="I61" s="70" t="s">
        <v>139</v>
      </c>
      <c r="J61" s="75">
        <f>COUNTA(A23:A122)</f>
        <v>100</v>
      </c>
      <c r="K61" s="34"/>
      <c r="L61" s="14"/>
      <c r="M61" s="11" t="s">
        <v>140</v>
      </c>
    </row>
    <row r="62" spans="1:13">
      <c r="A62" s="81" t="s">
        <v>141</v>
      </c>
      <c r="B62">
        <v>-3.7914810000000001</v>
      </c>
      <c r="C62" s="71"/>
      <c r="D62" s="12">
        <v>0.18021422622763517</v>
      </c>
      <c r="E62" s="10">
        <v>5</v>
      </c>
      <c r="F62" s="10">
        <v>214.5</v>
      </c>
      <c r="G62" s="6">
        <v>3.61</v>
      </c>
      <c r="H62" s="14">
        <f t="shared" si="1"/>
        <v>-5.0049999999999999</v>
      </c>
      <c r="I62" s="14"/>
      <c r="J62" s="14"/>
      <c r="K62" s="14"/>
      <c r="L62" s="14"/>
      <c r="M62" s="11" t="s">
        <v>142</v>
      </c>
    </row>
    <row r="63" spans="1:13">
      <c r="A63" s="82" t="s">
        <v>143</v>
      </c>
      <c r="B63">
        <v>-3.5801568000000001</v>
      </c>
      <c r="C63" s="71"/>
      <c r="D63" s="12">
        <v>0.19225415374507382</v>
      </c>
      <c r="E63" s="10">
        <v>8</v>
      </c>
      <c r="F63" s="10">
        <v>255.29999999999998</v>
      </c>
      <c r="G63" s="6">
        <v>3.82</v>
      </c>
      <c r="H63" s="14">
        <f t="shared" si="1"/>
        <v>-5.6229999999999993</v>
      </c>
      <c r="I63" s="19" t="s">
        <v>144</v>
      </c>
      <c r="J63" s="17"/>
      <c r="K63" s="17"/>
      <c r="L63" s="18"/>
      <c r="M63" s="11" t="s">
        <v>145</v>
      </c>
    </row>
    <row r="64" spans="1:13">
      <c r="A64" s="82" t="s">
        <v>146</v>
      </c>
      <c r="B64">
        <v>-2.2687406999999999</v>
      </c>
      <c r="C64" s="71"/>
      <c r="D64" s="12">
        <v>0.17</v>
      </c>
      <c r="E64" s="10">
        <v>3</v>
      </c>
      <c r="F64" s="10">
        <v>189</v>
      </c>
      <c r="G64" s="6">
        <v>1.34</v>
      </c>
      <c r="H64" s="14">
        <f t="shared" si="1"/>
        <v>-2.4800000000000004</v>
      </c>
      <c r="I64" s="20"/>
      <c r="J64" s="21"/>
      <c r="K64" s="21"/>
      <c r="L64" s="22"/>
      <c r="M64" s="11" t="s">
        <v>148</v>
      </c>
    </row>
    <row r="65" spans="1:13">
      <c r="A65" s="82" t="s">
        <v>149</v>
      </c>
      <c r="B65">
        <v>-2.4814254999999998</v>
      </c>
      <c r="C65" s="71"/>
      <c r="D65" s="12">
        <v>0.19794493160510693</v>
      </c>
      <c r="E65" s="10">
        <v>4</v>
      </c>
      <c r="F65" s="10">
        <v>243.5</v>
      </c>
      <c r="G65" s="6">
        <v>1.34</v>
      </c>
      <c r="H65" s="14">
        <f t="shared" si="1"/>
        <v>-3.0250000000000004</v>
      </c>
      <c r="I65" s="23" t="s">
        <v>362</v>
      </c>
      <c r="J65" s="7"/>
      <c r="K65" s="7"/>
      <c r="L65" s="24"/>
      <c r="M65" s="11" t="s">
        <v>151</v>
      </c>
    </row>
    <row r="66" spans="1:13">
      <c r="A66" s="81" t="s">
        <v>95</v>
      </c>
      <c r="B66">
        <v>-2.2546097999999999</v>
      </c>
      <c r="C66" s="71"/>
      <c r="D66" s="12">
        <v>0.21056099074293383</v>
      </c>
      <c r="E66" s="10">
        <v>3</v>
      </c>
      <c r="F66" s="10">
        <v>36.5</v>
      </c>
      <c r="G66" s="6">
        <v>2.74</v>
      </c>
      <c r="H66" s="14">
        <f t="shared" si="1"/>
        <v>-2.3550000000000004</v>
      </c>
      <c r="I66" s="23" t="s">
        <v>361</v>
      </c>
      <c r="J66" s="7"/>
      <c r="K66" s="7"/>
      <c r="L66" s="24"/>
      <c r="M66" s="11" t="s">
        <v>152</v>
      </c>
    </row>
    <row r="67" spans="1:13">
      <c r="A67" s="83" t="s">
        <v>153</v>
      </c>
      <c r="B67">
        <v>-2.6381134999999998</v>
      </c>
      <c r="C67" s="71"/>
      <c r="D67" s="12">
        <v>0.21092434073951916</v>
      </c>
      <c r="E67" s="10">
        <v>10</v>
      </c>
      <c r="F67" s="10">
        <v>186</v>
      </c>
      <c r="G67" s="6">
        <v>3.4</v>
      </c>
      <c r="H67" s="14">
        <f t="shared" si="1"/>
        <v>-4.51</v>
      </c>
      <c r="I67" s="23"/>
      <c r="J67" s="7"/>
      <c r="K67" s="7"/>
      <c r="L67" s="24"/>
      <c r="M67" s="11" t="s">
        <v>154</v>
      </c>
    </row>
    <row r="68" spans="1:13">
      <c r="A68" s="81" t="s">
        <v>98</v>
      </c>
      <c r="B68">
        <v>-3.3443285999999999</v>
      </c>
      <c r="C68" s="71"/>
      <c r="D68" s="12">
        <v>0.18695478693957188</v>
      </c>
      <c r="E68" s="10">
        <v>3</v>
      </c>
      <c r="F68" s="10">
        <v>252.99999999999997</v>
      </c>
      <c r="G68" s="6">
        <v>2.35</v>
      </c>
      <c r="H68" s="14">
        <f t="shared" si="1"/>
        <v>-4.13</v>
      </c>
      <c r="I68" s="23"/>
      <c r="J68" s="7"/>
      <c r="K68" s="7"/>
      <c r="L68" s="24"/>
      <c r="M68" s="11" t="s">
        <v>155</v>
      </c>
    </row>
    <row r="69" spans="1:13">
      <c r="A69" s="83" t="s">
        <v>156</v>
      </c>
      <c r="B69">
        <v>-3.4794111000000001</v>
      </c>
      <c r="C69" s="71"/>
      <c r="D69" s="12">
        <v>0.20491085989689112</v>
      </c>
      <c r="E69" s="10">
        <v>23</v>
      </c>
      <c r="F69" s="10">
        <v>111.00000000000001</v>
      </c>
      <c r="G69" s="6">
        <v>3.68</v>
      </c>
      <c r="H69" s="14">
        <f t="shared" si="1"/>
        <v>-4.04</v>
      </c>
      <c r="I69" s="23"/>
      <c r="J69" s="7"/>
      <c r="K69" s="7"/>
      <c r="L69" s="24"/>
      <c r="M69" s="11" t="s">
        <v>157</v>
      </c>
    </row>
    <row r="70" spans="1:13">
      <c r="A70" s="81" t="s">
        <v>158</v>
      </c>
      <c r="B70">
        <v>-4.0005306999999997</v>
      </c>
      <c r="C70" s="71"/>
      <c r="D70" s="12">
        <v>0.15545016183846921</v>
      </c>
      <c r="E70" s="10">
        <v>6</v>
      </c>
      <c r="F70" s="10">
        <v>250</v>
      </c>
      <c r="G70" s="6">
        <v>-0.04</v>
      </c>
      <c r="H70" s="14">
        <f t="shared" si="1"/>
        <v>-1.71</v>
      </c>
      <c r="I70" s="23"/>
      <c r="J70" s="7"/>
      <c r="K70" s="7"/>
      <c r="L70" s="24"/>
      <c r="M70" s="11" t="s">
        <v>159</v>
      </c>
    </row>
    <row r="71" spans="1:13">
      <c r="A71" s="82" t="s">
        <v>160</v>
      </c>
      <c r="B71">
        <v>-1.5955569999999999</v>
      </c>
      <c r="C71" s="71"/>
      <c r="D71" s="12">
        <v>0.13261436390895148</v>
      </c>
      <c r="E71" s="10">
        <v>3</v>
      </c>
      <c r="F71" s="10">
        <v>250</v>
      </c>
      <c r="G71" s="6">
        <v>-1.97</v>
      </c>
      <c r="H71" s="14">
        <f t="shared" si="1"/>
        <v>0.21999999999999975</v>
      </c>
      <c r="I71" s="23"/>
      <c r="J71" s="7"/>
      <c r="K71" s="7"/>
      <c r="L71" s="24"/>
      <c r="M71" s="11" t="s">
        <v>161</v>
      </c>
    </row>
    <row r="72" spans="1:13">
      <c r="A72" s="82" t="s">
        <v>162</v>
      </c>
      <c r="B72">
        <v>-2.596835</v>
      </c>
      <c r="C72" s="71"/>
      <c r="D72" s="12">
        <v>0.21159815676624968</v>
      </c>
      <c r="E72" s="10">
        <v>9</v>
      </c>
      <c r="F72" s="10">
        <v>208.5</v>
      </c>
      <c r="G72" s="6">
        <v>2.08</v>
      </c>
      <c r="H72" s="14">
        <f t="shared" si="1"/>
        <v>-3.415</v>
      </c>
      <c r="I72" s="23"/>
      <c r="J72" s="7"/>
      <c r="K72" s="7"/>
      <c r="L72" s="24"/>
      <c r="M72" s="11" t="s">
        <v>163</v>
      </c>
    </row>
    <row r="73" spans="1:13">
      <c r="A73" s="82" t="s">
        <v>164</v>
      </c>
      <c r="B73">
        <v>-3.9584893999999999</v>
      </c>
      <c r="C73" s="71"/>
      <c r="D73" s="12">
        <v>0.1900151243705871</v>
      </c>
      <c r="E73" s="10">
        <v>15</v>
      </c>
      <c r="F73" s="10">
        <v>220.00000000000003</v>
      </c>
      <c r="G73" s="6">
        <v>2.69</v>
      </c>
      <c r="H73" s="14">
        <f t="shared" si="1"/>
        <v>-4.1400000000000006</v>
      </c>
      <c r="I73" s="23"/>
      <c r="J73" s="7"/>
      <c r="K73" s="7"/>
      <c r="L73" s="24"/>
      <c r="M73" s="11" t="s">
        <v>165</v>
      </c>
    </row>
    <row r="74" spans="1:13">
      <c r="A74" s="82" t="s">
        <v>166</v>
      </c>
      <c r="B74">
        <v>-4.0629663000000003</v>
      </c>
      <c r="C74" s="71"/>
      <c r="D74" s="12">
        <v>0.16978183023026608</v>
      </c>
      <c r="E74" s="10">
        <v>10</v>
      </c>
      <c r="F74" s="10">
        <v>151</v>
      </c>
      <c r="G74" s="6">
        <v>4.43</v>
      </c>
      <c r="H74" s="14">
        <f t="shared" si="1"/>
        <v>-5.1899999999999995</v>
      </c>
      <c r="I74" s="23"/>
      <c r="J74" s="7"/>
      <c r="K74" s="7"/>
      <c r="L74" s="24"/>
      <c r="M74" s="11" t="s">
        <v>167</v>
      </c>
    </row>
    <row r="75" spans="1:13">
      <c r="A75" s="83" t="s">
        <v>100</v>
      </c>
      <c r="B75">
        <v>-3.9668269999999999</v>
      </c>
      <c r="C75" s="71"/>
      <c r="D75" s="12">
        <v>0.19416214604145643</v>
      </c>
      <c r="E75" s="10">
        <v>7</v>
      </c>
      <c r="F75" s="10">
        <v>154.5</v>
      </c>
      <c r="G75" s="6">
        <v>4.22</v>
      </c>
      <c r="H75" s="14">
        <f t="shared" si="1"/>
        <v>-5.0149999999999997</v>
      </c>
      <c r="I75" s="23"/>
      <c r="J75" s="7"/>
      <c r="K75" s="7"/>
      <c r="L75" s="24"/>
      <c r="M75" s="11" t="s">
        <v>168</v>
      </c>
    </row>
    <row r="76" spans="1:13">
      <c r="A76" s="82" t="s">
        <v>169</v>
      </c>
      <c r="B76">
        <v>-1.9990391999999999</v>
      </c>
      <c r="C76" s="71"/>
      <c r="D76" s="12">
        <v>0.16048013551961601</v>
      </c>
      <c r="E76" s="10">
        <v>5</v>
      </c>
      <c r="F76" s="10">
        <v>167.75</v>
      </c>
      <c r="G76" s="6">
        <v>2.87</v>
      </c>
      <c r="H76" s="14">
        <f t="shared" si="1"/>
        <v>-3.7975000000000003</v>
      </c>
      <c r="I76" s="23"/>
      <c r="J76" s="7"/>
      <c r="K76" s="7"/>
      <c r="L76" s="24"/>
      <c r="M76" s="11" t="s">
        <v>170</v>
      </c>
    </row>
    <row r="77" spans="1:13">
      <c r="A77" s="84" t="s">
        <v>171</v>
      </c>
      <c r="B77">
        <v>-4.4197582999999998</v>
      </c>
      <c r="C77" s="72"/>
      <c r="D77" s="4">
        <v>0.22239504833634874</v>
      </c>
      <c r="E77" s="2">
        <v>21</v>
      </c>
      <c r="F77" s="10">
        <v>159</v>
      </c>
      <c r="G77" s="6">
        <v>3.93</v>
      </c>
      <c r="H77" s="14">
        <f t="shared" si="1"/>
        <v>-4.7700000000000005</v>
      </c>
      <c r="I77" s="23"/>
      <c r="J77" s="7"/>
      <c r="K77" s="7"/>
      <c r="L77" s="24"/>
      <c r="M77" s="11" t="s">
        <v>172</v>
      </c>
    </row>
    <row r="78" spans="1:13">
      <c r="A78" s="82" t="s">
        <v>173</v>
      </c>
      <c r="B78">
        <v>-3.3600612000000001</v>
      </c>
      <c r="C78" s="71"/>
      <c r="D78" s="12">
        <v>0.21209434799218393</v>
      </c>
      <c r="E78" s="10">
        <v>5</v>
      </c>
      <c r="F78" s="10">
        <v>213.49999999999997</v>
      </c>
      <c r="G78" s="6">
        <v>3.04</v>
      </c>
      <c r="H78" s="14">
        <f t="shared" si="1"/>
        <v>-4.4249999999999998</v>
      </c>
      <c r="I78" s="23"/>
      <c r="J78" s="7"/>
      <c r="K78" s="7"/>
      <c r="L78" s="24"/>
      <c r="M78" s="11" t="s">
        <v>174</v>
      </c>
    </row>
    <row r="79" spans="1:13">
      <c r="A79" s="82" t="s">
        <v>175</v>
      </c>
      <c r="B79">
        <v>-2.8127718000000002</v>
      </c>
      <c r="C79" s="71"/>
      <c r="D79" s="12">
        <v>0.1407224156406931</v>
      </c>
      <c r="E79" s="10">
        <v>11</v>
      </c>
      <c r="F79" s="10">
        <v>146</v>
      </c>
      <c r="G79" s="6">
        <v>4.21</v>
      </c>
      <c r="H79" s="14">
        <f t="shared" si="1"/>
        <v>-4.92</v>
      </c>
      <c r="I79" s="23"/>
      <c r="J79" s="7"/>
      <c r="K79" s="7"/>
      <c r="L79" s="24"/>
      <c r="M79" s="11" t="s">
        <v>176</v>
      </c>
    </row>
    <row r="80" spans="1:13">
      <c r="A80" s="82" t="s">
        <v>177</v>
      </c>
      <c r="B80">
        <v>-3.3857664999999999</v>
      </c>
      <c r="C80" s="71"/>
      <c r="D80" s="12">
        <v>0.21748916450754371</v>
      </c>
      <c r="E80" s="10">
        <v>5</v>
      </c>
      <c r="F80" s="10">
        <v>92.333333333333329</v>
      </c>
      <c r="G80" s="6">
        <v>4.21</v>
      </c>
      <c r="H80" s="14">
        <f t="shared" si="1"/>
        <v>-4.3833333333333329</v>
      </c>
      <c r="I80" s="23"/>
      <c r="J80" s="7"/>
      <c r="K80" s="7"/>
      <c r="L80" s="24"/>
      <c r="M80" s="11" t="s">
        <v>178</v>
      </c>
    </row>
    <row r="81" spans="1:13">
      <c r="A81" s="81" t="s">
        <v>179</v>
      </c>
      <c r="B81">
        <v>-3.2676023999999999</v>
      </c>
      <c r="C81" s="71"/>
      <c r="D81" s="12">
        <v>0.20531013145176411</v>
      </c>
      <c r="E81" s="10">
        <v>8</v>
      </c>
      <c r="F81" s="10">
        <v>256</v>
      </c>
      <c r="G81" s="6">
        <v>2.71</v>
      </c>
      <c r="H81" s="14">
        <f t="shared" si="1"/>
        <v>-4.5199999999999996</v>
      </c>
      <c r="I81" s="23"/>
      <c r="J81" s="7"/>
      <c r="K81" s="7"/>
      <c r="L81" s="24"/>
      <c r="M81" s="11" t="s">
        <v>180</v>
      </c>
    </row>
    <row r="82" spans="1:13">
      <c r="A82" s="81" t="s">
        <v>181</v>
      </c>
      <c r="B82">
        <v>-3.66045</v>
      </c>
      <c r="C82" s="71"/>
      <c r="D82" s="12">
        <v>0.21176785142223761</v>
      </c>
      <c r="E82" s="10">
        <v>3</v>
      </c>
      <c r="F82" s="10">
        <v>80</v>
      </c>
      <c r="G82" s="6">
        <v>3.37</v>
      </c>
      <c r="H82" s="14">
        <f t="shared" si="1"/>
        <v>-3.42</v>
      </c>
      <c r="I82" s="23"/>
      <c r="J82" s="7"/>
      <c r="K82" s="7"/>
      <c r="L82" s="24"/>
      <c r="M82" s="11" t="s">
        <v>182</v>
      </c>
    </row>
    <row r="83" spans="1:13">
      <c r="A83" s="81" t="s">
        <v>183</v>
      </c>
      <c r="B83">
        <v>-3.1797442</v>
      </c>
      <c r="C83" s="71"/>
      <c r="D83" s="12">
        <v>0.16217657762412213</v>
      </c>
      <c r="E83" s="10">
        <v>17</v>
      </c>
      <c r="F83" s="10">
        <v>153</v>
      </c>
      <c r="G83" s="6">
        <v>3.04</v>
      </c>
      <c r="H83" s="14">
        <f t="shared" si="1"/>
        <v>-3.8200000000000003</v>
      </c>
      <c r="I83" s="23"/>
      <c r="J83" s="7"/>
      <c r="K83" s="7"/>
      <c r="L83" s="24"/>
      <c r="M83" s="11" t="s">
        <v>184</v>
      </c>
    </row>
    <row r="84" spans="1:13">
      <c r="A84" s="82" t="s">
        <v>185</v>
      </c>
      <c r="B84">
        <v>-3.557788</v>
      </c>
      <c r="C84" s="71"/>
      <c r="D84" s="12">
        <v>0.20448827496623867</v>
      </c>
      <c r="E84" s="10">
        <v>3</v>
      </c>
      <c r="F84" s="10">
        <v>349.84</v>
      </c>
      <c r="G84" s="6">
        <v>4.75</v>
      </c>
      <c r="H84" s="14">
        <f t="shared" si="1"/>
        <v>-7.4984000000000002</v>
      </c>
      <c r="I84" s="23"/>
      <c r="J84" s="7"/>
      <c r="K84" s="7"/>
      <c r="L84" s="24"/>
      <c r="M84" s="11" t="s">
        <v>186</v>
      </c>
    </row>
    <row r="85" spans="1:13">
      <c r="A85" s="82" t="s">
        <v>187</v>
      </c>
      <c r="B85">
        <v>-2.8143227</v>
      </c>
      <c r="C85" s="71"/>
      <c r="D85" s="12">
        <v>0.14358294446577732</v>
      </c>
      <c r="E85" s="10">
        <v>6</v>
      </c>
      <c r="F85" s="10">
        <v>248</v>
      </c>
      <c r="G85" s="6">
        <v>2.65</v>
      </c>
      <c r="H85" s="14">
        <f t="shared" si="1"/>
        <v>-4.38</v>
      </c>
      <c r="I85" s="23"/>
      <c r="J85" s="7"/>
      <c r="K85" s="7"/>
      <c r="L85" s="24"/>
      <c r="M85" s="11" t="s">
        <v>188</v>
      </c>
    </row>
    <row r="86" spans="1:13">
      <c r="A86" s="82" t="s">
        <v>189</v>
      </c>
      <c r="B86">
        <v>-2.7042519999999999</v>
      </c>
      <c r="C86" s="71"/>
      <c r="D86" s="12">
        <v>0.15384096988991314</v>
      </c>
      <c r="E86" s="10">
        <v>11</v>
      </c>
      <c r="F86" s="10">
        <v>173</v>
      </c>
      <c r="G86" s="6">
        <v>2.1800000000000002</v>
      </c>
      <c r="H86" s="14">
        <f t="shared" si="1"/>
        <v>-3.16</v>
      </c>
      <c r="I86" s="23"/>
      <c r="J86" s="7"/>
      <c r="K86" s="7"/>
      <c r="L86" s="24"/>
      <c r="M86" s="11" t="s">
        <v>190</v>
      </c>
    </row>
    <row r="87" spans="1:13">
      <c r="A87" s="82" t="s">
        <v>191</v>
      </c>
      <c r="B87">
        <v>-3.1940827000000001</v>
      </c>
      <c r="C87" s="71"/>
      <c r="D87" s="12">
        <v>0.14176528631434945</v>
      </c>
      <c r="E87" s="10">
        <v>5</v>
      </c>
      <c r="F87" s="10">
        <v>143.75</v>
      </c>
      <c r="G87" s="6">
        <v>2.76</v>
      </c>
      <c r="H87" s="14">
        <f t="shared" ref="H87:H118" si="2">0.5-G87-0.01*(F87-25)</f>
        <v>-3.4474999999999998</v>
      </c>
      <c r="I87" s="23"/>
      <c r="J87" s="7"/>
      <c r="K87" s="7"/>
      <c r="L87" s="24"/>
      <c r="M87" s="11" t="s">
        <v>192</v>
      </c>
    </row>
    <row r="88" spans="1:13">
      <c r="A88" s="82" t="s">
        <v>193</v>
      </c>
      <c r="B88">
        <v>-2.3319866999999999</v>
      </c>
      <c r="C88" s="71"/>
      <c r="D88" s="12">
        <v>0.16213928191469343</v>
      </c>
      <c r="E88" s="10">
        <v>19</v>
      </c>
      <c r="F88" s="10">
        <v>220.5</v>
      </c>
      <c r="G88" s="6">
        <v>1.27</v>
      </c>
      <c r="H88" s="14">
        <f t="shared" si="2"/>
        <v>-2.7250000000000001</v>
      </c>
      <c r="I88" s="23"/>
      <c r="J88" s="7"/>
      <c r="K88" s="7"/>
      <c r="L88" s="24"/>
      <c r="M88" s="11" t="s">
        <v>194</v>
      </c>
    </row>
    <row r="89" spans="1:13">
      <c r="A89" s="82" t="s">
        <v>195</v>
      </c>
      <c r="B89">
        <v>-3.6470069999999999</v>
      </c>
      <c r="C89" s="71"/>
      <c r="D89" s="12">
        <v>0.16127920198135692</v>
      </c>
      <c r="E89" s="10">
        <v>5</v>
      </c>
      <c r="F89" s="10">
        <v>214</v>
      </c>
      <c r="G89" s="6">
        <v>3.83</v>
      </c>
      <c r="H89" s="14">
        <f t="shared" si="2"/>
        <v>-5.2200000000000006</v>
      </c>
      <c r="I89" s="23"/>
      <c r="J89" s="7"/>
      <c r="K89" s="7"/>
      <c r="L89" s="24"/>
      <c r="M89" s="11" t="s">
        <v>196</v>
      </c>
    </row>
    <row r="90" spans="1:13">
      <c r="A90" s="83" t="s">
        <v>197</v>
      </c>
      <c r="B90">
        <v>-2.7456640000000001</v>
      </c>
      <c r="C90" s="71"/>
      <c r="D90" s="12">
        <v>0.13869006117838048</v>
      </c>
      <c r="E90" s="10">
        <v>3</v>
      </c>
      <c r="F90" s="10">
        <v>176</v>
      </c>
      <c r="G90" s="6">
        <v>2.88</v>
      </c>
      <c r="H90" s="14">
        <f t="shared" si="2"/>
        <v>-3.8899999999999997</v>
      </c>
      <c r="I90" s="23"/>
      <c r="J90" s="7"/>
      <c r="K90" s="7"/>
      <c r="L90" s="24"/>
      <c r="M90" s="11" t="s">
        <v>198</v>
      </c>
    </row>
    <row r="91" spans="1:13">
      <c r="A91" s="85" t="s">
        <v>199</v>
      </c>
      <c r="B91">
        <v>-1.5996338999999999</v>
      </c>
      <c r="C91" s="72"/>
      <c r="D91" s="4">
        <v>0.1259834086188602</v>
      </c>
      <c r="E91" s="2">
        <v>14</v>
      </c>
      <c r="F91" s="10">
        <v>253.5</v>
      </c>
      <c r="G91" s="6">
        <v>1.54</v>
      </c>
      <c r="H91" s="14">
        <f t="shared" si="2"/>
        <v>-3.3250000000000002</v>
      </c>
      <c r="I91" s="23"/>
      <c r="J91" s="7"/>
      <c r="K91" s="7"/>
      <c r="L91" s="24"/>
      <c r="M91" s="11" t="s">
        <v>200</v>
      </c>
    </row>
    <row r="92" spans="1:13">
      <c r="A92" s="82" t="s">
        <v>201</v>
      </c>
      <c r="B92">
        <v>-3.3717915999999999</v>
      </c>
      <c r="C92" s="71"/>
      <c r="D92" s="12">
        <v>0.16504944177542516</v>
      </c>
      <c r="E92" s="10">
        <v>5</v>
      </c>
      <c r="F92" s="10">
        <v>205.50000000000003</v>
      </c>
      <c r="G92" s="6">
        <v>2.4500000000000002</v>
      </c>
      <c r="H92" s="14">
        <f t="shared" si="2"/>
        <v>-3.7550000000000008</v>
      </c>
      <c r="I92" s="23"/>
      <c r="J92" s="7"/>
      <c r="K92" s="7"/>
      <c r="L92" s="24"/>
      <c r="M92" s="11" t="s">
        <v>202</v>
      </c>
    </row>
    <row r="93" spans="1:13">
      <c r="A93" s="83" t="s">
        <v>203</v>
      </c>
      <c r="B93">
        <v>-3.0548953999999999</v>
      </c>
      <c r="C93" s="71"/>
      <c r="D93" s="12">
        <v>0.19426266518058349</v>
      </c>
      <c r="E93" s="10">
        <v>3</v>
      </c>
      <c r="F93" s="10">
        <v>96</v>
      </c>
      <c r="G93" s="6">
        <v>3.49</v>
      </c>
      <c r="H93" s="14">
        <f t="shared" si="2"/>
        <v>-3.7</v>
      </c>
      <c r="I93" s="23"/>
      <c r="J93" s="7"/>
      <c r="K93" s="7"/>
      <c r="L93" s="24"/>
      <c r="M93" s="11" t="s">
        <v>204</v>
      </c>
    </row>
    <row r="94" spans="1:13">
      <c r="A94" s="82" t="s">
        <v>205</v>
      </c>
      <c r="B94">
        <v>-3.8392577000000001</v>
      </c>
      <c r="C94" s="71"/>
      <c r="D94" s="12">
        <v>0.18894337149737056</v>
      </c>
      <c r="E94" s="10">
        <v>12</v>
      </c>
      <c r="F94" s="10">
        <v>147.25</v>
      </c>
      <c r="G94" s="6">
        <v>3.86</v>
      </c>
      <c r="H94" s="14">
        <f t="shared" si="2"/>
        <v>-4.5824999999999996</v>
      </c>
      <c r="I94" s="23"/>
      <c r="J94" s="7"/>
      <c r="K94" s="7"/>
      <c r="L94" s="24"/>
      <c r="M94" s="11" t="s">
        <v>206</v>
      </c>
    </row>
    <row r="95" spans="1:13">
      <c r="A95" s="82" t="s">
        <v>207</v>
      </c>
      <c r="B95">
        <v>-3.4649133999999999</v>
      </c>
      <c r="C95" s="71"/>
      <c r="D95" s="12">
        <v>0.17391407185160324</v>
      </c>
      <c r="E95" s="10">
        <v>6</v>
      </c>
      <c r="F95" s="10">
        <v>97</v>
      </c>
      <c r="G95" s="6">
        <v>3.94</v>
      </c>
      <c r="H95" s="14">
        <f t="shared" si="2"/>
        <v>-4.16</v>
      </c>
      <c r="I95" s="23"/>
      <c r="J95" s="7"/>
      <c r="K95" s="7"/>
      <c r="L95" s="24"/>
      <c r="M95" s="11" t="s">
        <v>208</v>
      </c>
    </row>
    <row r="96" spans="1:13">
      <c r="A96" s="81" t="s">
        <v>209</v>
      </c>
      <c r="B96">
        <v>-1.8238141999999999</v>
      </c>
      <c r="C96" s="71"/>
      <c r="D96" s="12">
        <v>0.13764369691033657</v>
      </c>
      <c r="E96" s="10">
        <v>10</v>
      </c>
      <c r="F96" s="10">
        <v>134.5</v>
      </c>
      <c r="G96" s="6">
        <v>2.04</v>
      </c>
      <c r="H96" s="14">
        <f t="shared" si="2"/>
        <v>-2.6349999999999998</v>
      </c>
      <c r="I96" s="23"/>
      <c r="J96" s="7"/>
      <c r="K96" s="7"/>
      <c r="L96" s="24"/>
      <c r="M96" s="11" t="s">
        <v>210</v>
      </c>
    </row>
    <row r="97" spans="1:13">
      <c r="A97" s="82" t="s">
        <v>211</v>
      </c>
      <c r="B97">
        <v>-2.4817010000000002</v>
      </c>
      <c r="C97" s="71"/>
      <c r="D97" s="12">
        <v>0.16245746888591447</v>
      </c>
      <c r="E97" s="10">
        <v>7</v>
      </c>
      <c r="F97" s="10">
        <v>139</v>
      </c>
      <c r="G97" s="6">
        <v>2.66</v>
      </c>
      <c r="H97" s="14">
        <f t="shared" si="2"/>
        <v>-3.3000000000000003</v>
      </c>
      <c r="I97" s="23"/>
      <c r="J97" s="7"/>
      <c r="K97" s="7"/>
      <c r="L97" s="24"/>
      <c r="M97" s="11" t="s">
        <v>212</v>
      </c>
    </row>
    <row r="98" spans="1:13">
      <c r="A98" s="82" t="s">
        <v>213</v>
      </c>
      <c r="B98">
        <v>-2.3878634000000001</v>
      </c>
      <c r="C98" s="71"/>
      <c r="D98" s="12">
        <v>0.15322122505052199</v>
      </c>
      <c r="E98" s="10">
        <v>9</v>
      </c>
      <c r="F98" s="10">
        <v>170</v>
      </c>
      <c r="G98" s="6">
        <v>1.91</v>
      </c>
      <c r="H98" s="14">
        <f t="shared" si="2"/>
        <v>-2.86</v>
      </c>
      <c r="I98" s="23"/>
      <c r="J98" s="7"/>
      <c r="K98" s="7"/>
      <c r="L98" s="24"/>
      <c r="M98" s="11" t="s">
        <v>214</v>
      </c>
    </row>
    <row r="99" spans="1:13">
      <c r="A99" s="81" t="s">
        <v>215</v>
      </c>
      <c r="B99">
        <v>-2.6887566999999999</v>
      </c>
      <c r="C99" s="71"/>
      <c r="D99" s="12">
        <v>0.15273607916541068</v>
      </c>
      <c r="E99" s="10">
        <v>10</v>
      </c>
      <c r="F99" s="10">
        <v>326</v>
      </c>
      <c r="G99" s="6">
        <v>2.44</v>
      </c>
      <c r="H99" s="14">
        <f t="shared" si="2"/>
        <v>-4.95</v>
      </c>
      <c r="I99" s="23"/>
      <c r="J99" s="7"/>
      <c r="K99" s="7"/>
      <c r="L99" s="24"/>
      <c r="M99" s="11" t="s">
        <v>216</v>
      </c>
    </row>
    <row r="100" spans="1:13">
      <c r="A100" s="82" t="s">
        <v>217</v>
      </c>
      <c r="B100">
        <v>-2.9488553999999998</v>
      </c>
      <c r="C100" s="71"/>
      <c r="D100" s="12">
        <v>0.18404701512102448</v>
      </c>
      <c r="E100" s="10">
        <v>5</v>
      </c>
      <c r="F100" s="10">
        <v>232.50000000000003</v>
      </c>
      <c r="G100" s="6">
        <v>1.8</v>
      </c>
      <c r="H100" s="14">
        <f t="shared" si="2"/>
        <v>-3.375</v>
      </c>
      <c r="I100" s="23"/>
      <c r="J100" s="7"/>
      <c r="K100" s="7"/>
      <c r="L100" s="24"/>
      <c r="M100" s="11" t="s">
        <v>218</v>
      </c>
    </row>
    <row r="101" spans="1:13">
      <c r="A101" s="82" t="s">
        <v>219</v>
      </c>
      <c r="B101">
        <v>-1.6409092000000001</v>
      </c>
      <c r="C101" s="71"/>
      <c r="D101" s="12">
        <v>0.13604063752604376</v>
      </c>
      <c r="E101" s="10">
        <v>4</v>
      </c>
      <c r="F101" s="10">
        <v>281.5</v>
      </c>
      <c r="G101" s="6">
        <v>0.54</v>
      </c>
      <c r="H101" s="14">
        <f t="shared" si="2"/>
        <v>-2.605</v>
      </c>
      <c r="I101" s="23"/>
      <c r="J101" s="7"/>
      <c r="K101" s="7"/>
      <c r="L101" s="24"/>
      <c r="M101" s="11" t="s">
        <v>220</v>
      </c>
    </row>
    <row r="102" spans="1:13">
      <c r="A102" s="82" t="s">
        <v>221</v>
      </c>
      <c r="B102">
        <v>-2.7619514000000001</v>
      </c>
      <c r="C102" s="71"/>
      <c r="D102" s="12">
        <v>0.19798964803022484</v>
      </c>
      <c r="E102" s="10">
        <v>4</v>
      </c>
      <c r="F102" s="10">
        <v>197.1</v>
      </c>
      <c r="G102" s="6">
        <v>2.2000000000000002</v>
      </c>
      <c r="H102" s="14">
        <f t="shared" si="2"/>
        <v>-3.4210000000000003</v>
      </c>
      <c r="I102" s="23"/>
      <c r="J102" s="7"/>
      <c r="K102" s="7"/>
      <c r="L102" s="24"/>
      <c r="M102" s="11" t="s">
        <v>222</v>
      </c>
    </row>
    <row r="103" spans="1:13">
      <c r="A103" s="83" t="s">
        <v>223</v>
      </c>
      <c r="B103">
        <v>-3.5593987</v>
      </c>
      <c r="C103" s="71"/>
      <c r="D103" s="12">
        <v>0.13486720020739137</v>
      </c>
      <c r="E103" s="10">
        <v>4</v>
      </c>
      <c r="F103" s="10">
        <v>33</v>
      </c>
      <c r="G103" s="6">
        <v>4.24</v>
      </c>
      <c r="H103" s="14">
        <f t="shared" si="2"/>
        <v>-3.8200000000000003</v>
      </c>
      <c r="I103" s="23"/>
      <c r="J103" s="7"/>
      <c r="K103" s="7"/>
      <c r="L103" s="24"/>
      <c r="M103" s="11" t="s">
        <v>224</v>
      </c>
    </row>
    <row r="104" spans="1:13">
      <c r="A104" s="82" t="s">
        <v>225</v>
      </c>
      <c r="B104">
        <v>-3.5550594000000002</v>
      </c>
      <c r="C104" s="71"/>
      <c r="D104" s="12">
        <v>0.18801274760604275</v>
      </c>
      <c r="E104" s="10">
        <v>11</v>
      </c>
      <c r="F104" s="10">
        <v>60</v>
      </c>
      <c r="G104" s="6">
        <v>4.24</v>
      </c>
      <c r="H104" s="14">
        <f t="shared" si="2"/>
        <v>-4.09</v>
      </c>
      <c r="I104" s="23"/>
      <c r="J104" s="7"/>
      <c r="K104" s="7"/>
      <c r="L104" s="24"/>
      <c r="M104" s="11" t="s">
        <v>226</v>
      </c>
    </row>
    <row r="105" spans="1:13">
      <c r="A105" s="82" t="s">
        <v>227</v>
      </c>
      <c r="B105">
        <v>-3.2746642000000001</v>
      </c>
      <c r="C105" s="71"/>
      <c r="D105" s="12">
        <v>0.1664014074224209</v>
      </c>
      <c r="E105" s="10">
        <v>4</v>
      </c>
      <c r="F105" s="10">
        <v>130.5</v>
      </c>
      <c r="G105" s="6">
        <v>5.22</v>
      </c>
      <c r="H105" s="14">
        <f t="shared" si="2"/>
        <v>-5.7749999999999995</v>
      </c>
      <c r="I105" s="23"/>
      <c r="J105" s="7"/>
      <c r="K105" s="7"/>
      <c r="L105" s="24"/>
      <c r="M105" s="11" t="s">
        <v>228</v>
      </c>
    </row>
    <row r="106" spans="1:13">
      <c r="A106" s="83" t="s">
        <v>103</v>
      </c>
      <c r="B106">
        <v>-3.0565220000000002</v>
      </c>
      <c r="C106" s="71"/>
      <c r="D106" s="12">
        <v>0.17506472136100007</v>
      </c>
      <c r="E106" s="10">
        <v>7</v>
      </c>
      <c r="F106" s="10">
        <v>254</v>
      </c>
      <c r="G106" s="6">
        <v>2.97</v>
      </c>
      <c r="H106" s="14">
        <f t="shared" si="2"/>
        <v>-4.76</v>
      </c>
      <c r="I106" s="23"/>
      <c r="J106" s="7"/>
      <c r="K106" s="7"/>
      <c r="L106" s="24"/>
      <c r="M106" s="11" t="s">
        <v>229</v>
      </c>
    </row>
    <row r="107" spans="1:13">
      <c r="A107" s="83" t="s">
        <v>230</v>
      </c>
      <c r="B107">
        <v>-3.9768162</v>
      </c>
      <c r="C107" s="71"/>
      <c r="D107" s="12">
        <v>0.1605416460069265</v>
      </c>
      <c r="E107" s="10">
        <v>5</v>
      </c>
      <c r="F107" s="10">
        <v>121</v>
      </c>
      <c r="G107" s="6">
        <v>5.91</v>
      </c>
      <c r="H107" s="14">
        <f t="shared" si="2"/>
        <v>-6.37</v>
      </c>
      <c r="I107" s="23"/>
      <c r="J107" s="7"/>
      <c r="K107" s="7"/>
      <c r="L107" s="24"/>
      <c r="M107" s="11" t="s">
        <v>231</v>
      </c>
    </row>
    <row r="108" spans="1:13">
      <c r="A108" s="82" t="s">
        <v>232</v>
      </c>
      <c r="B108">
        <v>-3.49993</v>
      </c>
      <c r="C108" s="71"/>
      <c r="D108" s="12">
        <v>0.15756984748208766</v>
      </c>
      <c r="E108" s="10">
        <v>5</v>
      </c>
      <c r="F108" s="10">
        <v>206.99999999999997</v>
      </c>
      <c r="G108" s="6">
        <v>2.56</v>
      </c>
      <c r="H108" s="14">
        <f t="shared" si="2"/>
        <v>-3.88</v>
      </c>
      <c r="I108" s="23"/>
      <c r="J108" s="7"/>
      <c r="K108" s="7"/>
      <c r="L108" s="24"/>
      <c r="M108" s="11" t="s">
        <v>233</v>
      </c>
    </row>
    <row r="109" spans="1:13">
      <c r="A109" s="81" t="s">
        <v>234</v>
      </c>
      <c r="B109">
        <v>-3.1666669999999999</v>
      </c>
      <c r="C109" s="71"/>
      <c r="D109" s="12">
        <v>0.16160362353179636</v>
      </c>
      <c r="E109" s="10">
        <v>6</v>
      </c>
      <c r="F109" s="10">
        <v>134.5</v>
      </c>
      <c r="G109" s="6">
        <v>4.8499999999999996</v>
      </c>
      <c r="H109" s="14">
        <f t="shared" si="2"/>
        <v>-5.4449999999999994</v>
      </c>
      <c r="I109" s="23"/>
      <c r="J109" s="7"/>
      <c r="K109" s="7"/>
      <c r="L109" s="24"/>
      <c r="M109" s="11" t="s">
        <v>235</v>
      </c>
    </row>
    <row r="110" spans="1:13">
      <c r="A110" s="81" t="s">
        <v>236</v>
      </c>
      <c r="B110">
        <v>-2.4001926999999998</v>
      </c>
      <c r="C110" s="71"/>
      <c r="D110" s="12">
        <v>0.18685765827673947</v>
      </c>
      <c r="E110" s="10">
        <v>6</v>
      </c>
      <c r="F110" s="10">
        <v>275</v>
      </c>
      <c r="G110" s="6">
        <v>2.09</v>
      </c>
      <c r="H110" s="14">
        <f t="shared" si="2"/>
        <v>-4.09</v>
      </c>
      <c r="I110" s="23"/>
      <c r="J110" s="7"/>
      <c r="K110" s="7"/>
      <c r="L110" s="24"/>
      <c r="M110" s="11" t="s">
        <v>237</v>
      </c>
    </row>
    <row r="111" spans="1:13">
      <c r="A111" s="82" t="s">
        <v>238</v>
      </c>
      <c r="B111">
        <v>-3.0814295</v>
      </c>
      <c r="C111" s="71"/>
      <c r="D111" s="12">
        <v>0.13950112944748669</v>
      </c>
      <c r="E111" s="10">
        <v>9</v>
      </c>
      <c r="F111" s="10">
        <v>220.00000000000003</v>
      </c>
      <c r="G111" s="6">
        <v>1.8</v>
      </c>
      <c r="H111" s="14">
        <f t="shared" si="2"/>
        <v>-3.2500000000000004</v>
      </c>
      <c r="I111" s="23"/>
      <c r="J111" s="7"/>
      <c r="K111" s="7"/>
      <c r="L111" s="24"/>
      <c r="M111" s="11" t="s">
        <v>239</v>
      </c>
    </row>
    <row r="112" spans="1:13">
      <c r="A112" s="85" t="s">
        <v>240</v>
      </c>
      <c r="B112">
        <v>-1.8337087999999999</v>
      </c>
      <c r="C112" s="72"/>
      <c r="D112" s="4">
        <v>0.22014005046870977</v>
      </c>
      <c r="E112" s="2">
        <v>9</v>
      </c>
      <c r="F112" s="10">
        <v>202</v>
      </c>
      <c r="G112" s="6">
        <v>1.53</v>
      </c>
      <c r="H112" s="14">
        <f t="shared" si="2"/>
        <v>-2.8</v>
      </c>
      <c r="I112" s="23"/>
      <c r="J112" s="7"/>
      <c r="K112" s="7"/>
      <c r="L112" s="24"/>
      <c r="M112" s="11" t="s">
        <v>241</v>
      </c>
    </row>
    <row r="113" spans="1:28">
      <c r="A113" s="82" t="s">
        <v>242</v>
      </c>
      <c r="B113">
        <v>-2.207592</v>
      </c>
      <c r="C113" s="71"/>
      <c r="D113" s="12">
        <v>0.14014083879485537</v>
      </c>
      <c r="E113" s="10">
        <v>3</v>
      </c>
      <c r="F113" s="10">
        <v>243.00000000000003</v>
      </c>
      <c r="G113" s="6">
        <v>1.48</v>
      </c>
      <c r="H113" s="14">
        <f t="shared" si="2"/>
        <v>-3.16</v>
      </c>
      <c r="I113" s="23"/>
      <c r="J113" s="7"/>
      <c r="K113" s="7"/>
      <c r="L113" s="24"/>
      <c r="M113" s="11" t="s">
        <v>243</v>
      </c>
    </row>
    <row r="114" spans="1:28">
      <c r="A114" s="83" t="s">
        <v>244</v>
      </c>
      <c r="B114">
        <v>-2.3297430000000001</v>
      </c>
      <c r="C114" s="71"/>
      <c r="D114" s="12">
        <v>0.13726989684757951</v>
      </c>
      <c r="E114" s="10">
        <v>3</v>
      </c>
      <c r="F114" s="10">
        <v>191</v>
      </c>
      <c r="G114" s="6">
        <v>1.67</v>
      </c>
      <c r="H114" s="14">
        <f t="shared" si="2"/>
        <v>-2.83</v>
      </c>
      <c r="I114" s="23"/>
      <c r="J114" s="7"/>
      <c r="K114" s="7"/>
      <c r="L114" s="24"/>
      <c r="M114" s="11" t="s">
        <v>245</v>
      </c>
    </row>
    <row r="115" spans="1:28">
      <c r="A115" s="82" t="s">
        <v>246</v>
      </c>
      <c r="B115">
        <v>-3.4916209999999999</v>
      </c>
      <c r="C115" s="71"/>
      <c r="D115" s="12">
        <v>0.21357402153711522</v>
      </c>
      <c r="E115" s="10">
        <v>7</v>
      </c>
      <c r="F115" s="10">
        <v>183.5</v>
      </c>
      <c r="G115" s="6">
        <v>4.37</v>
      </c>
      <c r="H115" s="14">
        <f t="shared" si="2"/>
        <v>-5.4550000000000001</v>
      </c>
      <c r="I115" s="23"/>
      <c r="J115" s="7"/>
      <c r="K115" s="7"/>
      <c r="L115" s="24"/>
      <c r="M115" s="11" t="s">
        <v>247</v>
      </c>
    </row>
    <row r="116" spans="1:28">
      <c r="A116" s="82" t="s">
        <v>248</v>
      </c>
      <c r="B116">
        <v>-2.3317522999999998</v>
      </c>
      <c r="C116" s="71"/>
      <c r="D116" s="12">
        <v>0.10564411177747912</v>
      </c>
      <c r="E116" s="10">
        <v>3</v>
      </c>
      <c r="F116" s="10">
        <v>149</v>
      </c>
      <c r="G116" s="6">
        <v>2.62</v>
      </c>
      <c r="H116" s="14">
        <f t="shared" si="2"/>
        <v>-3.3600000000000003</v>
      </c>
      <c r="I116" s="23"/>
      <c r="J116" s="7"/>
      <c r="K116" s="7"/>
      <c r="L116" s="24"/>
      <c r="M116" s="11" t="s">
        <v>249</v>
      </c>
    </row>
    <row r="117" spans="1:28">
      <c r="A117" s="81" t="s">
        <v>250</v>
      </c>
      <c r="B117">
        <v>-2.0941648000000002</v>
      </c>
      <c r="C117" s="71"/>
      <c r="D117" s="12">
        <v>0.14623917640453388</v>
      </c>
      <c r="E117" s="10">
        <v>8</v>
      </c>
      <c r="F117" s="10">
        <v>165</v>
      </c>
      <c r="G117" s="6">
        <v>-0.37</v>
      </c>
      <c r="H117" s="14">
        <f t="shared" si="2"/>
        <v>-0.53000000000000014</v>
      </c>
      <c r="I117" s="23"/>
      <c r="J117" s="7"/>
      <c r="K117" s="7"/>
      <c r="L117" s="24"/>
      <c r="M117" s="11" t="s">
        <v>251</v>
      </c>
    </row>
    <row r="118" spans="1:28">
      <c r="A118" s="82" t="s">
        <v>252</v>
      </c>
      <c r="B118">
        <v>-2.5705705000000001</v>
      </c>
      <c r="C118" s="71"/>
      <c r="D118" s="12">
        <v>0.16291639539032501</v>
      </c>
      <c r="E118" s="10">
        <v>10</v>
      </c>
      <c r="F118" s="10">
        <v>225</v>
      </c>
      <c r="G118" s="6">
        <v>0.81</v>
      </c>
      <c r="H118" s="14">
        <f t="shared" si="2"/>
        <v>-2.31</v>
      </c>
      <c r="I118" s="23"/>
      <c r="J118" s="7"/>
      <c r="K118" s="7"/>
      <c r="L118" s="24"/>
      <c r="M118" s="11" t="s">
        <v>253</v>
      </c>
    </row>
    <row r="119" spans="1:28">
      <c r="A119" s="82" t="s">
        <v>254</v>
      </c>
      <c r="B119">
        <v>-2.7740130000000001</v>
      </c>
      <c r="C119" s="71"/>
      <c r="D119" s="12">
        <v>0.21166647357477791</v>
      </c>
      <c r="E119" s="10">
        <v>5</v>
      </c>
      <c r="F119" s="10">
        <v>270</v>
      </c>
      <c r="G119" s="6">
        <v>0.62</v>
      </c>
      <c r="H119" s="14">
        <f t="shared" ref="H119:H122" si="3">0.5-G119-0.01*(F119-25)</f>
        <v>-2.5700000000000003</v>
      </c>
      <c r="I119" s="23"/>
      <c r="J119" s="7"/>
      <c r="K119" s="7"/>
      <c r="L119" s="24"/>
      <c r="M119" s="11" t="s">
        <v>255</v>
      </c>
    </row>
    <row r="120" spans="1:28">
      <c r="A120" s="81" t="s">
        <v>256</v>
      </c>
      <c r="B120">
        <v>-2.8421979999999998</v>
      </c>
      <c r="C120" s="71"/>
      <c r="D120" s="12">
        <v>0.14175650298978676</v>
      </c>
      <c r="E120" s="10">
        <v>9</v>
      </c>
      <c r="F120" s="10">
        <v>312.66666666666669</v>
      </c>
      <c r="G120" s="6">
        <v>0.83</v>
      </c>
      <c r="H120" s="14">
        <f t="shared" si="3"/>
        <v>-3.206666666666667</v>
      </c>
      <c r="I120" s="23"/>
      <c r="J120" s="7"/>
      <c r="K120" s="7"/>
      <c r="L120" s="24"/>
      <c r="M120" s="11" t="s">
        <v>257</v>
      </c>
    </row>
    <row r="121" spans="1:28">
      <c r="A121" s="82" t="s">
        <v>258</v>
      </c>
      <c r="B121">
        <v>-3.8943070999999998</v>
      </c>
      <c r="C121" s="71"/>
      <c r="D121" s="12">
        <v>0.2034688635346244</v>
      </c>
      <c r="E121" s="10">
        <v>11</v>
      </c>
      <c r="F121" s="10">
        <v>161</v>
      </c>
      <c r="G121" s="6">
        <v>3.61</v>
      </c>
      <c r="H121" s="14">
        <f t="shared" si="3"/>
        <v>-4.47</v>
      </c>
      <c r="I121" s="23"/>
      <c r="J121" s="7"/>
      <c r="K121" s="7"/>
      <c r="L121" s="24"/>
      <c r="M121" s="11" t="s">
        <v>259</v>
      </c>
    </row>
    <row r="122" spans="1:28">
      <c r="A122" s="81" t="s">
        <v>109</v>
      </c>
      <c r="B122">
        <v>-2.5451274000000002</v>
      </c>
      <c r="C122" s="71"/>
      <c r="D122" s="12">
        <v>0.20579636821699754</v>
      </c>
      <c r="E122" s="10">
        <v>3</v>
      </c>
      <c r="F122" s="10">
        <v>300</v>
      </c>
      <c r="G122" s="6">
        <v>-1.06</v>
      </c>
      <c r="H122" s="14">
        <f t="shared" si="3"/>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v>-1.8834131000000001</v>
      </c>
      <c r="C129" s="73" t="s">
        <v>30</v>
      </c>
      <c r="D129" s="12">
        <v>0.50033555401430185</v>
      </c>
      <c r="E129" s="10">
        <v>3</v>
      </c>
      <c r="F129" s="10">
        <v>180</v>
      </c>
      <c r="G129" s="1">
        <v>1.91</v>
      </c>
      <c r="H129" s="14">
        <f t="shared" ref="H129:H160" si="4">0.5-G129-0.01*(F129-25)</f>
        <v>-2.96</v>
      </c>
      <c r="I129" s="53" t="s">
        <v>31</v>
      </c>
      <c r="J129" s="54"/>
      <c r="K129" s="14"/>
      <c r="L129" s="14"/>
      <c r="M129" s="3" t="s">
        <v>269</v>
      </c>
    </row>
    <row r="130" spans="1:13">
      <c r="A130" s="82" t="s">
        <v>270</v>
      </c>
      <c r="B130">
        <v>-4.9489426999999999</v>
      </c>
      <c r="C130" s="73" t="s">
        <v>36</v>
      </c>
      <c r="D130" s="12">
        <v>0.5</v>
      </c>
      <c r="E130" s="6">
        <v>5</v>
      </c>
      <c r="F130" s="10">
        <v>156</v>
      </c>
      <c r="G130" s="1">
        <v>6.94</v>
      </c>
      <c r="H130" s="14">
        <f t="shared" si="4"/>
        <v>-7.75</v>
      </c>
      <c r="I130" s="53" t="s">
        <v>37</v>
      </c>
      <c r="J130" s="54"/>
      <c r="K130" s="14"/>
      <c r="L130" s="14"/>
      <c r="M130" s="3" t="s">
        <v>271</v>
      </c>
    </row>
    <row r="131" spans="1:13">
      <c r="A131" s="83" t="s">
        <v>272</v>
      </c>
      <c r="B131">
        <v>-4.1421250000000001</v>
      </c>
      <c r="C131" s="73" t="s">
        <v>41</v>
      </c>
      <c r="D131" s="12">
        <v>0.6530957900260097</v>
      </c>
      <c r="E131" s="10">
        <v>3</v>
      </c>
      <c r="F131" s="10">
        <v>208</v>
      </c>
      <c r="G131" s="1">
        <v>5.18</v>
      </c>
      <c r="H131" s="14">
        <f t="shared" si="4"/>
        <v>-6.51</v>
      </c>
      <c r="I131" s="53" t="s">
        <v>42</v>
      </c>
      <c r="J131" s="54"/>
      <c r="K131" s="14"/>
      <c r="L131" s="14"/>
      <c r="M131" s="3" t="s">
        <v>273</v>
      </c>
    </row>
    <row r="132" spans="1:13">
      <c r="A132" s="82" t="s">
        <v>274</v>
      </c>
      <c r="B132">
        <v>-1.4860386999999999</v>
      </c>
      <c r="C132" s="73" t="s">
        <v>46</v>
      </c>
      <c r="D132" s="12">
        <v>0.59285217963150294</v>
      </c>
      <c r="E132" s="10">
        <v>3</v>
      </c>
      <c r="F132" s="10">
        <v>100</v>
      </c>
      <c r="G132" s="1">
        <v>2.37</v>
      </c>
      <c r="H132" s="14">
        <f t="shared" si="4"/>
        <v>-2.62</v>
      </c>
      <c r="I132" s="15" t="s">
        <v>47</v>
      </c>
      <c r="J132" s="29"/>
      <c r="K132" s="14"/>
      <c r="L132" s="14"/>
      <c r="M132" s="3" t="s">
        <v>275</v>
      </c>
    </row>
    <row r="133" spans="1:13">
      <c r="A133" s="82" t="s">
        <v>276</v>
      </c>
      <c r="B133">
        <v>-2.3863232000000001</v>
      </c>
      <c r="C133" s="73" t="s">
        <v>51</v>
      </c>
      <c r="D133" s="12">
        <v>0.51067901383936642</v>
      </c>
      <c r="E133" s="10">
        <v>5</v>
      </c>
      <c r="F133" s="10">
        <v>217</v>
      </c>
      <c r="G133" s="1">
        <v>3.19</v>
      </c>
      <c r="H133" s="14">
        <f t="shared" si="4"/>
        <v>-4.6099999999999994</v>
      </c>
      <c r="I133" s="15" t="s">
        <v>52</v>
      </c>
      <c r="J133" s="29"/>
      <c r="K133" s="14"/>
      <c r="L133" s="14"/>
      <c r="M133" s="3" t="s">
        <v>277</v>
      </c>
    </row>
    <row r="134" spans="1:13">
      <c r="A134" s="82" t="s">
        <v>278</v>
      </c>
      <c r="B134">
        <v>-3.5786486000000002</v>
      </c>
      <c r="C134" s="71"/>
      <c r="D134" s="12">
        <v>0.83065522865171437</v>
      </c>
      <c r="E134" s="10">
        <v>3</v>
      </c>
      <c r="F134" s="10">
        <v>209.50000000000003</v>
      </c>
      <c r="G134" s="1">
        <v>4.41</v>
      </c>
      <c r="H134" s="14">
        <f t="shared" si="4"/>
        <v>-5.7550000000000008</v>
      </c>
      <c r="I134" s="15" t="s">
        <v>56</v>
      </c>
      <c r="J134" s="29"/>
      <c r="K134" s="14"/>
      <c r="L134" s="14"/>
      <c r="M134" s="3" t="s">
        <v>279</v>
      </c>
    </row>
    <row r="135" spans="1:13">
      <c r="A135" s="82" t="s">
        <v>280</v>
      </c>
      <c r="B135">
        <v>-3.8581528999999999</v>
      </c>
      <c r="C135" s="71"/>
      <c r="D135" s="12">
        <v>0.51097181417141646</v>
      </c>
      <c r="E135" s="10">
        <v>6</v>
      </c>
      <c r="F135" s="10">
        <v>97.5</v>
      </c>
      <c r="G135" s="1">
        <v>5.19</v>
      </c>
      <c r="H135" s="14">
        <f t="shared" si="4"/>
        <v>-5.415</v>
      </c>
      <c r="I135" s="15" t="s">
        <v>60</v>
      </c>
      <c r="J135" s="31"/>
      <c r="K135" s="14"/>
      <c r="L135" s="14"/>
      <c r="M135" s="3" t="s">
        <v>281</v>
      </c>
    </row>
    <row r="136" spans="1:13">
      <c r="A136" s="81" t="s">
        <v>282</v>
      </c>
      <c r="B136">
        <v>-5.5394797000000002</v>
      </c>
      <c r="C136" s="71"/>
      <c r="D136" s="12">
        <v>0.92735432696895004</v>
      </c>
      <c r="E136" s="10">
        <v>5</v>
      </c>
      <c r="F136" s="10">
        <v>211</v>
      </c>
      <c r="G136" s="1">
        <v>7.49</v>
      </c>
      <c r="H136" s="14">
        <f t="shared" si="4"/>
        <v>-8.85</v>
      </c>
      <c r="I136" s="30" t="s">
        <v>64</v>
      </c>
      <c r="J136" s="32"/>
      <c r="K136" s="33" t="s">
        <v>365</v>
      </c>
      <c r="L136" s="34"/>
      <c r="M136" s="3" t="s">
        <v>283</v>
      </c>
    </row>
    <row r="137" spans="1:13">
      <c r="A137" s="82" t="s">
        <v>112</v>
      </c>
      <c r="B137">
        <v>-3.5831108</v>
      </c>
      <c r="C137" s="71"/>
      <c r="D137" s="12">
        <v>0.68239272333923895</v>
      </c>
      <c r="E137" s="10">
        <v>3</v>
      </c>
      <c r="F137" s="10">
        <v>177</v>
      </c>
      <c r="G137" s="1">
        <v>3.37</v>
      </c>
      <c r="H137" s="14">
        <f t="shared" si="4"/>
        <v>-4.3900000000000006</v>
      </c>
      <c r="J137" s="14"/>
      <c r="K137" s="14"/>
      <c r="L137" s="14"/>
      <c r="M137" s="3" t="s">
        <v>284</v>
      </c>
    </row>
    <row r="138" spans="1:13">
      <c r="A138" s="82" t="s">
        <v>285</v>
      </c>
      <c r="B138">
        <v>-4.3712429999999998</v>
      </c>
      <c r="C138" s="71"/>
      <c r="D138" s="12">
        <v>0.520951861602862</v>
      </c>
      <c r="E138" s="10">
        <v>10</v>
      </c>
      <c r="F138" s="10">
        <v>228.6</v>
      </c>
      <c r="G138" s="1">
        <v>4.22</v>
      </c>
      <c r="H138" s="14">
        <f t="shared" si="4"/>
        <v>-5.7560000000000002</v>
      </c>
      <c r="I138" s="16" t="s">
        <v>286</v>
      </c>
      <c r="J138" s="17"/>
      <c r="K138" s="17"/>
      <c r="L138" s="18"/>
      <c r="M138" s="3" t="s">
        <v>287</v>
      </c>
    </row>
    <row r="139" spans="1:13">
      <c r="A139" s="81" t="s">
        <v>288</v>
      </c>
      <c r="B139">
        <v>-1.5504751000000001</v>
      </c>
      <c r="C139" s="71"/>
      <c r="D139" s="12">
        <v>0.53906642829149898</v>
      </c>
      <c r="E139" s="10">
        <v>3</v>
      </c>
      <c r="F139" s="10">
        <v>161.5</v>
      </c>
      <c r="G139" s="1">
        <v>-0.21</v>
      </c>
      <c r="H139" s="14">
        <f t="shared" si="4"/>
        <v>-0.65500000000000003</v>
      </c>
      <c r="I139" s="20" t="s">
        <v>364</v>
      </c>
      <c r="J139" s="21"/>
      <c r="K139" s="21"/>
      <c r="L139" s="22"/>
      <c r="M139" s="3" t="s">
        <v>289</v>
      </c>
    </row>
    <row r="140" spans="1:13">
      <c r="A140" s="81" t="s">
        <v>290</v>
      </c>
      <c r="B140">
        <v>-3.652409</v>
      </c>
      <c r="C140" s="71"/>
      <c r="D140" s="12">
        <v>0.56233984781338708</v>
      </c>
      <c r="E140" s="10">
        <v>11</v>
      </c>
      <c r="F140" s="10">
        <v>213.49999999999997</v>
      </c>
      <c r="G140" s="1">
        <v>3.04</v>
      </c>
      <c r="H140" s="14">
        <f t="shared" si="4"/>
        <v>-4.4249999999999998</v>
      </c>
      <c r="I140" s="23" t="s">
        <v>363</v>
      </c>
      <c r="J140" s="7"/>
      <c r="K140" s="7"/>
      <c r="L140" s="24"/>
      <c r="M140" s="3" t="s">
        <v>291</v>
      </c>
    </row>
    <row r="141" spans="1:13">
      <c r="A141" s="83" t="s">
        <v>292</v>
      </c>
      <c r="B141">
        <v>-2.0176547</v>
      </c>
      <c r="C141" s="71"/>
      <c r="D141" s="12">
        <v>0.54710381306524825</v>
      </c>
      <c r="E141" s="10">
        <v>4</v>
      </c>
      <c r="F141" s="10">
        <v>168.5</v>
      </c>
      <c r="G141" s="1">
        <v>3.35</v>
      </c>
      <c r="H141" s="14">
        <f t="shared" si="4"/>
        <v>-4.2850000000000001</v>
      </c>
      <c r="I141" s="23"/>
      <c r="J141" s="7"/>
      <c r="K141" s="7"/>
      <c r="L141" s="24"/>
      <c r="M141" s="3" t="s">
        <v>293</v>
      </c>
    </row>
    <row r="142" spans="1:13">
      <c r="A142" s="81" t="s">
        <v>114</v>
      </c>
      <c r="B142">
        <v>-2.0276407999999999</v>
      </c>
      <c r="C142" s="71"/>
      <c r="D142" s="12">
        <v>0.54612637818466869</v>
      </c>
      <c r="E142" s="10">
        <v>3</v>
      </c>
      <c r="F142" s="13">
        <v>124.1</v>
      </c>
      <c r="G142" s="1">
        <v>2.81</v>
      </c>
      <c r="H142" s="14">
        <f t="shared" si="4"/>
        <v>-3.3010000000000002</v>
      </c>
      <c r="I142" s="25"/>
      <c r="J142" s="7"/>
      <c r="K142" s="7"/>
      <c r="L142" s="24"/>
      <c r="M142" s="3" t="s">
        <v>294</v>
      </c>
    </row>
    <row r="143" spans="1:13">
      <c r="A143" s="81" t="s">
        <v>295</v>
      </c>
      <c r="B143">
        <v>-3.6025577000000002</v>
      </c>
      <c r="C143" s="71"/>
      <c r="D143" s="12">
        <v>0.51160213896594608</v>
      </c>
      <c r="E143" s="10">
        <v>4</v>
      </c>
      <c r="F143" s="10">
        <v>165</v>
      </c>
      <c r="G143" s="1">
        <v>4.8899999999999997</v>
      </c>
      <c r="H143" s="14">
        <f t="shared" si="4"/>
        <v>-5.79</v>
      </c>
      <c r="I143" s="25"/>
      <c r="J143" s="7"/>
      <c r="K143" s="7"/>
      <c r="L143" s="24"/>
      <c r="M143" s="3" t="s">
        <v>296</v>
      </c>
    </row>
    <row r="144" spans="1:13">
      <c r="A144" s="81" t="s">
        <v>117</v>
      </c>
      <c r="B144">
        <v>-3.8207849999999999</v>
      </c>
      <c r="C144" s="71"/>
      <c r="D144" s="12">
        <v>0.65141515533308314</v>
      </c>
      <c r="E144" s="10">
        <v>4</v>
      </c>
      <c r="F144" s="10">
        <v>161.1</v>
      </c>
      <c r="G144" s="1">
        <v>4.76</v>
      </c>
      <c r="H144" s="14">
        <f t="shared" si="4"/>
        <v>-5.6209999999999996</v>
      </c>
      <c r="I144" s="25"/>
      <c r="J144" s="7"/>
      <c r="K144" s="7"/>
      <c r="L144" s="24"/>
      <c r="M144" s="3" t="s">
        <v>297</v>
      </c>
    </row>
    <row r="145" spans="1:28">
      <c r="A145" s="83" t="s">
        <v>298</v>
      </c>
      <c r="B145">
        <v>-3.5266166000000001</v>
      </c>
      <c r="C145" s="71"/>
      <c r="D145" s="12">
        <v>0.65883215509381909</v>
      </c>
      <c r="E145" s="10">
        <v>3</v>
      </c>
      <c r="F145" s="10">
        <v>155</v>
      </c>
      <c r="G145" s="1">
        <v>3.74</v>
      </c>
      <c r="H145" s="14">
        <f t="shared" si="4"/>
        <v>-4.54</v>
      </c>
      <c r="I145" s="25"/>
      <c r="J145" s="7"/>
      <c r="K145" s="7"/>
      <c r="L145" s="24"/>
      <c r="M145" s="3" t="s">
        <v>299</v>
      </c>
    </row>
    <row r="146" spans="1:28">
      <c r="A146" s="82" t="s">
        <v>300</v>
      </c>
      <c r="B146">
        <v>-3.8216332999999998</v>
      </c>
      <c r="C146" s="71"/>
      <c r="D146" s="12">
        <v>0.61400477095750339</v>
      </c>
      <c r="E146" s="10">
        <v>3</v>
      </c>
      <c r="F146" s="10">
        <v>165.4</v>
      </c>
      <c r="G146" s="1">
        <v>5.58</v>
      </c>
      <c r="H146" s="14">
        <f t="shared" si="4"/>
        <v>-6.484</v>
      </c>
      <c r="I146" s="25"/>
      <c r="J146" s="7"/>
      <c r="K146" s="7"/>
      <c r="L146" s="24"/>
      <c r="M146" s="3" t="s">
        <v>301</v>
      </c>
    </row>
    <row r="147" spans="1:28">
      <c r="A147" s="82" t="s">
        <v>302</v>
      </c>
      <c r="B147">
        <v>-3.1182669999999999</v>
      </c>
      <c r="C147" s="71"/>
      <c r="D147" s="12">
        <v>0.50406532001413251</v>
      </c>
      <c r="E147" s="10">
        <v>6</v>
      </c>
      <c r="F147" s="10">
        <v>161</v>
      </c>
      <c r="G147" s="1">
        <v>6.45</v>
      </c>
      <c r="H147" s="14">
        <f t="shared" si="4"/>
        <v>-7.3100000000000005</v>
      </c>
      <c r="I147" s="26"/>
      <c r="J147" s="27"/>
      <c r="K147" s="27"/>
      <c r="L147" s="28"/>
      <c r="M147" s="3" t="s">
        <v>303</v>
      </c>
    </row>
    <row r="148" spans="1:28">
      <c r="A148" s="82" t="s">
        <v>304</v>
      </c>
      <c r="B148">
        <v>-4.7175145000000001</v>
      </c>
      <c r="C148" s="71"/>
      <c r="D148" s="12">
        <v>0.75493366325441691</v>
      </c>
      <c r="E148" s="10">
        <v>4</v>
      </c>
      <c r="F148" s="10">
        <v>193.5</v>
      </c>
      <c r="G148" s="1">
        <v>5.41</v>
      </c>
      <c r="H148" s="14">
        <f t="shared" si="4"/>
        <v>-6.5950000000000006</v>
      </c>
      <c r="J148" s="14"/>
      <c r="K148" s="14"/>
      <c r="L148" s="14"/>
      <c r="M148" s="3" t="s">
        <v>305</v>
      </c>
    </row>
    <row r="149" spans="1:28">
      <c r="A149" s="82" t="s">
        <v>306</v>
      </c>
      <c r="B149">
        <v>-2.7350473000000002</v>
      </c>
      <c r="C149" s="71"/>
      <c r="D149" s="12">
        <v>0.50089358058597189</v>
      </c>
      <c r="E149" s="10">
        <v>3</v>
      </c>
      <c r="F149" s="10">
        <v>156</v>
      </c>
      <c r="G149" s="1">
        <v>2.9</v>
      </c>
      <c r="H149" s="14">
        <f t="shared" si="4"/>
        <v>-3.71</v>
      </c>
      <c r="I149" s="70" t="s">
        <v>133</v>
      </c>
      <c r="J149" s="32"/>
      <c r="K149" s="34">
        <v>4741</v>
      </c>
      <c r="L149" s="14"/>
      <c r="M149" s="3" t="s">
        <v>307</v>
      </c>
    </row>
    <row r="150" spans="1:28">
      <c r="A150" s="83" t="s">
        <v>308</v>
      </c>
      <c r="B150">
        <v>-3.3220222000000001</v>
      </c>
      <c r="C150" s="71"/>
      <c r="D150" s="12">
        <v>0.6587984329866341</v>
      </c>
      <c r="E150" s="10">
        <v>4</v>
      </c>
      <c r="F150" s="10">
        <v>183.5</v>
      </c>
      <c r="G150" s="1">
        <v>3.16</v>
      </c>
      <c r="H150" s="14">
        <f t="shared" si="4"/>
        <v>-4.2450000000000001</v>
      </c>
      <c r="I150" s="70" t="s">
        <v>136</v>
      </c>
      <c r="J150" s="32"/>
      <c r="K150" s="34">
        <v>1186</v>
      </c>
      <c r="L150" s="14"/>
      <c r="M150" s="3" t="s">
        <v>309</v>
      </c>
    </row>
    <row r="151" spans="1:28">
      <c r="A151" s="83" t="s">
        <v>310</v>
      </c>
      <c r="B151">
        <v>-1.6787977000000001</v>
      </c>
      <c r="C151" s="71"/>
      <c r="D151" s="12">
        <v>0.59871706042825668</v>
      </c>
      <c r="E151" s="10">
        <v>3</v>
      </c>
      <c r="F151" s="10">
        <v>61</v>
      </c>
      <c r="G151" s="1">
        <v>1.77</v>
      </c>
      <c r="H151" s="14">
        <f t="shared" si="4"/>
        <v>-1.63</v>
      </c>
      <c r="I151" s="70" t="s">
        <v>139</v>
      </c>
      <c r="J151" s="75">
        <f>COUNTA(A129:A160)</f>
        <v>32</v>
      </c>
      <c r="K151" s="34"/>
      <c r="L151" s="14"/>
      <c r="M151" s="3" t="s">
        <v>311</v>
      </c>
    </row>
    <row r="152" spans="1:28">
      <c r="A152" s="82" t="s">
        <v>312</v>
      </c>
      <c r="B152">
        <v>-1.4281041999999999</v>
      </c>
      <c r="C152" s="71"/>
      <c r="D152" s="12">
        <v>0.57115657899345518</v>
      </c>
      <c r="E152" s="10">
        <v>7</v>
      </c>
      <c r="F152" s="10">
        <v>177</v>
      </c>
      <c r="G152" s="1">
        <v>3.17</v>
      </c>
      <c r="H152" s="14">
        <f t="shared" si="4"/>
        <v>-4.1899999999999995</v>
      </c>
      <c r="I152" s="14"/>
      <c r="J152" s="14"/>
      <c r="K152" s="14"/>
      <c r="L152" s="14"/>
      <c r="M152" s="3" t="s">
        <v>313</v>
      </c>
    </row>
    <row r="153" spans="1:28">
      <c r="A153" s="81" t="s">
        <v>314</v>
      </c>
      <c r="B153">
        <v>-4.0306473</v>
      </c>
      <c r="C153" s="71"/>
      <c r="D153" s="12">
        <v>0.55807775121880254</v>
      </c>
      <c r="E153" s="10">
        <v>6</v>
      </c>
      <c r="F153" s="10">
        <v>145</v>
      </c>
      <c r="G153" s="1">
        <v>6.08</v>
      </c>
      <c r="H153" s="14">
        <f t="shared" si="4"/>
        <v>-6.78</v>
      </c>
      <c r="I153" s="19" t="s">
        <v>144</v>
      </c>
      <c r="J153" s="17"/>
      <c r="K153" s="17"/>
      <c r="L153" s="18"/>
      <c r="M153" s="3" t="s">
        <v>315</v>
      </c>
    </row>
    <row r="154" spans="1:28">
      <c r="A154" s="81" t="s">
        <v>316</v>
      </c>
      <c r="B154">
        <v>-3.7138342999999998</v>
      </c>
      <c r="C154" s="71"/>
      <c r="D154" s="12">
        <v>0.66417698790166113</v>
      </c>
      <c r="E154" s="10">
        <v>3</v>
      </c>
      <c r="F154" s="13">
        <v>175.8</v>
      </c>
      <c r="G154" s="1">
        <v>4.62</v>
      </c>
      <c r="H154" s="14">
        <f t="shared" si="4"/>
        <v>-5.6280000000000001</v>
      </c>
      <c r="I154" s="20" t="s">
        <v>362</v>
      </c>
      <c r="J154" s="21"/>
      <c r="K154" s="21"/>
      <c r="L154" s="22"/>
      <c r="M154" s="3" t="s">
        <v>317</v>
      </c>
    </row>
    <row r="155" spans="1:28">
      <c r="A155" s="82" t="s">
        <v>318</v>
      </c>
      <c r="B155">
        <v>-3.9328218000000001</v>
      </c>
      <c r="C155" s="71"/>
      <c r="D155" s="12">
        <v>0.57716593661781801</v>
      </c>
      <c r="E155" s="10">
        <v>3</v>
      </c>
      <c r="F155" s="10">
        <v>349.84</v>
      </c>
      <c r="G155" s="1">
        <v>3.09</v>
      </c>
      <c r="H155" s="14">
        <f t="shared" si="4"/>
        <v>-5.8384</v>
      </c>
      <c r="I155" s="23" t="s">
        <v>361</v>
      </c>
      <c r="J155" s="7"/>
      <c r="K155" s="7"/>
      <c r="L155" s="24"/>
      <c r="M155" s="3" t="s">
        <v>319</v>
      </c>
    </row>
    <row r="156" spans="1:28">
      <c r="A156" s="83" t="s">
        <v>320</v>
      </c>
      <c r="B156">
        <v>-2.7959290000000001</v>
      </c>
      <c r="C156" s="71"/>
      <c r="D156" s="12">
        <v>0.70324590282883903</v>
      </c>
      <c r="E156" s="10">
        <v>3</v>
      </c>
      <c r="F156" s="10">
        <v>204</v>
      </c>
      <c r="G156" s="1">
        <v>0.88</v>
      </c>
      <c r="H156" s="14">
        <f t="shared" si="4"/>
        <v>-2.17</v>
      </c>
      <c r="I156" s="23"/>
      <c r="J156" s="7"/>
      <c r="K156" s="7"/>
      <c r="L156" s="24"/>
      <c r="M156" s="3" t="s">
        <v>321</v>
      </c>
    </row>
    <row r="157" spans="1:28">
      <c r="A157" s="82" t="s">
        <v>322</v>
      </c>
      <c r="B157">
        <v>-3.8429517999999998</v>
      </c>
      <c r="C157" s="71"/>
      <c r="D157" s="12">
        <v>0.7237903588794764</v>
      </c>
      <c r="E157" s="10">
        <v>7</v>
      </c>
      <c r="F157" s="10">
        <v>97.8</v>
      </c>
      <c r="G157" s="1">
        <v>6</v>
      </c>
      <c r="H157" s="14">
        <f t="shared" si="4"/>
        <v>-6.2279999999999998</v>
      </c>
      <c r="I157" s="23"/>
      <c r="J157" s="7"/>
      <c r="K157" s="7"/>
      <c r="L157" s="24"/>
      <c r="M157" s="3" t="s">
        <v>323</v>
      </c>
    </row>
    <row r="158" spans="1:28">
      <c r="A158" s="82" t="s">
        <v>324</v>
      </c>
      <c r="B158">
        <v>-5.3234344</v>
      </c>
      <c r="C158" s="71"/>
      <c r="D158" s="12">
        <v>0.84033450922624497</v>
      </c>
      <c r="E158" s="10">
        <v>5</v>
      </c>
      <c r="F158" s="10">
        <v>262</v>
      </c>
      <c r="G158" s="1">
        <v>7.26</v>
      </c>
      <c r="H158" s="14">
        <f t="shared" si="4"/>
        <v>-9.129999999999999</v>
      </c>
      <c r="I158" s="23"/>
      <c r="J158" s="7"/>
      <c r="K158" s="7"/>
      <c r="L158" s="24"/>
      <c r="M158" s="3" t="s">
        <v>325</v>
      </c>
    </row>
    <row r="159" spans="1:28">
      <c r="A159" s="82" t="s">
        <v>326</v>
      </c>
      <c r="B159">
        <v>-3.1007910000000001</v>
      </c>
      <c r="C159" s="71"/>
      <c r="D159" s="12">
        <v>0.70969645885144073</v>
      </c>
      <c r="E159" s="10">
        <v>11</v>
      </c>
      <c r="F159" s="10">
        <v>149.6</v>
      </c>
      <c r="G159" s="1">
        <v>6.45</v>
      </c>
      <c r="H159" s="14">
        <f t="shared" si="4"/>
        <v>-7.1959999999999997</v>
      </c>
      <c r="I159" s="23"/>
      <c r="J159" s="7"/>
      <c r="K159" s="7"/>
      <c r="L159" s="24"/>
      <c r="M159" s="3" t="s">
        <v>327</v>
      </c>
    </row>
    <row r="160" spans="1:28" s="62" customFormat="1">
      <c r="A160" s="81" t="s">
        <v>328</v>
      </c>
      <c r="B160">
        <v>-3.1333046000000002</v>
      </c>
      <c r="C160" s="71"/>
      <c r="D160" s="12">
        <v>0.49644864464459931</v>
      </c>
      <c r="E160" s="10">
        <v>4</v>
      </c>
      <c r="F160" s="10">
        <v>304.5</v>
      </c>
      <c r="G160" s="1">
        <v>2.69</v>
      </c>
      <c r="H160" s="14">
        <f t="shared" si="4"/>
        <v>-4.9849999999999994</v>
      </c>
      <c r="I160" s="35"/>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43" t="s">
        <v>360</v>
      </c>
      <c r="B194" s="115" t="s">
        <v>359</v>
      </c>
      <c r="C194" s="116" t="s">
        <v>358</v>
      </c>
      <c r="D194" s="115" t="s">
        <v>357</v>
      </c>
      <c r="E194" s="44"/>
      <c r="F194" s="44"/>
      <c r="G194" s="44"/>
      <c r="H194" s="44"/>
      <c r="I194" s="44"/>
      <c r="J194" s="44"/>
      <c r="K194" s="44"/>
      <c r="L194" s="44"/>
      <c r="M194" s="48"/>
      <c r="N194" s="44"/>
      <c r="O194" s="44"/>
      <c r="P194" s="44"/>
      <c r="Q194" s="45"/>
    </row>
  </sheetData>
  <hyperlinks>
    <hyperlink ref="C194" r:id="rId1" xr:uid="{9F9AABB4-53BA-430E-8091-C0FC34B92965}"/>
    <hyperlink ref="B194" r:id="rId2" xr:uid="{8BD1113C-1231-4666-8785-E672CB2A37CD}"/>
    <hyperlink ref="D194" r:id="rId3" xr:uid="{597F404C-E8DB-4E06-B087-5BCC8ABD064A}"/>
  </hyperlinks>
  <pageMargins left="0" right="0" top="0" bottom="0" header="0.3" footer="0.3"/>
  <pageSetup scale="54" orientation="landscape"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F9BEEE-2C16-45E9-85A4-B0A70EB0F843}">
  <dimension ref="A1:AB194"/>
  <sheetViews>
    <sheetView workbookViewId="0">
      <selection activeCell="B4" sqref="B4:B9"/>
    </sheetView>
  </sheetViews>
  <sheetFormatPr baseColWidth="10" defaultColWidth="9.1640625" defaultRowHeight="15"/>
  <cols>
    <col min="1" max="1" width="35.83203125" customWidth="1"/>
    <col min="2" max="2" width="41.83203125" customWidth="1"/>
    <col min="3" max="3" width="40.6640625" customWidth="1"/>
    <col min="4" max="4" width="42" customWidth="1"/>
    <col min="5" max="5" width="34.5" customWidth="1"/>
    <col min="6" max="6" width="10.1640625" customWidth="1"/>
    <col min="7" max="7" width="11.5" customWidth="1"/>
    <col min="9" max="9" width="13.1640625" customWidth="1"/>
    <col min="10" max="10" width="4.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118"/>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t="s">
        <v>367</v>
      </c>
      <c r="C14" t="s">
        <v>11</v>
      </c>
    </row>
    <row r="15" spans="1:25" s="90" customFormat="1">
      <c r="A15" s="89" t="s">
        <v>12</v>
      </c>
    </row>
    <row r="16" spans="1:25">
      <c r="B16" s="117" t="s">
        <v>367</v>
      </c>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v>-1.426220132426</v>
      </c>
      <c r="C23" s="73" t="s">
        <v>30</v>
      </c>
      <c r="D23" s="12">
        <v>0.17592262140645501</v>
      </c>
      <c r="E23" s="10">
        <v>11</v>
      </c>
      <c r="F23" s="10">
        <v>258.5</v>
      </c>
      <c r="G23" s="6">
        <v>-0.86</v>
      </c>
      <c r="H23" s="14">
        <f t="shared" ref="H23:H86" si="0">0.5-G23-0.01*(F23-25)</f>
        <v>-0.97500000000000009</v>
      </c>
      <c r="I23" s="53" t="s">
        <v>31</v>
      </c>
      <c r="J23" s="54"/>
      <c r="K23" s="14"/>
      <c r="L23" s="14"/>
      <c r="M23" s="11" t="s">
        <v>33</v>
      </c>
    </row>
    <row r="24" spans="1:28">
      <c r="A24" s="82" t="s">
        <v>35</v>
      </c>
      <c r="B24">
        <v>-2.2893526573040499</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v>-2.17135610564885</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v>-2.9061401953636201</v>
      </c>
      <c r="C26" s="73" t="s">
        <v>46</v>
      </c>
      <c r="D26" s="12">
        <v>0.16999222507469616</v>
      </c>
      <c r="E26" s="10">
        <v>3</v>
      </c>
      <c r="F26" s="10">
        <v>234</v>
      </c>
      <c r="G26" s="6">
        <v>3.19</v>
      </c>
      <c r="H26" s="14">
        <f t="shared" si="0"/>
        <v>-4.7799999999999994</v>
      </c>
      <c r="I26" s="15" t="s">
        <v>47</v>
      </c>
      <c r="J26" s="29"/>
      <c r="K26" s="14"/>
      <c r="L26" s="14"/>
      <c r="M26" s="11" t="s">
        <v>48</v>
      </c>
    </row>
    <row r="27" spans="1:28">
      <c r="A27" s="82" t="s">
        <v>50</v>
      </c>
      <c r="B27">
        <v>-4.77730414475662</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v>-5.4053382875818397</v>
      </c>
      <c r="C28" s="71"/>
      <c r="D28" s="12">
        <v>0.18412396392404196</v>
      </c>
      <c r="E28" s="10">
        <v>3</v>
      </c>
      <c r="F28" s="10">
        <v>224.00000000000003</v>
      </c>
      <c r="G28" s="6">
        <v>5.51</v>
      </c>
      <c r="H28" s="14">
        <f t="shared" si="0"/>
        <v>-7</v>
      </c>
      <c r="I28" s="15" t="s">
        <v>56</v>
      </c>
      <c r="J28" s="29"/>
      <c r="K28" s="14"/>
      <c r="L28" s="14"/>
      <c r="M28" s="11" t="s">
        <v>57</v>
      </c>
    </row>
    <row r="29" spans="1:28">
      <c r="A29" s="81" t="s">
        <v>59</v>
      </c>
      <c r="B29">
        <v>-2.2268291419901698</v>
      </c>
      <c r="C29" s="71"/>
      <c r="D29" s="12">
        <v>0.14933733874523175</v>
      </c>
      <c r="E29" s="10">
        <v>6</v>
      </c>
      <c r="F29" s="10">
        <v>172.5</v>
      </c>
      <c r="G29" s="6">
        <v>1.78</v>
      </c>
      <c r="H29" s="14">
        <f t="shared" si="0"/>
        <v>-2.7549999999999999</v>
      </c>
      <c r="I29" s="15" t="s">
        <v>60</v>
      </c>
      <c r="J29" s="31"/>
      <c r="K29" s="14"/>
      <c r="L29" s="14"/>
      <c r="M29" s="11" t="s">
        <v>61</v>
      </c>
    </row>
    <row r="30" spans="1:28">
      <c r="A30" s="81" t="s">
        <v>63</v>
      </c>
      <c r="B30">
        <v>-1.5473224302159301</v>
      </c>
      <c r="C30" s="71"/>
      <c r="D30" s="12">
        <v>0.14842266063120066</v>
      </c>
      <c r="E30" s="10">
        <v>4</v>
      </c>
      <c r="F30" s="10">
        <v>207.50000000000003</v>
      </c>
      <c r="G30" s="6">
        <v>1.86</v>
      </c>
      <c r="H30" s="14">
        <f t="shared" si="0"/>
        <v>-3.1850000000000005</v>
      </c>
      <c r="I30" s="30" t="s">
        <v>64</v>
      </c>
      <c r="J30" s="32"/>
      <c r="K30" s="33" t="s">
        <v>368</v>
      </c>
      <c r="L30" s="34"/>
      <c r="M30" s="11" t="s">
        <v>65</v>
      </c>
    </row>
    <row r="31" spans="1:28">
      <c r="A31" s="83" t="s">
        <v>66</v>
      </c>
      <c r="B31">
        <v>-2.3330260210374698</v>
      </c>
      <c r="C31" s="71"/>
      <c r="D31" s="12">
        <v>0.1617973106900604</v>
      </c>
      <c r="E31" s="10">
        <v>10</v>
      </c>
      <c r="F31" s="10">
        <v>166.5</v>
      </c>
      <c r="G31" s="6">
        <v>0.79</v>
      </c>
      <c r="H31" s="14">
        <f t="shared" si="0"/>
        <v>-1.7050000000000001</v>
      </c>
      <c r="J31" s="14"/>
      <c r="K31" s="14"/>
      <c r="L31" s="14"/>
      <c r="M31" s="11" t="s">
        <v>67</v>
      </c>
    </row>
    <row r="32" spans="1:28">
      <c r="A32" s="82" t="s">
        <v>68</v>
      </c>
      <c r="B32">
        <v>-3.4559342481047799</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v>-4.2244063983578402</v>
      </c>
      <c r="C33" s="72"/>
      <c r="D33" s="4">
        <v>0.12912520605069597</v>
      </c>
      <c r="E33" s="2">
        <v>3</v>
      </c>
      <c r="F33" s="13">
        <v>192.7</v>
      </c>
      <c r="G33" s="6">
        <v>2.63</v>
      </c>
      <c r="H33" s="14">
        <f t="shared" si="0"/>
        <v>-3.8069999999999995</v>
      </c>
      <c r="I33" s="20" t="s">
        <v>364</v>
      </c>
      <c r="J33" s="21"/>
      <c r="K33" s="21"/>
      <c r="L33" s="22"/>
      <c r="M33" s="11" t="s">
        <v>72</v>
      </c>
    </row>
    <row r="34" spans="1:13">
      <c r="A34" s="81" t="s">
        <v>74</v>
      </c>
      <c r="B34">
        <v>-3.5534435464420802</v>
      </c>
      <c r="C34" s="71"/>
      <c r="D34" s="12">
        <v>0.14911462098310888</v>
      </c>
      <c r="E34" s="10">
        <v>6</v>
      </c>
      <c r="F34" s="10">
        <v>167</v>
      </c>
      <c r="G34" s="6">
        <v>6.32</v>
      </c>
      <c r="H34" s="14">
        <f t="shared" si="0"/>
        <v>-7.24</v>
      </c>
      <c r="I34" s="23" t="s">
        <v>363</v>
      </c>
      <c r="J34" s="7"/>
      <c r="K34" s="7"/>
      <c r="L34" s="24"/>
      <c r="M34" s="11" t="s">
        <v>75</v>
      </c>
    </row>
    <row r="35" spans="1:13">
      <c r="A35" s="82" t="s">
        <v>77</v>
      </c>
      <c r="B35">
        <v>-3.4959997753065699</v>
      </c>
      <c r="C35" s="71"/>
      <c r="D35" s="12">
        <v>0.15809078703524676</v>
      </c>
      <c r="E35" s="10">
        <v>15</v>
      </c>
      <c r="F35" s="10">
        <v>191.5</v>
      </c>
      <c r="G35" s="6">
        <v>3.39</v>
      </c>
      <c r="H35" s="14">
        <f t="shared" si="0"/>
        <v>-4.5549999999999997</v>
      </c>
      <c r="I35" s="23"/>
      <c r="J35" s="7"/>
      <c r="K35" s="7"/>
      <c r="L35" s="24"/>
      <c r="M35" s="11" t="s">
        <v>78</v>
      </c>
    </row>
    <row r="36" spans="1:13">
      <c r="A36" s="83" t="s">
        <v>80</v>
      </c>
      <c r="B36">
        <v>-3.7449359733976402</v>
      </c>
      <c r="C36" s="71"/>
      <c r="D36" s="12">
        <v>0.1911503089068218</v>
      </c>
      <c r="E36" s="10">
        <v>3</v>
      </c>
      <c r="F36" s="10">
        <v>246.2</v>
      </c>
      <c r="G36" s="6">
        <v>3.32</v>
      </c>
      <c r="H36" s="14">
        <f t="shared" si="0"/>
        <v>-5.032</v>
      </c>
      <c r="I36" s="25"/>
      <c r="J36" s="7"/>
      <c r="K36" s="7"/>
      <c r="L36" s="24"/>
      <c r="M36" s="11" t="s">
        <v>81</v>
      </c>
    </row>
    <row r="37" spans="1:13">
      <c r="A37" s="83" t="s">
        <v>73</v>
      </c>
      <c r="B37">
        <v>-2.60623251826983</v>
      </c>
      <c r="C37" s="71"/>
      <c r="D37" s="12">
        <v>0.19050575600734274</v>
      </c>
      <c r="E37" s="10">
        <v>4</v>
      </c>
      <c r="F37" s="10">
        <v>304</v>
      </c>
      <c r="G37" s="6">
        <v>1.74</v>
      </c>
      <c r="H37" s="14">
        <f t="shared" si="0"/>
        <v>-4.03</v>
      </c>
      <c r="I37" s="25"/>
      <c r="J37" s="7"/>
      <c r="K37" s="7"/>
      <c r="L37" s="24"/>
      <c r="M37" s="11" t="s">
        <v>83</v>
      </c>
    </row>
    <row r="38" spans="1:13">
      <c r="A38" s="81" t="s">
        <v>76</v>
      </c>
      <c r="B38">
        <v>-2.5210188104377198</v>
      </c>
      <c r="C38" s="71"/>
      <c r="D38" s="12">
        <v>0.13682393527498057</v>
      </c>
      <c r="E38" s="10">
        <v>7</v>
      </c>
      <c r="F38" s="10">
        <v>187</v>
      </c>
      <c r="G38" s="6">
        <v>-0.87</v>
      </c>
      <c r="H38" s="14">
        <f t="shared" si="0"/>
        <v>-0.25</v>
      </c>
      <c r="I38" s="25"/>
      <c r="J38" s="7"/>
      <c r="K38" s="7"/>
      <c r="L38" s="24"/>
      <c r="M38" s="66" t="s">
        <v>85</v>
      </c>
    </row>
    <row r="39" spans="1:13">
      <c r="A39" s="81" t="s">
        <v>87</v>
      </c>
      <c r="B39">
        <v>-1.81624996931531</v>
      </c>
      <c r="C39" s="71"/>
      <c r="D39" s="12">
        <v>0.20462356367492032</v>
      </c>
      <c r="E39" s="10">
        <v>4</v>
      </c>
      <c r="F39" s="10">
        <v>221.5</v>
      </c>
      <c r="G39" s="6">
        <v>0.71</v>
      </c>
      <c r="H39" s="14">
        <f t="shared" si="0"/>
        <v>-2.1749999999999998</v>
      </c>
      <c r="I39" s="25"/>
      <c r="J39" s="7"/>
      <c r="K39" s="7"/>
      <c r="L39" s="24"/>
      <c r="M39" s="11" t="s">
        <v>88</v>
      </c>
    </row>
    <row r="40" spans="1:13">
      <c r="A40" s="81" t="s">
        <v>90</v>
      </c>
      <c r="B40">
        <v>-4.7102845861150104</v>
      </c>
      <c r="C40" s="71"/>
      <c r="D40" s="12">
        <v>0.18274602564465547</v>
      </c>
      <c r="E40" s="10">
        <v>6</v>
      </c>
      <c r="F40" s="10">
        <v>157.83333333333334</v>
      </c>
      <c r="G40" s="6">
        <v>3.51</v>
      </c>
      <c r="H40" s="14">
        <f t="shared" si="0"/>
        <v>-4.3383333333333329</v>
      </c>
      <c r="I40" s="25"/>
      <c r="J40" s="39"/>
      <c r="K40" s="39"/>
      <c r="L40" s="40"/>
      <c r="M40" s="11" t="s">
        <v>91</v>
      </c>
    </row>
    <row r="41" spans="1:13">
      <c r="A41" s="84" t="s">
        <v>93</v>
      </c>
      <c r="B41">
        <v>-1.9733889038221299</v>
      </c>
      <c r="C41" s="72"/>
      <c r="D41" s="4">
        <v>0.12610247911779729</v>
      </c>
      <c r="E41" s="2">
        <v>8</v>
      </c>
      <c r="F41" s="10">
        <v>140</v>
      </c>
      <c r="G41" s="6">
        <v>0.35</v>
      </c>
      <c r="H41" s="14">
        <f t="shared" si="0"/>
        <v>-1</v>
      </c>
      <c r="I41" s="25"/>
      <c r="J41" s="39"/>
      <c r="K41" s="39"/>
      <c r="L41" s="40"/>
      <c r="M41" s="11" t="s">
        <v>94</v>
      </c>
    </row>
    <row r="42" spans="1:13">
      <c r="A42" s="82" t="s">
        <v>96</v>
      </c>
      <c r="B42">
        <v>-2.9963073233494599</v>
      </c>
      <c r="C42" s="71"/>
      <c r="D42" s="12">
        <v>0.14493441954543959</v>
      </c>
      <c r="E42" s="10">
        <v>7</v>
      </c>
      <c r="F42" s="10">
        <v>127.93333333333334</v>
      </c>
      <c r="G42" s="6">
        <v>1.74</v>
      </c>
      <c r="H42" s="14">
        <f t="shared" si="0"/>
        <v>-2.2693333333333334</v>
      </c>
      <c r="I42" s="25"/>
      <c r="J42" s="39"/>
      <c r="K42" s="39"/>
      <c r="L42" s="40"/>
      <c r="M42" s="11" t="s">
        <v>97</v>
      </c>
    </row>
    <row r="43" spans="1:13">
      <c r="A43" s="82" t="s">
        <v>79</v>
      </c>
      <c r="B43">
        <v>-4.4823775396671204</v>
      </c>
      <c r="C43" s="71"/>
      <c r="D43" s="12">
        <v>0.14861388626870758</v>
      </c>
      <c r="E43" s="10">
        <v>7</v>
      </c>
      <c r="F43" s="10">
        <v>176</v>
      </c>
      <c r="G43" s="6">
        <v>4.4800000000000004</v>
      </c>
      <c r="H43" s="14">
        <f t="shared" si="0"/>
        <v>-5.49</v>
      </c>
      <c r="I43" s="25"/>
      <c r="J43" s="39"/>
      <c r="K43" s="39"/>
      <c r="L43" s="40"/>
      <c r="M43" s="11" t="s">
        <v>99</v>
      </c>
    </row>
    <row r="44" spans="1:13">
      <c r="A44" s="85" t="s">
        <v>101</v>
      </c>
      <c r="B44">
        <v>-4.4052159865413802</v>
      </c>
      <c r="C44" s="72"/>
      <c r="D44" s="4">
        <v>0.1280711495400205</v>
      </c>
      <c r="E44" s="2">
        <v>3</v>
      </c>
      <c r="F44" s="10">
        <v>159.69999999999999</v>
      </c>
      <c r="G44" s="6">
        <v>3.46</v>
      </c>
      <c r="H44" s="14">
        <f t="shared" si="0"/>
        <v>-4.3070000000000004</v>
      </c>
      <c r="I44" s="25"/>
      <c r="J44" s="39"/>
      <c r="K44" s="39"/>
      <c r="L44" s="40"/>
      <c r="M44" s="11" t="s">
        <v>102</v>
      </c>
    </row>
    <row r="45" spans="1:13">
      <c r="A45" s="84" t="s">
        <v>104</v>
      </c>
      <c r="B45">
        <v>-1.7733634273133201</v>
      </c>
      <c r="C45" s="72"/>
      <c r="D45" s="4">
        <v>0.21683500301481054</v>
      </c>
      <c r="E45" s="2">
        <v>8</v>
      </c>
      <c r="F45" s="10">
        <v>142</v>
      </c>
      <c r="G45" s="6">
        <v>0.6</v>
      </c>
      <c r="H45" s="14">
        <f t="shared" si="0"/>
        <v>-1.27</v>
      </c>
      <c r="I45" s="25"/>
      <c r="J45" s="39"/>
      <c r="K45" s="39"/>
      <c r="L45" s="40"/>
      <c r="M45" s="11" t="s">
        <v>105</v>
      </c>
    </row>
    <row r="46" spans="1:13">
      <c r="A46" s="82" t="s">
        <v>107</v>
      </c>
      <c r="B46">
        <v>-3.4625347460104301</v>
      </c>
      <c r="C46" s="71"/>
      <c r="D46" s="12">
        <v>0.18255878892749886</v>
      </c>
      <c r="E46" s="10">
        <v>20</v>
      </c>
      <c r="F46" s="10">
        <v>267</v>
      </c>
      <c r="G46" s="6">
        <v>1.58</v>
      </c>
      <c r="H46" s="14">
        <f t="shared" si="0"/>
        <v>-3.5</v>
      </c>
      <c r="I46" s="25"/>
      <c r="J46" s="39"/>
      <c r="K46" s="39"/>
      <c r="L46" s="40"/>
      <c r="M46" s="11" t="s">
        <v>108</v>
      </c>
    </row>
    <row r="47" spans="1:13">
      <c r="A47" s="81" t="s">
        <v>110</v>
      </c>
      <c r="B47">
        <v>-3.0164742726615099</v>
      </c>
      <c r="C47" s="71"/>
      <c r="D47" s="12">
        <v>0.16704647063532602</v>
      </c>
      <c r="E47" s="10">
        <v>6</v>
      </c>
      <c r="F47" s="10">
        <v>110.00000000000001</v>
      </c>
      <c r="G47" s="6">
        <v>3.36</v>
      </c>
      <c r="H47" s="14">
        <f t="shared" si="0"/>
        <v>-3.71</v>
      </c>
      <c r="I47" s="25"/>
      <c r="J47" s="39"/>
      <c r="K47" s="39"/>
      <c r="L47" s="40"/>
      <c r="M47" s="11" t="s">
        <v>111</v>
      </c>
    </row>
    <row r="48" spans="1:13">
      <c r="A48" s="82" t="s">
        <v>82</v>
      </c>
      <c r="B48">
        <v>-3.5187162112699202</v>
      </c>
      <c r="C48" s="71"/>
      <c r="D48" s="12">
        <v>0.17164501312359953</v>
      </c>
      <c r="E48" s="10">
        <v>7</v>
      </c>
      <c r="F48" s="10">
        <v>182</v>
      </c>
      <c r="G48" s="6">
        <v>2.67</v>
      </c>
      <c r="H48" s="14">
        <f t="shared" si="0"/>
        <v>-3.74</v>
      </c>
      <c r="I48" s="25"/>
      <c r="J48" s="39"/>
      <c r="K48" s="39"/>
      <c r="L48" s="40"/>
      <c r="M48" s="11" t="s">
        <v>113</v>
      </c>
    </row>
    <row r="49" spans="1:13">
      <c r="A49" s="84" t="s">
        <v>115</v>
      </c>
      <c r="B49">
        <v>-3.5210685113645201</v>
      </c>
      <c r="C49" s="72"/>
      <c r="D49" s="4">
        <v>0.12558353028546052</v>
      </c>
      <c r="E49" s="2">
        <v>4</v>
      </c>
      <c r="F49" s="10">
        <v>222.00000000000003</v>
      </c>
      <c r="G49" s="6">
        <v>2.56</v>
      </c>
      <c r="H49" s="14">
        <f t="shared" si="0"/>
        <v>-4.03</v>
      </c>
      <c r="I49" s="25"/>
      <c r="J49" s="39"/>
      <c r="K49" s="39"/>
      <c r="L49" s="40"/>
      <c r="M49" s="11" t="s">
        <v>116</v>
      </c>
    </row>
    <row r="50" spans="1:13">
      <c r="A50" s="82" t="s">
        <v>118</v>
      </c>
      <c r="B50">
        <v>-2.9484764239688301</v>
      </c>
      <c r="C50" s="71"/>
      <c r="D50" s="12">
        <v>0.1568133990664792</v>
      </c>
      <c r="E50" s="10">
        <v>6</v>
      </c>
      <c r="F50" s="10">
        <v>151</v>
      </c>
      <c r="G50" s="6">
        <v>3.27</v>
      </c>
      <c r="H50" s="14">
        <f t="shared" si="0"/>
        <v>-4.03</v>
      </c>
      <c r="I50" s="25"/>
      <c r="J50" s="39"/>
      <c r="K50" s="39"/>
      <c r="L50" s="40"/>
      <c r="M50" s="11" t="s">
        <v>119</v>
      </c>
    </row>
    <row r="51" spans="1:13">
      <c r="A51" s="85" t="s">
        <v>84</v>
      </c>
      <c r="B51">
        <v>-3.0140411040359698</v>
      </c>
      <c r="C51" s="72"/>
      <c r="D51" s="4">
        <v>0.12789394574374285</v>
      </c>
      <c r="E51" s="2">
        <v>5</v>
      </c>
      <c r="F51" s="10">
        <v>330</v>
      </c>
      <c r="G51" s="6">
        <v>2.87</v>
      </c>
      <c r="H51" s="14">
        <f t="shared" si="0"/>
        <v>-5.42</v>
      </c>
      <c r="I51" s="25"/>
      <c r="J51" s="39"/>
      <c r="K51" s="39"/>
      <c r="L51" s="40"/>
      <c r="M51" s="11" t="s">
        <v>120</v>
      </c>
    </row>
    <row r="52" spans="1:13">
      <c r="A52" s="82" t="s">
        <v>121</v>
      </c>
      <c r="B52">
        <v>-4.56190936917156</v>
      </c>
      <c r="C52" s="71"/>
      <c r="D52" s="12">
        <v>0.18012800124370357</v>
      </c>
      <c r="E52" s="10">
        <v>3</v>
      </c>
      <c r="F52" s="10">
        <v>100</v>
      </c>
      <c r="G52" s="6">
        <v>3.53</v>
      </c>
      <c r="H52" s="14">
        <f t="shared" si="0"/>
        <v>-3.78</v>
      </c>
      <c r="I52" s="23"/>
      <c r="J52" s="7"/>
      <c r="K52" s="7"/>
      <c r="L52" s="24"/>
      <c r="M52" s="11" t="s">
        <v>122</v>
      </c>
    </row>
    <row r="53" spans="1:13">
      <c r="A53" s="81" t="s">
        <v>123</v>
      </c>
      <c r="B53">
        <v>-3.5072715798141001</v>
      </c>
      <c r="C53" s="71"/>
      <c r="D53" s="12">
        <v>0.18062104750721683</v>
      </c>
      <c r="E53" s="10">
        <v>16</v>
      </c>
      <c r="F53" s="10">
        <v>262.5</v>
      </c>
      <c r="G53" s="6">
        <v>1.9</v>
      </c>
      <c r="H53" s="14">
        <f t="shared" si="0"/>
        <v>-3.7749999999999999</v>
      </c>
      <c r="I53" s="23"/>
      <c r="J53" s="7"/>
      <c r="K53" s="7"/>
      <c r="L53" s="24"/>
      <c r="M53" s="11" t="s">
        <v>124</v>
      </c>
    </row>
    <row r="54" spans="1:13">
      <c r="A54" s="84" t="s">
        <v>125</v>
      </c>
      <c r="B54">
        <v>-2.6397615474995502</v>
      </c>
      <c r="C54" s="72"/>
      <c r="D54" s="4">
        <v>0.22156244268660033</v>
      </c>
      <c r="E54" s="2">
        <v>4</v>
      </c>
      <c r="F54" s="10">
        <v>328.85</v>
      </c>
      <c r="G54" s="6">
        <v>1.87</v>
      </c>
      <c r="H54" s="14">
        <f t="shared" si="0"/>
        <v>-4.4085000000000001</v>
      </c>
      <c r="I54" s="23"/>
      <c r="J54" s="7"/>
      <c r="K54" s="7"/>
      <c r="L54" s="24"/>
      <c r="M54" s="11" t="s">
        <v>126</v>
      </c>
    </row>
    <row r="55" spans="1:13">
      <c r="A55" s="82" t="s">
        <v>127</v>
      </c>
      <c r="B55">
        <v>-3.44688862454925</v>
      </c>
      <c r="C55" s="71"/>
      <c r="D55" s="12">
        <v>0.18450811780713378</v>
      </c>
      <c r="E55" s="10">
        <v>33</v>
      </c>
      <c r="F55" s="10">
        <v>167.5</v>
      </c>
      <c r="G55" s="6">
        <v>4.3600000000000003</v>
      </c>
      <c r="H55" s="14">
        <f t="shared" si="0"/>
        <v>-5.2850000000000001</v>
      </c>
      <c r="I55" s="23"/>
      <c r="J55" s="7"/>
      <c r="K55" s="7"/>
      <c r="L55" s="24"/>
      <c r="M55" s="11" t="s">
        <v>128</v>
      </c>
    </row>
    <row r="56" spans="1:13">
      <c r="A56" s="82" t="s">
        <v>86</v>
      </c>
      <c r="B56">
        <v>-4.1857635596456797</v>
      </c>
      <c r="C56" s="71"/>
      <c r="D56" s="12">
        <v>0.15609203233531485</v>
      </c>
      <c r="E56" s="10">
        <v>3</v>
      </c>
      <c r="F56" s="10">
        <v>223</v>
      </c>
      <c r="G56" s="6">
        <v>2.99</v>
      </c>
      <c r="H56" s="14">
        <f t="shared" si="0"/>
        <v>-4.4700000000000006</v>
      </c>
      <c r="I56" s="23"/>
      <c r="J56" s="7"/>
      <c r="K56" s="7"/>
      <c r="L56" s="24"/>
      <c r="M56" s="11" t="s">
        <v>129</v>
      </c>
    </row>
    <row r="57" spans="1:13">
      <c r="A57" s="82" t="s">
        <v>89</v>
      </c>
      <c r="B57">
        <v>-3.2693480802295101</v>
      </c>
      <c r="C57" s="71"/>
      <c r="D57" s="12">
        <v>0.20872343532408041</v>
      </c>
      <c r="E57" s="10">
        <v>3</v>
      </c>
      <c r="F57" s="10">
        <v>210.5</v>
      </c>
      <c r="G57" s="6">
        <v>2.72</v>
      </c>
      <c r="H57" s="14">
        <f t="shared" si="0"/>
        <v>-4.0750000000000002</v>
      </c>
      <c r="I57" s="26"/>
      <c r="J57" s="27"/>
      <c r="K57" s="27"/>
      <c r="L57" s="28"/>
      <c r="M57" s="11" t="s">
        <v>130</v>
      </c>
    </row>
    <row r="58" spans="1:13">
      <c r="A58" s="84" t="s">
        <v>131</v>
      </c>
      <c r="B58">
        <v>-2.9593154468484801</v>
      </c>
      <c r="C58" s="72"/>
      <c r="D58" s="4">
        <v>0.1297319013416561</v>
      </c>
      <c r="E58" s="2">
        <v>3</v>
      </c>
      <c r="F58" s="10">
        <v>209.75</v>
      </c>
      <c r="G58" s="6">
        <v>3.37</v>
      </c>
      <c r="H58" s="14">
        <f t="shared" si="0"/>
        <v>-4.7175000000000002</v>
      </c>
      <c r="J58" s="14"/>
      <c r="K58" s="14"/>
      <c r="L58" s="14"/>
      <c r="M58" s="11" t="s">
        <v>132</v>
      </c>
    </row>
    <row r="59" spans="1:13">
      <c r="A59" s="81" t="s">
        <v>92</v>
      </c>
      <c r="B59">
        <v>-2.8837709168137202</v>
      </c>
      <c r="C59" s="71"/>
      <c r="D59" s="12">
        <v>0.14124198841117766</v>
      </c>
      <c r="E59" s="10">
        <v>3</v>
      </c>
      <c r="F59" s="10">
        <v>53.5</v>
      </c>
      <c r="G59" s="6">
        <v>3.43</v>
      </c>
      <c r="H59" s="14">
        <f t="shared" si="0"/>
        <v>-3.2150000000000003</v>
      </c>
      <c r="I59" s="70" t="s">
        <v>133</v>
      </c>
      <c r="J59" s="32"/>
      <c r="K59" s="34">
        <v>4741</v>
      </c>
      <c r="L59" s="14"/>
      <c r="M59" s="11" t="s">
        <v>134</v>
      </c>
    </row>
    <row r="60" spans="1:13">
      <c r="A60" s="81" t="s">
        <v>135</v>
      </c>
      <c r="B60">
        <v>-1.63985087913859</v>
      </c>
      <c r="C60" s="71"/>
      <c r="D60" s="12">
        <v>0.17069281866408892</v>
      </c>
      <c r="E60" s="10">
        <v>6</v>
      </c>
      <c r="F60" s="10">
        <v>270</v>
      </c>
      <c r="G60" s="6">
        <v>0.05</v>
      </c>
      <c r="H60" s="14">
        <f t="shared" si="0"/>
        <v>-2</v>
      </c>
      <c r="I60" s="70" t="s">
        <v>136</v>
      </c>
      <c r="J60" s="32"/>
      <c r="K60" s="34">
        <v>1186</v>
      </c>
      <c r="L60" s="14"/>
      <c r="M60" s="11" t="s">
        <v>137</v>
      </c>
    </row>
    <row r="61" spans="1:13">
      <c r="A61" s="82" t="s">
        <v>138</v>
      </c>
      <c r="B61">
        <v>-2.72560941287326</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v>-4.0315314839707597</v>
      </c>
      <c r="C62" s="71"/>
      <c r="D62" s="12">
        <v>0.18021422622763517</v>
      </c>
      <c r="E62" s="10">
        <v>5</v>
      </c>
      <c r="F62" s="10">
        <v>214.5</v>
      </c>
      <c r="G62" s="6">
        <v>3.61</v>
      </c>
      <c r="H62" s="14">
        <f t="shared" si="0"/>
        <v>-5.0049999999999999</v>
      </c>
      <c r="I62" s="14"/>
      <c r="J62" s="14"/>
      <c r="K62" s="14"/>
      <c r="L62" s="14"/>
      <c r="M62" s="11" t="s">
        <v>142</v>
      </c>
    </row>
    <row r="63" spans="1:13">
      <c r="A63" s="82" t="s">
        <v>143</v>
      </c>
      <c r="B63">
        <v>-3.7698841432055601</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v>-2.9144451603560002</v>
      </c>
      <c r="C64" s="71"/>
      <c r="D64" s="12">
        <v>0.17</v>
      </c>
      <c r="E64" s="10">
        <v>3</v>
      </c>
      <c r="F64" s="10">
        <v>189</v>
      </c>
      <c r="G64" s="6">
        <v>1.34</v>
      </c>
      <c r="H64" s="14">
        <f t="shared" si="0"/>
        <v>-2.4800000000000004</v>
      </c>
      <c r="I64" s="20"/>
      <c r="J64" s="21"/>
      <c r="K64" s="21"/>
      <c r="L64" s="22"/>
      <c r="M64" s="11" t="s">
        <v>148</v>
      </c>
    </row>
    <row r="65" spans="1:13">
      <c r="A65" s="82" t="s">
        <v>149</v>
      </c>
      <c r="B65">
        <v>-3.9436668294059798</v>
      </c>
      <c r="C65" s="71"/>
      <c r="D65" s="12">
        <v>0.19794493160510693</v>
      </c>
      <c r="E65" s="10">
        <v>4</v>
      </c>
      <c r="F65" s="10">
        <v>243.5</v>
      </c>
      <c r="G65" s="6">
        <v>1.34</v>
      </c>
      <c r="H65" s="14">
        <f t="shared" si="0"/>
        <v>-3.0250000000000004</v>
      </c>
      <c r="I65" s="23" t="s">
        <v>362</v>
      </c>
      <c r="J65" s="7"/>
      <c r="K65" s="7"/>
      <c r="L65" s="24"/>
      <c r="M65" s="11" t="s">
        <v>151</v>
      </c>
    </row>
    <row r="66" spans="1:13">
      <c r="A66" s="81" t="s">
        <v>95</v>
      </c>
      <c r="B66">
        <v>-2.74694992464413</v>
      </c>
      <c r="C66" s="71"/>
      <c r="D66" s="12">
        <v>0.21056099074293383</v>
      </c>
      <c r="E66" s="10">
        <v>3</v>
      </c>
      <c r="F66" s="10">
        <v>36.5</v>
      </c>
      <c r="G66" s="6">
        <v>2.74</v>
      </c>
      <c r="H66" s="14">
        <f t="shared" si="0"/>
        <v>-2.3550000000000004</v>
      </c>
      <c r="I66" s="23" t="s">
        <v>361</v>
      </c>
      <c r="J66" s="7"/>
      <c r="K66" s="7"/>
      <c r="L66" s="24"/>
      <c r="M66" s="11" t="s">
        <v>152</v>
      </c>
    </row>
    <row r="67" spans="1:13">
      <c r="A67" s="83" t="s">
        <v>153</v>
      </c>
      <c r="B67">
        <v>-3.41720860103527</v>
      </c>
      <c r="C67" s="71"/>
      <c r="D67" s="12">
        <v>0.21092434073951916</v>
      </c>
      <c r="E67" s="10">
        <v>10</v>
      </c>
      <c r="F67" s="10">
        <v>186</v>
      </c>
      <c r="G67" s="6">
        <v>3.4</v>
      </c>
      <c r="H67" s="14">
        <f t="shared" si="0"/>
        <v>-4.51</v>
      </c>
      <c r="I67" s="23"/>
      <c r="J67" s="7"/>
      <c r="K67" s="7"/>
      <c r="L67" s="24"/>
      <c r="M67" s="11" t="s">
        <v>154</v>
      </c>
    </row>
    <row r="68" spans="1:13">
      <c r="A68" s="81" t="s">
        <v>98</v>
      </c>
      <c r="B68">
        <v>-3.4435679781152202</v>
      </c>
      <c r="C68" s="71"/>
      <c r="D68" s="12">
        <v>0.18695478693957188</v>
      </c>
      <c r="E68" s="10">
        <v>3</v>
      </c>
      <c r="F68" s="10">
        <v>252.99999999999997</v>
      </c>
      <c r="G68" s="6">
        <v>2.35</v>
      </c>
      <c r="H68" s="14">
        <f t="shared" si="0"/>
        <v>-4.13</v>
      </c>
      <c r="I68" s="23"/>
      <c r="J68" s="7"/>
      <c r="K68" s="7"/>
      <c r="L68" s="24"/>
      <c r="M68" s="11" t="s">
        <v>155</v>
      </c>
    </row>
    <row r="69" spans="1:13">
      <c r="A69" s="83" t="s">
        <v>156</v>
      </c>
      <c r="B69">
        <v>-3.5712324707604299</v>
      </c>
      <c r="C69" s="71"/>
      <c r="D69" s="12">
        <v>0.20491085989689112</v>
      </c>
      <c r="E69" s="10">
        <v>23</v>
      </c>
      <c r="F69" s="10">
        <v>111.00000000000001</v>
      </c>
      <c r="G69" s="6">
        <v>3.68</v>
      </c>
      <c r="H69" s="14">
        <f t="shared" si="0"/>
        <v>-4.04</v>
      </c>
      <c r="I69" s="23"/>
      <c r="J69" s="7"/>
      <c r="K69" s="7"/>
      <c r="L69" s="24"/>
      <c r="M69" s="11" t="s">
        <v>157</v>
      </c>
    </row>
    <row r="70" spans="1:13">
      <c r="A70" s="81" t="s">
        <v>158</v>
      </c>
      <c r="B70">
        <v>-4.5977520124388498</v>
      </c>
      <c r="C70" s="71"/>
      <c r="D70" s="12">
        <v>0.15545016183846921</v>
      </c>
      <c r="E70" s="10">
        <v>6</v>
      </c>
      <c r="F70" s="10">
        <v>250</v>
      </c>
      <c r="G70" s="6">
        <v>-0.04</v>
      </c>
      <c r="H70" s="14">
        <f t="shared" si="0"/>
        <v>-1.71</v>
      </c>
      <c r="I70" s="23"/>
      <c r="J70" s="7"/>
      <c r="K70" s="7"/>
      <c r="L70" s="24"/>
      <c r="M70" s="11" t="s">
        <v>159</v>
      </c>
    </row>
    <row r="71" spans="1:13">
      <c r="A71" s="82" t="s">
        <v>160</v>
      </c>
      <c r="B71">
        <v>-1.77055559094658</v>
      </c>
      <c r="C71" s="71"/>
      <c r="D71" s="12">
        <v>0.13261436390895148</v>
      </c>
      <c r="E71" s="10">
        <v>3</v>
      </c>
      <c r="F71" s="10">
        <v>250</v>
      </c>
      <c r="G71" s="6">
        <v>-1.97</v>
      </c>
      <c r="H71" s="14">
        <f t="shared" si="0"/>
        <v>0.21999999999999975</v>
      </c>
      <c r="I71" s="23"/>
      <c r="J71" s="7"/>
      <c r="K71" s="7"/>
      <c r="L71" s="24"/>
      <c r="M71" s="11" t="s">
        <v>161</v>
      </c>
    </row>
    <row r="72" spans="1:13">
      <c r="A72" s="82" t="s">
        <v>162</v>
      </c>
      <c r="B72">
        <v>-4.3271416357520103</v>
      </c>
      <c r="C72" s="71"/>
      <c r="D72" s="12">
        <v>0.21159815676624968</v>
      </c>
      <c r="E72" s="10">
        <v>9</v>
      </c>
      <c r="F72" s="10">
        <v>208.5</v>
      </c>
      <c r="G72" s="6">
        <v>2.08</v>
      </c>
      <c r="H72" s="14">
        <f t="shared" si="0"/>
        <v>-3.415</v>
      </c>
      <c r="I72" s="23"/>
      <c r="J72" s="7"/>
      <c r="K72" s="7"/>
      <c r="L72" s="24"/>
      <c r="M72" s="11" t="s">
        <v>163</v>
      </c>
    </row>
    <row r="73" spans="1:13">
      <c r="A73" s="82" t="s">
        <v>164</v>
      </c>
      <c r="B73">
        <v>-3.8267743484749901</v>
      </c>
      <c r="C73" s="71"/>
      <c r="D73" s="12">
        <v>0.1900151243705871</v>
      </c>
      <c r="E73" s="10">
        <v>15</v>
      </c>
      <c r="F73" s="10">
        <v>220.00000000000003</v>
      </c>
      <c r="G73" s="6">
        <v>2.69</v>
      </c>
      <c r="H73" s="14">
        <f t="shared" si="0"/>
        <v>-4.1400000000000006</v>
      </c>
      <c r="I73" s="23"/>
      <c r="J73" s="7"/>
      <c r="K73" s="7"/>
      <c r="L73" s="24"/>
      <c r="M73" s="11" t="s">
        <v>165</v>
      </c>
    </row>
    <row r="74" spans="1:13">
      <c r="A74" s="82" t="s">
        <v>166</v>
      </c>
      <c r="B74">
        <v>-3.6978362325508201</v>
      </c>
      <c r="C74" s="71"/>
      <c r="D74" s="12">
        <v>0.16978183023026608</v>
      </c>
      <c r="E74" s="10">
        <v>10</v>
      </c>
      <c r="F74" s="10">
        <v>151</v>
      </c>
      <c r="G74" s="6">
        <v>4.43</v>
      </c>
      <c r="H74" s="14">
        <f t="shared" si="0"/>
        <v>-5.1899999999999995</v>
      </c>
      <c r="I74" s="23"/>
      <c r="J74" s="7"/>
      <c r="K74" s="7"/>
      <c r="L74" s="24"/>
      <c r="M74" s="11" t="s">
        <v>167</v>
      </c>
    </row>
    <row r="75" spans="1:13">
      <c r="A75" s="83" t="s">
        <v>100</v>
      </c>
      <c r="B75">
        <v>-3.8200065410752999</v>
      </c>
      <c r="C75" s="71"/>
      <c r="D75" s="12">
        <v>0.19416214604145643</v>
      </c>
      <c r="E75" s="10">
        <v>7</v>
      </c>
      <c r="F75" s="10">
        <v>154.5</v>
      </c>
      <c r="G75" s="6">
        <v>4.22</v>
      </c>
      <c r="H75" s="14">
        <f t="shared" si="0"/>
        <v>-5.0149999999999997</v>
      </c>
      <c r="I75" s="23"/>
      <c r="J75" s="7"/>
      <c r="K75" s="7"/>
      <c r="L75" s="24"/>
      <c r="M75" s="11" t="s">
        <v>168</v>
      </c>
    </row>
    <row r="76" spans="1:13">
      <c r="A76" s="82" t="s">
        <v>169</v>
      </c>
      <c r="B76">
        <v>-4.1001208076100299</v>
      </c>
      <c r="C76" s="71"/>
      <c r="D76" s="12">
        <v>0.16048013551961601</v>
      </c>
      <c r="E76" s="10">
        <v>5</v>
      </c>
      <c r="F76" s="10">
        <v>167.75</v>
      </c>
      <c r="G76" s="6">
        <v>2.87</v>
      </c>
      <c r="H76" s="14">
        <f t="shared" si="0"/>
        <v>-3.7975000000000003</v>
      </c>
      <c r="I76" s="23"/>
      <c r="J76" s="7"/>
      <c r="K76" s="7"/>
      <c r="L76" s="24"/>
      <c r="M76" s="11" t="s">
        <v>170</v>
      </c>
    </row>
    <row r="77" spans="1:13">
      <c r="A77" s="84" t="s">
        <v>171</v>
      </c>
      <c r="B77">
        <v>-4.8565983760145599</v>
      </c>
      <c r="C77" s="72"/>
      <c r="D77" s="4">
        <v>0.22239504833634874</v>
      </c>
      <c r="E77" s="2">
        <v>21</v>
      </c>
      <c r="F77" s="10">
        <v>159</v>
      </c>
      <c r="G77" s="6">
        <v>3.93</v>
      </c>
      <c r="H77" s="14">
        <f t="shared" si="0"/>
        <v>-4.7700000000000005</v>
      </c>
      <c r="I77" s="23"/>
      <c r="J77" s="7"/>
      <c r="K77" s="7"/>
      <c r="L77" s="24"/>
      <c r="M77" s="11" t="s">
        <v>172</v>
      </c>
    </row>
    <row r="78" spans="1:13">
      <c r="A78" s="82" t="s">
        <v>173</v>
      </c>
      <c r="B78">
        <v>-3.5449407292794599</v>
      </c>
      <c r="C78" s="71"/>
      <c r="D78" s="12">
        <v>0.21209434799218393</v>
      </c>
      <c r="E78" s="10">
        <v>5</v>
      </c>
      <c r="F78" s="10">
        <v>213.49999999999997</v>
      </c>
      <c r="G78" s="6">
        <v>3.04</v>
      </c>
      <c r="H78" s="14">
        <f t="shared" si="0"/>
        <v>-4.4249999999999998</v>
      </c>
      <c r="I78" s="23"/>
      <c r="J78" s="7"/>
      <c r="K78" s="7"/>
      <c r="L78" s="24"/>
      <c r="M78" s="11" t="s">
        <v>174</v>
      </c>
    </row>
    <row r="79" spans="1:13">
      <c r="A79" s="82" t="s">
        <v>175</v>
      </c>
      <c r="B79">
        <v>-3.4898562497833501</v>
      </c>
      <c r="C79" s="71"/>
      <c r="D79" s="12">
        <v>0.1407224156406931</v>
      </c>
      <c r="E79" s="10">
        <v>11</v>
      </c>
      <c r="F79" s="10">
        <v>146</v>
      </c>
      <c r="G79" s="6">
        <v>4.21</v>
      </c>
      <c r="H79" s="14">
        <f t="shared" si="0"/>
        <v>-4.92</v>
      </c>
      <c r="I79" s="23"/>
      <c r="J79" s="7"/>
      <c r="K79" s="7"/>
      <c r="L79" s="24"/>
      <c r="M79" s="11" t="s">
        <v>176</v>
      </c>
    </row>
    <row r="80" spans="1:13">
      <c r="A80" s="82" t="s">
        <v>177</v>
      </c>
      <c r="B80">
        <v>-4.6829361678156998</v>
      </c>
      <c r="C80" s="71"/>
      <c r="D80" s="12">
        <v>0.21748916450754371</v>
      </c>
      <c r="E80" s="10">
        <v>5</v>
      </c>
      <c r="F80" s="10">
        <v>92.333333333333329</v>
      </c>
      <c r="G80" s="6">
        <v>4.21</v>
      </c>
      <c r="H80" s="14">
        <f t="shared" si="0"/>
        <v>-4.3833333333333329</v>
      </c>
      <c r="I80" s="23"/>
      <c r="J80" s="7"/>
      <c r="K80" s="7"/>
      <c r="L80" s="24"/>
      <c r="M80" s="11" t="s">
        <v>178</v>
      </c>
    </row>
    <row r="81" spans="1:13">
      <c r="A81" s="81" t="s">
        <v>179</v>
      </c>
      <c r="B81">
        <v>-3.58788116084266</v>
      </c>
      <c r="C81" s="71"/>
      <c r="D81" s="12">
        <v>0.20531013145176411</v>
      </c>
      <c r="E81" s="10">
        <v>8</v>
      </c>
      <c r="F81" s="10">
        <v>256</v>
      </c>
      <c r="G81" s="6">
        <v>2.71</v>
      </c>
      <c r="H81" s="14">
        <f t="shared" si="0"/>
        <v>-4.5199999999999996</v>
      </c>
      <c r="I81" s="23"/>
      <c r="J81" s="7"/>
      <c r="K81" s="7"/>
      <c r="L81" s="24"/>
      <c r="M81" s="11" t="s">
        <v>180</v>
      </c>
    </row>
    <row r="82" spans="1:13">
      <c r="A82" s="81" t="s">
        <v>181</v>
      </c>
      <c r="B82">
        <v>-4.5232774786587404</v>
      </c>
      <c r="C82" s="71"/>
      <c r="D82" s="12">
        <v>0.21176785142223761</v>
      </c>
      <c r="E82" s="10">
        <v>3</v>
      </c>
      <c r="F82" s="10">
        <v>80</v>
      </c>
      <c r="G82" s="6">
        <v>3.37</v>
      </c>
      <c r="H82" s="14">
        <f t="shared" si="0"/>
        <v>-3.42</v>
      </c>
      <c r="I82" s="23"/>
      <c r="J82" s="7"/>
      <c r="K82" s="7"/>
      <c r="L82" s="24"/>
      <c r="M82" s="11" t="s">
        <v>182</v>
      </c>
    </row>
    <row r="83" spans="1:13">
      <c r="A83" s="81" t="s">
        <v>183</v>
      </c>
      <c r="B83">
        <v>-3.5998378569748799</v>
      </c>
      <c r="C83" s="71"/>
      <c r="D83" s="12">
        <v>0.16217657762412213</v>
      </c>
      <c r="E83" s="10">
        <v>17</v>
      </c>
      <c r="F83" s="10">
        <v>153</v>
      </c>
      <c r="G83" s="6">
        <v>3.04</v>
      </c>
      <c r="H83" s="14">
        <f t="shared" si="0"/>
        <v>-3.8200000000000003</v>
      </c>
      <c r="I83" s="23"/>
      <c r="J83" s="7"/>
      <c r="K83" s="7"/>
      <c r="L83" s="24"/>
      <c r="M83" s="11" t="s">
        <v>184</v>
      </c>
    </row>
    <row r="84" spans="1:13">
      <c r="A84" s="82" t="s">
        <v>185</v>
      </c>
      <c r="B84">
        <v>-3.2884979135271202</v>
      </c>
      <c r="C84" s="71"/>
      <c r="D84" s="12">
        <v>0.20448827496623867</v>
      </c>
      <c r="E84" s="10">
        <v>3</v>
      </c>
      <c r="F84" s="10">
        <v>349.84</v>
      </c>
      <c r="G84" s="6">
        <v>4.75</v>
      </c>
      <c r="H84" s="14">
        <f t="shared" si="0"/>
        <v>-7.4984000000000002</v>
      </c>
      <c r="I84" s="23"/>
      <c r="J84" s="7"/>
      <c r="K84" s="7"/>
      <c r="L84" s="24"/>
      <c r="M84" s="11" t="s">
        <v>186</v>
      </c>
    </row>
    <row r="85" spans="1:13">
      <c r="A85" s="82" t="s">
        <v>187</v>
      </c>
      <c r="B85">
        <v>-4.1384970894013797</v>
      </c>
      <c r="C85" s="71"/>
      <c r="D85" s="12">
        <v>0.14358294446577732</v>
      </c>
      <c r="E85" s="10">
        <v>6</v>
      </c>
      <c r="F85" s="10">
        <v>248</v>
      </c>
      <c r="G85" s="6">
        <v>2.65</v>
      </c>
      <c r="H85" s="14">
        <f t="shared" si="0"/>
        <v>-4.38</v>
      </c>
      <c r="I85" s="23"/>
      <c r="J85" s="7"/>
      <c r="K85" s="7"/>
      <c r="L85" s="24"/>
      <c r="M85" s="11" t="s">
        <v>188</v>
      </c>
    </row>
    <row r="86" spans="1:13">
      <c r="A86" s="82" t="s">
        <v>189</v>
      </c>
      <c r="B86">
        <v>-3.66515533645026</v>
      </c>
      <c r="C86" s="71"/>
      <c r="D86" s="12">
        <v>0.15384096988991314</v>
      </c>
      <c r="E86" s="10">
        <v>11</v>
      </c>
      <c r="F86" s="10">
        <v>173</v>
      </c>
      <c r="G86" s="6">
        <v>2.1800000000000002</v>
      </c>
      <c r="H86" s="14">
        <f t="shared" si="0"/>
        <v>-3.16</v>
      </c>
      <c r="I86" s="23"/>
      <c r="J86" s="7"/>
      <c r="K86" s="7"/>
      <c r="L86" s="24"/>
      <c r="M86" s="11" t="s">
        <v>190</v>
      </c>
    </row>
    <row r="87" spans="1:13">
      <c r="A87" s="82" t="s">
        <v>191</v>
      </c>
      <c r="B87">
        <v>-3.48523729251901</v>
      </c>
      <c r="C87" s="71"/>
      <c r="D87" s="12">
        <v>0.14176528631434945</v>
      </c>
      <c r="E87" s="10">
        <v>5</v>
      </c>
      <c r="F87" s="10">
        <v>143.75</v>
      </c>
      <c r="G87" s="6">
        <v>2.76</v>
      </c>
      <c r="H87" s="14">
        <f t="shared" ref="H87:H122" si="1">0.5-G87-0.01*(F87-25)</f>
        <v>-3.4474999999999998</v>
      </c>
      <c r="I87" s="23"/>
      <c r="J87" s="7"/>
      <c r="K87" s="7"/>
      <c r="L87" s="24"/>
      <c r="M87" s="11" t="s">
        <v>192</v>
      </c>
    </row>
    <row r="88" spans="1:13">
      <c r="A88" s="82" t="s">
        <v>193</v>
      </c>
      <c r="B88">
        <v>-2.6456114731508298</v>
      </c>
      <c r="C88" s="71"/>
      <c r="D88" s="12">
        <v>0.16213928191469343</v>
      </c>
      <c r="E88" s="10">
        <v>19</v>
      </c>
      <c r="F88" s="10">
        <v>220.5</v>
      </c>
      <c r="G88" s="6">
        <v>1.27</v>
      </c>
      <c r="H88" s="14">
        <f t="shared" si="1"/>
        <v>-2.7250000000000001</v>
      </c>
      <c r="I88" s="23"/>
      <c r="J88" s="7"/>
      <c r="K88" s="7"/>
      <c r="L88" s="24"/>
      <c r="M88" s="11" t="s">
        <v>194</v>
      </c>
    </row>
    <row r="89" spans="1:13">
      <c r="A89" s="82" t="s">
        <v>195</v>
      </c>
      <c r="B89">
        <v>-4.5213368834142003</v>
      </c>
      <c r="C89" s="71"/>
      <c r="D89" s="12">
        <v>0.16127920198135692</v>
      </c>
      <c r="E89" s="10">
        <v>5</v>
      </c>
      <c r="F89" s="10">
        <v>214</v>
      </c>
      <c r="G89" s="6">
        <v>3.83</v>
      </c>
      <c r="H89" s="14">
        <f t="shared" si="1"/>
        <v>-5.2200000000000006</v>
      </c>
      <c r="I89" s="23"/>
      <c r="J89" s="7"/>
      <c r="K89" s="7"/>
      <c r="L89" s="24"/>
      <c r="M89" s="11" t="s">
        <v>196</v>
      </c>
    </row>
    <row r="90" spans="1:13">
      <c r="A90" s="83" t="s">
        <v>197</v>
      </c>
      <c r="B90">
        <v>-4.1755790171192597</v>
      </c>
      <c r="C90" s="71"/>
      <c r="D90" s="12">
        <v>0.13869006117838048</v>
      </c>
      <c r="E90" s="10">
        <v>3</v>
      </c>
      <c r="F90" s="10">
        <v>176</v>
      </c>
      <c r="G90" s="6">
        <v>2.88</v>
      </c>
      <c r="H90" s="14">
        <f t="shared" si="1"/>
        <v>-3.8899999999999997</v>
      </c>
      <c r="I90" s="23"/>
      <c r="J90" s="7"/>
      <c r="K90" s="7"/>
      <c r="L90" s="24"/>
      <c r="M90" s="11" t="s">
        <v>198</v>
      </c>
    </row>
    <row r="91" spans="1:13">
      <c r="A91" s="85" t="s">
        <v>199</v>
      </c>
      <c r="B91">
        <v>-3.0653734159893502</v>
      </c>
      <c r="C91" s="72"/>
      <c r="D91" s="4">
        <v>0.1259834086188602</v>
      </c>
      <c r="E91" s="2">
        <v>14</v>
      </c>
      <c r="F91" s="10">
        <v>253.5</v>
      </c>
      <c r="G91" s="6">
        <v>1.54</v>
      </c>
      <c r="H91" s="14">
        <f t="shared" si="1"/>
        <v>-3.3250000000000002</v>
      </c>
      <c r="I91" s="23"/>
      <c r="J91" s="7"/>
      <c r="K91" s="7"/>
      <c r="L91" s="24"/>
      <c r="M91" s="11" t="s">
        <v>200</v>
      </c>
    </row>
    <row r="92" spans="1:13">
      <c r="A92" s="82" t="s">
        <v>201</v>
      </c>
      <c r="B92">
        <v>-3.51602041662938</v>
      </c>
      <c r="C92" s="71"/>
      <c r="D92" s="12">
        <v>0.16504944177542516</v>
      </c>
      <c r="E92" s="10">
        <v>5</v>
      </c>
      <c r="F92" s="10">
        <v>205.50000000000003</v>
      </c>
      <c r="G92" s="6">
        <v>2.4500000000000002</v>
      </c>
      <c r="H92" s="14">
        <f t="shared" si="1"/>
        <v>-3.7550000000000008</v>
      </c>
      <c r="I92" s="23"/>
      <c r="J92" s="7"/>
      <c r="K92" s="7"/>
      <c r="L92" s="24"/>
      <c r="M92" s="11" t="s">
        <v>202</v>
      </c>
    </row>
    <row r="93" spans="1:13">
      <c r="A93" s="83" t="s">
        <v>203</v>
      </c>
      <c r="B93">
        <v>-4.0308486386725102</v>
      </c>
      <c r="C93" s="71"/>
      <c r="D93" s="12">
        <v>0.19426266518058349</v>
      </c>
      <c r="E93" s="10">
        <v>3</v>
      </c>
      <c r="F93" s="10">
        <v>96</v>
      </c>
      <c r="G93" s="6">
        <v>3.49</v>
      </c>
      <c r="H93" s="14">
        <f t="shared" si="1"/>
        <v>-3.7</v>
      </c>
      <c r="I93" s="23"/>
      <c r="J93" s="7"/>
      <c r="K93" s="7"/>
      <c r="L93" s="24"/>
      <c r="M93" s="11" t="s">
        <v>204</v>
      </c>
    </row>
    <row r="94" spans="1:13">
      <c r="A94" s="82" t="s">
        <v>205</v>
      </c>
      <c r="B94">
        <v>-4.6763535953061899</v>
      </c>
      <c r="C94" s="71"/>
      <c r="D94" s="12">
        <v>0.18894337149737056</v>
      </c>
      <c r="E94" s="10">
        <v>12</v>
      </c>
      <c r="F94" s="10">
        <v>147.25</v>
      </c>
      <c r="G94" s="6">
        <v>3.86</v>
      </c>
      <c r="H94" s="14">
        <f t="shared" si="1"/>
        <v>-4.5824999999999996</v>
      </c>
      <c r="I94" s="23"/>
      <c r="J94" s="7"/>
      <c r="K94" s="7"/>
      <c r="L94" s="24"/>
      <c r="M94" s="11" t="s">
        <v>206</v>
      </c>
    </row>
    <row r="95" spans="1:13">
      <c r="A95" s="82" t="s">
        <v>207</v>
      </c>
      <c r="B95">
        <v>-4.3448973562013302</v>
      </c>
      <c r="C95" s="71"/>
      <c r="D95" s="12">
        <v>0.17391407185160324</v>
      </c>
      <c r="E95" s="10">
        <v>6</v>
      </c>
      <c r="F95" s="10">
        <v>97</v>
      </c>
      <c r="G95" s="6">
        <v>3.94</v>
      </c>
      <c r="H95" s="14">
        <f t="shared" si="1"/>
        <v>-4.16</v>
      </c>
      <c r="I95" s="23"/>
      <c r="J95" s="7"/>
      <c r="K95" s="7"/>
      <c r="L95" s="24"/>
      <c r="M95" s="11" t="s">
        <v>208</v>
      </c>
    </row>
    <row r="96" spans="1:13">
      <c r="A96" s="81" t="s">
        <v>209</v>
      </c>
      <c r="B96">
        <v>-1.96742458140577</v>
      </c>
      <c r="C96" s="71"/>
      <c r="D96" s="12">
        <v>0.13764369691033657</v>
      </c>
      <c r="E96" s="10">
        <v>10</v>
      </c>
      <c r="F96" s="10">
        <v>134.5</v>
      </c>
      <c r="G96" s="6">
        <v>2.04</v>
      </c>
      <c r="H96" s="14">
        <f t="shared" si="1"/>
        <v>-2.6349999999999998</v>
      </c>
      <c r="I96" s="23"/>
      <c r="J96" s="7"/>
      <c r="K96" s="7"/>
      <c r="L96" s="24"/>
      <c r="M96" s="11" t="s">
        <v>210</v>
      </c>
    </row>
    <row r="97" spans="1:13">
      <c r="A97" s="82" t="s">
        <v>211</v>
      </c>
      <c r="B97">
        <v>-2.3646186655024701</v>
      </c>
      <c r="C97" s="71"/>
      <c r="D97" s="12">
        <v>0.16245746888591447</v>
      </c>
      <c r="E97" s="10">
        <v>7</v>
      </c>
      <c r="F97" s="10">
        <v>139</v>
      </c>
      <c r="G97" s="6">
        <v>2.66</v>
      </c>
      <c r="H97" s="14">
        <f t="shared" si="1"/>
        <v>-3.3000000000000003</v>
      </c>
      <c r="I97" s="23"/>
      <c r="J97" s="7"/>
      <c r="K97" s="7"/>
      <c r="L97" s="24"/>
      <c r="M97" s="11" t="s">
        <v>212</v>
      </c>
    </row>
    <row r="98" spans="1:13">
      <c r="A98" s="82" t="s">
        <v>213</v>
      </c>
      <c r="B98">
        <v>-3.0797540836200499</v>
      </c>
      <c r="C98" s="71"/>
      <c r="D98" s="12">
        <v>0.15322122505052199</v>
      </c>
      <c r="E98" s="10">
        <v>9</v>
      </c>
      <c r="F98" s="10">
        <v>170</v>
      </c>
      <c r="G98" s="6">
        <v>1.91</v>
      </c>
      <c r="H98" s="14">
        <f t="shared" si="1"/>
        <v>-2.86</v>
      </c>
      <c r="I98" s="23"/>
      <c r="J98" s="7"/>
      <c r="K98" s="7"/>
      <c r="L98" s="24"/>
      <c r="M98" s="11" t="s">
        <v>214</v>
      </c>
    </row>
    <row r="99" spans="1:13">
      <c r="A99" s="81" t="s">
        <v>215</v>
      </c>
      <c r="B99">
        <v>-3.4475406201064298</v>
      </c>
      <c r="C99" s="71"/>
      <c r="D99" s="12">
        <v>0.15273607916541068</v>
      </c>
      <c r="E99" s="10">
        <v>10</v>
      </c>
      <c r="F99" s="10">
        <v>326</v>
      </c>
      <c r="G99" s="6">
        <v>2.44</v>
      </c>
      <c r="H99" s="14">
        <f t="shared" si="1"/>
        <v>-4.95</v>
      </c>
      <c r="I99" s="23"/>
      <c r="J99" s="7"/>
      <c r="K99" s="7"/>
      <c r="L99" s="24"/>
      <c r="M99" s="11" t="s">
        <v>216</v>
      </c>
    </row>
    <row r="100" spans="1:13">
      <c r="A100" s="82" t="s">
        <v>217</v>
      </c>
      <c r="B100">
        <v>-3.66723399684538</v>
      </c>
      <c r="C100" s="71"/>
      <c r="D100" s="12">
        <v>0.18404701512102448</v>
      </c>
      <c r="E100" s="10">
        <v>5</v>
      </c>
      <c r="F100" s="10">
        <v>232.50000000000003</v>
      </c>
      <c r="G100" s="6">
        <v>1.8</v>
      </c>
      <c r="H100" s="14">
        <f t="shared" si="1"/>
        <v>-3.375</v>
      </c>
      <c r="I100" s="23"/>
      <c r="J100" s="7"/>
      <c r="K100" s="7"/>
      <c r="L100" s="24"/>
      <c r="M100" s="11" t="s">
        <v>218</v>
      </c>
    </row>
    <row r="101" spans="1:13">
      <c r="A101" s="82" t="s">
        <v>219</v>
      </c>
      <c r="B101">
        <v>-1.56799501594608</v>
      </c>
      <c r="C101" s="71"/>
      <c r="D101" s="12">
        <v>0.13604063752604376</v>
      </c>
      <c r="E101" s="10">
        <v>4</v>
      </c>
      <c r="F101" s="10">
        <v>281.5</v>
      </c>
      <c r="G101" s="6">
        <v>0.54</v>
      </c>
      <c r="H101" s="14">
        <f t="shared" si="1"/>
        <v>-2.605</v>
      </c>
      <c r="I101" s="23"/>
      <c r="J101" s="7"/>
      <c r="K101" s="7"/>
      <c r="L101" s="24"/>
      <c r="M101" s="11" t="s">
        <v>220</v>
      </c>
    </row>
    <row r="102" spans="1:13">
      <c r="A102" s="82" t="s">
        <v>221</v>
      </c>
      <c r="B102">
        <v>-2.7937390482681801</v>
      </c>
      <c r="C102" s="71"/>
      <c r="D102" s="12">
        <v>0.19798964803022484</v>
      </c>
      <c r="E102" s="10">
        <v>4</v>
      </c>
      <c r="F102" s="10">
        <v>197.1</v>
      </c>
      <c r="G102" s="6">
        <v>2.2000000000000002</v>
      </c>
      <c r="H102" s="14">
        <f t="shared" si="1"/>
        <v>-3.4210000000000003</v>
      </c>
      <c r="I102" s="23"/>
      <c r="J102" s="7"/>
      <c r="K102" s="7"/>
      <c r="L102" s="24"/>
      <c r="M102" s="11" t="s">
        <v>222</v>
      </c>
    </row>
    <row r="103" spans="1:13">
      <c r="A103" s="83" t="s">
        <v>223</v>
      </c>
      <c r="B103">
        <v>-4.3476753433113897</v>
      </c>
      <c r="C103" s="71"/>
      <c r="D103" s="12">
        <v>0.13486720020739137</v>
      </c>
      <c r="E103" s="10">
        <v>4</v>
      </c>
      <c r="F103" s="10">
        <v>33</v>
      </c>
      <c r="G103" s="6">
        <v>4.24</v>
      </c>
      <c r="H103" s="14">
        <f t="shared" si="1"/>
        <v>-3.8200000000000003</v>
      </c>
      <c r="I103" s="23"/>
      <c r="J103" s="7"/>
      <c r="K103" s="7"/>
      <c r="L103" s="24"/>
      <c r="M103" s="11" t="s">
        <v>224</v>
      </c>
    </row>
    <row r="104" spans="1:13">
      <c r="A104" s="82" t="s">
        <v>225</v>
      </c>
      <c r="B104">
        <v>-4.4375359406379502</v>
      </c>
      <c r="C104" s="71"/>
      <c r="D104" s="12">
        <v>0.18801274760604275</v>
      </c>
      <c r="E104" s="10">
        <v>11</v>
      </c>
      <c r="F104" s="10">
        <v>60</v>
      </c>
      <c r="G104" s="6">
        <v>4.24</v>
      </c>
      <c r="H104" s="14">
        <f t="shared" si="1"/>
        <v>-4.09</v>
      </c>
      <c r="I104" s="23"/>
      <c r="J104" s="7"/>
      <c r="K104" s="7"/>
      <c r="L104" s="24"/>
      <c r="M104" s="11" t="s">
        <v>226</v>
      </c>
    </row>
    <row r="105" spans="1:13">
      <c r="A105" s="82" t="s">
        <v>227</v>
      </c>
      <c r="B105">
        <v>-5.1294179598437797</v>
      </c>
      <c r="C105" s="71"/>
      <c r="D105" s="12">
        <v>0.1664014074224209</v>
      </c>
      <c r="E105" s="10">
        <v>4</v>
      </c>
      <c r="F105" s="10">
        <v>130.5</v>
      </c>
      <c r="G105" s="6">
        <v>5.22</v>
      </c>
      <c r="H105" s="14">
        <f t="shared" si="1"/>
        <v>-5.7749999999999995</v>
      </c>
      <c r="I105" s="23"/>
      <c r="J105" s="7"/>
      <c r="K105" s="7"/>
      <c r="L105" s="24"/>
      <c r="M105" s="11" t="s">
        <v>228</v>
      </c>
    </row>
    <row r="106" spans="1:13">
      <c r="A106" s="83" t="s">
        <v>103</v>
      </c>
      <c r="B106">
        <v>-3.16242275468018</v>
      </c>
      <c r="C106" s="71"/>
      <c r="D106" s="12">
        <v>0.17506472136100007</v>
      </c>
      <c r="E106" s="10">
        <v>7</v>
      </c>
      <c r="F106" s="10">
        <v>254</v>
      </c>
      <c r="G106" s="6">
        <v>2.97</v>
      </c>
      <c r="H106" s="14">
        <f t="shared" si="1"/>
        <v>-4.76</v>
      </c>
      <c r="I106" s="23"/>
      <c r="J106" s="7"/>
      <c r="K106" s="7"/>
      <c r="L106" s="24"/>
      <c r="M106" s="11" t="s">
        <v>229</v>
      </c>
    </row>
    <row r="107" spans="1:13">
      <c r="A107" s="83" t="s">
        <v>230</v>
      </c>
      <c r="B107">
        <v>-3.9882193061330899</v>
      </c>
      <c r="C107" s="71"/>
      <c r="D107" s="12">
        <v>0.1605416460069265</v>
      </c>
      <c r="E107" s="10">
        <v>5</v>
      </c>
      <c r="F107" s="10">
        <v>121</v>
      </c>
      <c r="G107" s="6">
        <v>5.91</v>
      </c>
      <c r="H107" s="14">
        <f t="shared" si="1"/>
        <v>-6.37</v>
      </c>
      <c r="I107" s="23"/>
      <c r="J107" s="7"/>
      <c r="K107" s="7"/>
      <c r="L107" s="24"/>
      <c r="M107" s="11" t="s">
        <v>231</v>
      </c>
    </row>
    <row r="108" spans="1:13">
      <c r="A108" s="82" t="s">
        <v>232</v>
      </c>
      <c r="B108">
        <v>-3.6908959497542799</v>
      </c>
      <c r="C108" s="71"/>
      <c r="D108" s="12">
        <v>0.15756984748208766</v>
      </c>
      <c r="E108" s="10">
        <v>5</v>
      </c>
      <c r="F108" s="10">
        <v>206.99999999999997</v>
      </c>
      <c r="G108" s="6">
        <v>2.56</v>
      </c>
      <c r="H108" s="14">
        <f t="shared" si="1"/>
        <v>-3.88</v>
      </c>
      <c r="I108" s="23"/>
      <c r="J108" s="7"/>
      <c r="K108" s="7"/>
      <c r="L108" s="24"/>
      <c r="M108" s="11" t="s">
        <v>233</v>
      </c>
    </row>
    <row r="109" spans="1:13">
      <c r="A109" s="81" t="s">
        <v>234</v>
      </c>
      <c r="B109">
        <v>-4.22497065792962</v>
      </c>
      <c r="C109" s="71"/>
      <c r="D109" s="12">
        <v>0.16160362353179636</v>
      </c>
      <c r="E109" s="10">
        <v>6</v>
      </c>
      <c r="F109" s="10">
        <v>134.5</v>
      </c>
      <c r="G109" s="6">
        <v>4.8499999999999996</v>
      </c>
      <c r="H109" s="14">
        <f t="shared" si="1"/>
        <v>-5.4449999999999994</v>
      </c>
      <c r="I109" s="23"/>
      <c r="J109" s="7"/>
      <c r="K109" s="7"/>
      <c r="L109" s="24"/>
      <c r="M109" s="11" t="s">
        <v>235</v>
      </c>
    </row>
    <row r="110" spans="1:13">
      <c r="A110" s="81" t="s">
        <v>236</v>
      </c>
      <c r="B110">
        <v>-3.3601784394407499</v>
      </c>
      <c r="C110" s="71"/>
      <c r="D110" s="12">
        <v>0.18685765827673947</v>
      </c>
      <c r="E110" s="10">
        <v>6</v>
      </c>
      <c r="F110" s="10">
        <v>275</v>
      </c>
      <c r="G110" s="6">
        <v>2.09</v>
      </c>
      <c r="H110" s="14">
        <f t="shared" si="1"/>
        <v>-4.09</v>
      </c>
      <c r="I110" s="23"/>
      <c r="J110" s="7"/>
      <c r="K110" s="7"/>
      <c r="L110" s="24"/>
      <c r="M110" s="11" t="s">
        <v>237</v>
      </c>
    </row>
    <row r="111" spans="1:13">
      <c r="A111" s="82" t="s">
        <v>238</v>
      </c>
      <c r="B111">
        <v>-3.3786337736581702</v>
      </c>
      <c r="C111" s="71"/>
      <c r="D111" s="12">
        <v>0.13950112944748669</v>
      </c>
      <c r="E111" s="10">
        <v>9</v>
      </c>
      <c r="F111" s="10">
        <v>220.00000000000003</v>
      </c>
      <c r="G111" s="6">
        <v>1.8</v>
      </c>
      <c r="H111" s="14">
        <f t="shared" si="1"/>
        <v>-3.2500000000000004</v>
      </c>
      <c r="I111" s="23"/>
      <c r="J111" s="7"/>
      <c r="K111" s="7"/>
      <c r="L111" s="24"/>
      <c r="M111" s="11" t="s">
        <v>239</v>
      </c>
    </row>
    <row r="112" spans="1:13">
      <c r="A112" s="85" t="s">
        <v>240</v>
      </c>
      <c r="B112">
        <v>-2.6348426554273598</v>
      </c>
      <c r="C112" s="72"/>
      <c r="D112" s="4">
        <v>0.22014005046870977</v>
      </c>
      <c r="E112" s="2">
        <v>9</v>
      </c>
      <c r="F112" s="10">
        <v>202</v>
      </c>
      <c r="G112" s="6">
        <v>1.53</v>
      </c>
      <c r="H112" s="14">
        <f t="shared" si="1"/>
        <v>-2.8</v>
      </c>
      <c r="I112" s="23"/>
      <c r="J112" s="7"/>
      <c r="K112" s="7"/>
      <c r="L112" s="24"/>
      <c r="M112" s="11" t="s">
        <v>241</v>
      </c>
    </row>
    <row r="113" spans="1:28">
      <c r="A113" s="82" t="s">
        <v>242</v>
      </c>
      <c r="B113">
        <v>-2.9118161426383802</v>
      </c>
      <c r="C113" s="71"/>
      <c r="D113" s="12">
        <v>0.14014083879485537</v>
      </c>
      <c r="E113" s="10">
        <v>3</v>
      </c>
      <c r="F113" s="10">
        <v>243.00000000000003</v>
      </c>
      <c r="G113" s="6">
        <v>1.48</v>
      </c>
      <c r="H113" s="14">
        <f t="shared" si="1"/>
        <v>-3.16</v>
      </c>
      <c r="I113" s="23"/>
      <c r="J113" s="7"/>
      <c r="K113" s="7"/>
      <c r="L113" s="24"/>
      <c r="M113" s="11" t="s">
        <v>243</v>
      </c>
    </row>
    <row r="114" spans="1:28">
      <c r="A114" s="83" t="s">
        <v>244</v>
      </c>
      <c r="B114">
        <v>-2.5916746756092199</v>
      </c>
      <c r="C114" s="71"/>
      <c r="D114" s="12">
        <v>0.13726989684757951</v>
      </c>
      <c r="E114" s="10">
        <v>3</v>
      </c>
      <c r="F114" s="10">
        <v>191</v>
      </c>
      <c r="G114" s="6">
        <v>1.67</v>
      </c>
      <c r="H114" s="14">
        <f t="shared" si="1"/>
        <v>-2.83</v>
      </c>
      <c r="I114" s="23"/>
      <c r="J114" s="7"/>
      <c r="K114" s="7"/>
      <c r="L114" s="24"/>
      <c r="M114" s="11" t="s">
        <v>245</v>
      </c>
    </row>
    <row r="115" spans="1:28">
      <c r="A115" s="82" t="s">
        <v>246</v>
      </c>
      <c r="B115">
        <v>-4.4732602186191697</v>
      </c>
      <c r="C115" s="71"/>
      <c r="D115" s="12">
        <v>0.21357402153711522</v>
      </c>
      <c r="E115" s="10">
        <v>7</v>
      </c>
      <c r="F115" s="10">
        <v>183.5</v>
      </c>
      <c r="G115" s="6">
        <v>4.37</v>
      </c>
      <c r="H115" s="14">
        <f t="shared" si="1"/>
        <v>-5.4550000000000001</v>
      </c>
      <c r="I115" s="23"/>
      <c r="J115" s="7"/>
      <c r="K115" s="7"/>
      <c r="L115" s="24"/>
      <c r="M115" s="11" t="s">
        <v>247</v>
      </c>
    </row>
    <row r="116" spans="1:28">
      <c r="A116" s="82" t="s">
        <v>248</v>
      </c>
      <c r="B116">
        <v>-2.5744805175454202</v>
      </c>
      <c r="C116" s="71"/>
      <c r="D116" s="12">
        <v>0.10564411177747912</v>
      </c>
      <c r="E116" s="10">
        <v>3</v>
      </c>
      <c r="F116" s="10">
        <v>149</v>
      </c>
      <c r="G116" s="6">
        <v>2.62</v>
      </c>
      <c r="H116" s="14">
        <f t="shared" si="1"/>
        <v>-3.3600000000000003</v>
      </c>
      <c r="I116" s="23"/>
      <c r="J116" s="7"/>
      <c r="K116" s="7"/>
      <c r="L116" s="24"/>
      <c r="M116" s="11" t="s">
        <v>249</v>
      </c>
    </row>
    <row r="117" spans="1:28">
      <c r="A117" s="81" t="s">
        <v>250</v>
      </c>
      <c r="B117">
        <v>-2.81329076601885</v>
      </c>
      <c r="C117" s="71"/>
      <c r="D117" s="12">
        <v>0.14623917640453388</v>
      </c>
      <c r="E117" s="10">
        <v>8</v>
      </c>
      <c r="F117" s="10">
        <v>165</v>
      </c>
      <c r="G117" s="6">
        <v>-0.37</v>
      </c>
      <c r="H117" s="14">
        <f t="shared" si="1"/>
        <v>-0.53000000000000014</v>
      </c>
      <c r="I117" s="23"/>
      <c r="J117" s="7"/>
      <c r="K117" s="7"/>
      <c r="L117" s="24"/>
      <c r="M117" s="11" t="s">
        <v>251</v>
      </c>
    </row>
    <row r="118" spans="1:28">
      <c r="A118" s="82" t="s">
        <v>252</v>
      </c>
      <c r="B118">
        <v>-2.54565782220596</v>
      </c>
      <c r="C118" s="71"/>
      <c r="D118" s="12">
        <v>0.16291639539032501</v>
      </c>
      <c r="E118" s="10">
        <v>10</v>
      </c>
      <c r="F118" s="10">
        <v>225</v>
      </c>
      <c r="G118" s="6">
        <v>0.81</v>
      </c>
      <c r="H118" s="14">
        <f t="shared" si="1"/>
        <v>-2.31</v>
      </c>
      <c r="I118" s="23"/>
      <c r="J118" s="7"/>
      <c r="K118" s="7"/>
      <c r="L118" s="24"/>
      <c r="M118" s="11" t="s">
        <v>253</v>
      </c>
    </row>
    <row r="119" spans="1:28">
      <c r="A119" s="82" t="s">
        <v>254</v>
      </c>
      <c r="B119">
        <v>-3.3822659722864499</v>
      </c>
      <c r="C119" s="71"/>
      <c r="D119" s="12">
        <v>0.21166647357477791</v>
      </c>
      <c r="E119" s="10">
        <v>5</v>
      </c>
      <c r="F119" s="10">
        <v>270</v>
      </c>
      <c r="G119" s="6">
        <v>0.62</v>
      </c>
      <c r="H119" s="14">
        <f t="shared" si="1"/>
        <v>-2.5700000000000003</v>
      </c>
      <c r="I119" s="23"/>
      <c r="J119" s="7"/>
      <c r="K119" s="7"/>
      <c r="L119" s="24"/>
      <c r="M119" s="11" t="s">
        <v>255</v>
      </c>
    </row>
    <row r="120" spans="1:28">
      <c r="A120" s="81" t="s">
        <v>256</v>
      </c>
      <c r="B120">
        <v>-2.6306914505534502</v>
      </c>
      <c r="C120" s="71"/>
      <c r="D120" s="12">
        <v>0.14175650298978676</v>
      </c>
      <c r="E120" s="10">
        <v>9</v>
      </c>
      <c r="F120" s="10">
        <v>312.66666666666669</v>
      </c>
      <c r="G120" s="6">
        <v>0.83</v>
      </c>
      <c r="H120" s="14">
        <f t="shared" si="1"/>
        <v>-3.206666666666667</v>
      </c>
      <c r="I120" s="23"/>
      <c r="J120" s="7"/>
      <c r="K120" s="7"/>
      <c r="L120" s="24"/>
      <c r="M120" s="11" t="s">
        <v>257</v>
      </c>
    </row>
    <row r="121" spans="1:28">
      <c r="A121" s="82" t="s">
        <v>258</v>
      </c>
      <c r="B121">
        <v>-3.9407886398641501</v>
      </c>
      <c r="C121" s="71"/>
      <c r="D121" s="12">
        <v>0.2034688635346244</v>
      </c>
      <c r="E121" s="10">
        <v>11</v>
      </c>
      <c r="F121" s="10">
        <v>161</v>
      </c>
      <c r="G121" s="6">
        <v>3.61</v>
      </c>
      <c r="H121" s="14">
        <f t="shared" si="1"/>
        <v>-4.47</v>
      </c>
      <c r="I121" s="23"/>
      <c r="J121" s="7"/>
      <c r="K121" s="7"/>
      <c r="L121" s="24"/>
      <c r="M121" s="11" t="s">
        <v>259</v>
      </c>
    </row>
    <row r="122" spans="1:28">
      <c r="A122" s="81" t="s">
        <v>109</v>
      </c>
      <c r="B122">
        <v>-3.2462207990819998</v>
      </c>
      <c r="C122" s="71"/>
      <c r="D122" s="12">
        <v>0.20579636821699754</v>
      </c>
      <c r="E122" s="10">
        <v>3</v>
      </c>
      <c r="F122" s="10">
        <v>300</v>
      </c>
      <c r="G122" s="6">
        <v>-1.06</v>
      </c>
      <c r="H122" s="14">
        <f t="shared" si="1"/>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v>-1.9329007161296199</v>
      </c>
      <c r="C129" s="73" t="s">
        <v>30</v>
      </c>
      <c r="D129" s="12">
        <v>0.50033555401430185</v>
      </c>
      <c r="E129" s="10">
        <v>3</v>
      </c>
      <c r="F129" s="10">
        <v>180</v>
      </c>
      <c r="G129" s="1">
        <v>1.91</v>
      </c>
      <c r="H129" s="14">
        <f t="shared" ref="H129:H160" si="2">0.5-G129-0.01*(F129-25)</f>
        <v>-2.96</v>
      </c>
      <c r="I129" s="53" t="s">
        <v>31</v>
      </c>
      <c r="J129" s="54"/>
      <c r="K129" s="14"/>
      <c r="L129" s="14"/>
      <c r="M129" s="3" t="s">
        <v>269</v>
      </c>
    </row>
    <row r="130" spans="1:13">
      <c r="A130" s="82" t="s">
        <v>270</v>
      </c>
      <c r="B130">
        <v>-5.3321130876423402</v>
      </c>
      <c r="C130" s="73" t="s">
        <v>36</v>
      </c>
      <c r="D130" s="12">
        <v>0.5</v>
      </c>
      <c r="E130" s="6">
        <v>5</v>
      </c>
      <c r="F130" s="10">
        <v>156</v>
      </c>
      <c r="G130" s="1">
        <v>6.94</v>
      </c>
      <c r="H130" s="14">
        <f t="shared" si="2"/>
        <v>-7.75</v>
      </c>
      <c r="I130" s="53" t="s">
        <v>37</v>
      </c>
      <c r="J130" s="54"/>
      <c r="K130" s="14"/>
      <c r="L130" s="14"/>
      <c r="M130" s="3" t="s">
        <v>271</v>
      </c>
    </row>
    <row r="131" spans="1:13">
      <c r="A131" s="83" t="s">
        <v>272</v>
      </c>
      <c r="B131">
        <v>-4.60559463937608</v>
      </c>
      <c r="C131" s="73" t="s">
        <v>41</v>
      </c>
      <c r="D131" s="12">
        <v>0.6530957900260097</v>
      </c>
      <c r="E131" s="10">
        <v>3</v>
      </c>
      <c r="F131" s="10">
        <v>208</v>
      </c>
      <c r="G131" s="1">
        <v>5.18</v>
      </c>
      <c r="H131" s="14">
        <f t="shared" si="2"/>
        <v>-6.51</v>
      </c>
      <c r="I131" s="53" t="s">
        <v>42</v>
      </c>
      <c r="J131" s="54"/>
      <c r="K131" s="14"/>
      <c r="L131" s="14"/>
      <c r="M131" s="3" t="s">
        <v>273</v>
      </c>
    </row>
    <row r="132" spans="1:13">
      <c r="A132" s="82" t="s">
        <v>274</v>
      </c>
      <c r="B132">
        <v>-2.3934847391502698</v>
      </c>
      <c r="C132" s="73" t="s">
        <v>46</v>
      </c>
      <c r="D132" s="12">
        <v>0.59285217963150294</v>
      </c>
      <c r="E132" s="10">
        <v>3</v>
      </c>
      <c r="F132" s="10">
        <v>100</v>
      </c>
      <c r="G132" s="1">
        <v>2.37</v>
      </c>
      <c r="H132" s="14">
        <f t="shared" si="2"/>
        <v>-2.62</v>
      </c>
      <c r="I132" s="15" t="s">
        <v>47</v>
      </c>
      <c r="J132" s="29"/>
      <c r="K132" s="14"/>
      <c r="L132" s="14"/>
      <c r="M132" s="3" t="s">
        <v>275</v>
      </c>
    </row>
    <row r="133" spans="1:13">
      <c r="A133" s="82" t="s">
        <v>276</v>
      </c>
      <c r="B133">
        <v>-3.86429965343621</v>
      </c>
      <c r="C133" s="73" t="s">
        <v>51</v>
      </c>
      <c r="D133" s="12">
        <v>0.51067901383936642</v>
      </c>
      <c r="E133" s="10">
        <v>5</v>
      </c>
      <c r="F133" s="10">
        <v>217</v>
      </c>
      <c r="G133" s="1">
        <v>3.19</v>
      </c>
      <c r="H133" s="14">
        <f t="shared" si="2"/>
        <v>-4.6099999999999994</v>
      </c>
      <c r="I133" s="15" t="s">
        <v>52</v>
      </c>
      <c r="J133" s="29"/>
      <c r="K133" s="14"/>
      <c r="L133" s="14"/>
      <c r="M133" s="3" t="s">
        <v>277</v>
      </c>
    </row>
    <row r="134" spans="1:13">
      <c r="A134" s="82" t="s">
        <v>278</v>
      </c>
      <c r="B134">
        <v>-4.5215206343912504</v>
      </c>
      <c r="C134" s="71"/>
      <c r="D134" s="12">
        <v>0.83065522865171437</v>
      </c>
      <c r="E134" s="10">
        <v>3</v>
      </c>
      <c r="F134" s="10">
        <v>209.50000000000003</v>
      </c>
      <c r="G134" s="1">
        <v>4.41</v>
      </c>
      <c r="H134" s="14">
        <f t="shared" si="2"/>
        <v>-5.7550000000000008</v>
      </c>
      <c r="I134" s="15" t="s">
        <v>56</v>
      </c>
      <c r="J134" s="29"/>
      <c r="K134" s="14"/>
      <c r="L134" s="14"/>
      <c r="M134" s="3" t="s">
        <v>279</v>
      </c>
    </row>
    <row r="135" spans="1:13">
      <c r="A135" s="82" t="s">
        <v>280</v>
      </c>
      <c r="B135">
        <v>-4.8463492635689498</v>
      </c>
      <c r="C135" s="71"/>
      <c r="D135" s="12">
        <v>0.51097181417141646</v>
      </c>
      <c r="E135" s="10">
        <v>6</v>
      </c>
      <c r="F135" s="10">
        <v>97.5</v>
      </c>
      <c r="G135" s="1">
        <v>5.19</v>
      </c>
      <c r="H135" s="14">
        <f t="shared" si="2"/>
        <v>-5.415</v>
      </c>
      <c r="I135" s="15" t="s">
        <v>60</v>
      </c>
      <c r="J135" s="31"/>
      <c r="K135" s="14"/>
      <c r="L135" s="14"/>
      <c r="M135" s="3" t="s">
        <v>281</v>
      </c>
    </row>
    <row r="136" spans="1:13">
      <c r="A136" s="81" t="s">
        <v>282</v>
      </c>
      <c r="B136">
        <v>-5.40454065539239</v>
      </c>
      <c r="C136" s="71"/>
      <c r="D136" s="12">
        <v>0.92735432696895004</v>
      </c>
      <c r="E136" s="10">
        <v>5</v>
      </c>
      <c r="F136" s="10">
        <v>211</v>
      </c>
      <c r="G136" s="1">
        <v>7.49</v>
      </c>
      <c r="H136" s="14">
        <f t="shared" si="2"/>
        <v>-8.85</v>
      </c>
      <c r="I136" s="30" t="s">
        <v>64</v>
      </c>
      <c r="J136" s="32"/>
      <c r="K136" s="33" t="s">
        <v>368</v>
      </c>
      <c r="L136" s="34"/>
      <c r="M136" s="3" t="s">
        <v>283</v>
      </c>
    </row>
    <row r="137" spans="1:13">
      <c r="A137" s="82" t="s">
        <v>112</v>
      </c>
      <c r="B137">
        <v>-3.5426659714256599</v>
      </c>
      <c r="C137" s="71"/>
      <c r="D137" s="12">
        <v>0.68239272333923895</v>
      </c>
      <c r="E137" s="10">
        <v>3</v>
      </c>
      <c r="F137" s="10">
        <v>177</v>
      </c>
      <c r="G137" s="1">
        <v>3.37</v>
      </c>
      <c r="H137" s="14">
        <f t="shared" si="2"/>
        <v>-4.3900000000000006</v>
      </c>
      <c r="J137" s="14"/>
      <c r="K137" s="14"/>
      <c r="L137" s="14"/>
      <c r="M137" s="3" t="s">
        <v>284</v>
      </c>
    </row>
    <row r="138" spans="1:13">
      <c r="A138" s="82" t="s">
        <v>285</v>
      </c>
      <c r="B138">
        <v>-4.6598509743632199</v>
      </c>
      <c r="C138" s="71"/>
      <c r="D138" s="12">
        <v>0.520951861602862</v>
      </c>
      <c r="E138" s="10">
        <v>10</v>
      </c>
      <c r="F138" s="10">
        <v>228.6</v>
      </c>
      <c r="G138" s="1">
        <v>4.22</v>
      </c>
      <c r="H138" s="14">
        <f t="shared" si="2"/>
        <v>-5.7560000000000002</v>
      </c>
      <c r="I138" s="16" t="s">
        <v>286</v>
      </c>
      <c r="J138" s="17"/>
      <c r="K138" s="17"/>
      <c r="L138" s="18"/>
      <c r="M138" s="3" t="s">
        <v>287</v>
      </c>
    </row>
    <row r="139" spans="1:13">
      <c r="A139" s="81" t="s">
        <v>288</v>
      </c>
      <c r="B139">
        <v>-2.4223188426551099</v>
      </c>
      <c r="C139" s="71"/>
      <c r="D139" s="12">
        <v>0.53906642829149898</v>
      </c>
      <c r="E139" s="10">
        <v>3</v>
      </c>
      <c r="F139" s="10">
        <v>161.5</v>
      </c>
      <c r="G139" s="1">
        <v>-0.21</v>
      </c>
      <c r="H139" s="14">
        <f t="shared" si="2"/>
        <v>-0.65500000000000003</v>
      </c>
      <c r="I139" s="20" t="s">
        <v>364</v>
      </c>
      <c r="J139" s="21"/>
      <c r="K139" s="21"/>
      <c r="L139" s="22"/>
      <c r="M139" s="3" t="s">
        <v>289</v>
      </c>
    </row>
    <row r="140" spans="1:13">
      <c r="A140" s="81" t="s">
        <v>290</v>
      </c>
      <c r="B140">
        <v>-3.9247512741003399</v>
      </c>
      <c r="C140" s="71"/>
      <c r="D140" s="12">
        <v>0.56233984781338708</v>
      </c>
      <c r="E140" s="10">
        <v>11</v>
      </c>
      <c r="F140" s="10">
        <v>213.49999999999997</v>
      </c>
      <c r="G140" s="1">
        <v>3.04</v>
      </c>
      <c r="H140" s="14">
        <f t="shared" si="2"/>
        <v>-4.4249999999999998</v>
      </c>
      <c r="I140" s="23" t="s">
        <v>363</v>
      </c>
      <c r="J140" s="7"/>
      <c r="K140" s="7"/>
      <c r="L140" s="24"/>
      <c r="M140" s="3" t="s">
        <v>291</v>
      </c>
    </row>
    <row r="141" spans="1:13">
      <c r="A141" s="83" t="s">
        <v>292</v>
      </c>
      <c r="B141">
        <v>-2.5913118023215702</v>
      </c>
      <c r="C141" s="71"/>
      <c r="D141" s="12">
        <v>0.54710381306524825</v>
      </c>
      <c r="E141" s="10">
        <v>4</v>
      </c>
      <c r="F141" s="10">
        <v>168.5</v>
      </c>
      <c r="G141" s="1">
        <v>3.35</v>
      </c>
      <c r="H141" s="14">
        <f t="shared" si="2"/>
        <v>-4.2850000000000001</v>
      </c>
      <c r="I141" s="23"/>
      <c r="J141" s="7"/>
      <c r="K141" s="7"/>
      <c r="L141" s="24"/>
      <c r="M141" s="3" t="s">
        <v>293</v>
      </c>
    </row>
    <row r="142" spans="1:13">
      <c r="A142" s="81" t="s">
        <v>114</v>
      </c>
      <c r="B142">
        <v>-2.1125738845085098</v>
      </c>
      <c r="C142" s="71"/>
      <c r="D142" s="12">
        <v>0.54612637818466869</v>
      </c>
      <c r="E142" s="10">
        <v>3</v>
      </c>
      <c r="F142" s="13">
        <v>124.1</v>
      </c>
      <c r="G142" s="1">
        <v>2.81</v>
      </c>
      <c r="H142" s="14">
        <f t="shared" si="2"/>
        <v>-3.3010000000000002</v>
      </c>
      <c r="I142" s="25"/>
      <c r="J142" s="7"/>
      <c r="K142" s="7"/>
      <c r="L142" s="24"/>
      <c r="M142" s="3" t="s">
        <v>294</v>
      </c>
    </row>
    <row r="143" spans="1:13">
      <c r="A143" s="81" t="s">
        <v>295</v>
      </c>
      <c r="B143">
        <v>-3.79853888421873</v>
      </c>
      <c r="C143" s="71"/>
      <c r="D143" s="12">
        <v>0.51160213896594608</v>
      </c>
      <c r="E143" s="10">
        <v>4</v>
      </c>
      <c r="F143" s="10">
        <v>165</v>
      </c>
      <c r="G143" s="1">
        <v>4.8899999999999997</v>
      </c>
      <c r="H143" s="14">
        <f t="shared" si="2"/>
        <v>-5.79</v>
      </c>
      <c r="I143" s="25"/>
      <c r="J143" s="7"/>
      <c r="K143" s="7"/>
      <c r="L143" s="24"/>
      <c r="M143" s="3" t="s">
        <v>296</v>
      </c>
    </row>
    <row r="144" spans="1:13">
      <c r="A144" s="81" t="s">
        <v>117</v>
      </c>
      <c r="B144">
        <v>-3.79027104293609</v>
      </c>
      <c r="C144" s="71"/>
      <c r="D144" s="12">
        <v>0.65141515533308314</v>
      </c>
      <c r="E144" s="10">
        <v>4</v>
      </c>
      <c r="F144" s="10">
        <v>161.1</v>
      </c>
      <c r="G144" s="1">
        <v>4.76</v>
      </c>
      <c r="H144" s="14">
        <f t="shared" si="2"/>
        <v>-5.6209999999999996</v>
      </c>
      <c r="I144" s="25"/>
      <c r="J144" s="7"/>
      <c r="K144" s="7"/>
      <c r="L144" s="24"/>
      <c r="M144" s="3" t="s">
        <v>297</v>
      </c>
    </row>
    <row r="145" spans="1:28">
      <c r="A145" s="83" t="s">
        <v>298</v>
      </c>
      <c r="B145">
        <v>-4.7880845514162003</v>
      </c>
      <c r="C145" s="71"/>
      <c r="D145" s="12">
        <v>0.65883215509381909</v>
      </c>
      <c r="E145" s="10">
        <v>3</v>
      </c>
      <c r="F145" s="10">
        <v>155</v>
      </c>
      <c r="G145" s="1">
        <v>3.74</v>
      </c>
      <c r="H145" s="14">
        <f t="shared" si="2"/>
        <v>-4.54</v>
      </c>
      <c r="I145" s="25"/>
      <c r="J145" s="7"/>
      <c r="K145" s="7"/>
      <c r="L145" s="24"/>
      <c r="M145" s="3" t="s">
        <v>299</v>
      </c>
    </row>
    <row r="146" spans="1:28">
      <c r="A146" s="82" t="s">
        <v>300</v>
      </c>
      <c r="B146">
        <v>-4.1721825419832204</v>
      </c>
      <c r="C146" s="71"/>
      <c r="D146" s="12">
        <v>0.61400477095750339</v>
      </c>
      <c r="E146" s="10">
        <v>3</v>
      </c>
      <c r="F146" s="10">
        <v>165.4</v>
      </c>
      <c r="G146" s="1">
        <v>5.58</v>
      </c>
      <c r="H146" s="14">
        <f t="shared" si="2"/>
        <v>-6.484</v>
      </c>
      <c r="I146" s="25"/>
      <c r="J146" s="7"/>
      <c r="K146" s="7"/>
      <c r="L146" s="24"/>
      <c r="M146" s="3" t="s">
        <v>301</v>
      </c>
    </row>
    <row r="147" spans="1:28">
      <c r="A147" s="82" t="s">
        <v>302</v>
      </c>
      <c r="B147">
        <v>-3.85851206014947</v>
      </c>
      <c r="C147" s="71"/>
      <c r="D147" s="12">
        <v>0.50406532001413251</v>
      </c>
      <c r="E147" s="10">
        <v>6</v>
      </c>
      <c r="F147" s="10">
        <v>161</v>
      </c>
      <c r="G147" s="1">
        <v>6.45</v>
      </c>
      <c r="H147" s="14">
        <f t="shared" si="2"/>
        <v>-7.3100000000000005</v>
      </c>
      <c r="I147" s="26"/>
      <c r="J147" s="27"/>
      <c r="K147" s="27"/>
      <c r="L147" s="28"/>
      <c r="M147" s="3" t="s">
        <v>303</v>
      </c>
    </row>
    <row r="148" spans="1:28">
      <c r="A148" s="82" t="s">
        <v>304</v>
      </c>
      <c r="B148">
        <v>-4.7465700226170204</v>
      </c>
      <c r="C148" s="71"/>
      <c r="D148" s="12">
        <v>0.75493366325441691</v>
      </c>
      <c r="E148" s="10">
        <v>4</v>
      </c>
      <c r="F148" s="10">
        <v>193.5</v>
      </c>
      <c r="G148" s="1">
        <v>5.41</v>
      </c>
      <c r="H148" s="14">
        <f t="shared" si="2"/>
        <v>-6.5950000000000006</v>
      </c>
      <c r="J148" s="14"/>
      <c r="K148" s="14"/>
      <c r="L148" s="14"/>
      <c r="M148" s="3" t="s">
        <v>305</v>
      </c>
    </row>
    <row r="149" spans="1:28">
      <c r="A149" s="82" t="s">
        <v>306</v>
      </c>
      <c r="B149">
        <v>-3.00370726743393</v>
      </c>
      <c r="C149" s="71"/>
      <c r="D149" s="12">
        <v>0.50089358058597189</v>
      </c>
      <c r="E149" s="10">
        <v>3</v>
      </c>
      <c r="F149" s="10">
        <v>156</v>
      </c>
      <c r="G149" s="1">
        <v>2.9</v>
      </c>
      <c r="H149" s="14">
        <f t="shared" si="2"/>
        <v>-3.71</v>
      </c>
      <c r="I149" s="70" t="s">
        <v>133</v>
      </c>
      <c r="J149" s="32"/>
      <c r="K149" s="34">
        <v>4741</v>
      </c>
      <c r="L149" s="14"/>
      <c r="M149" s="3" t="s">
        <v>307</v>
      </c>
    </row>
    <row r="150" spans="1:28">
      <c r="A150" s="83" t="s">
        <v>308</v>
      </c>
      <c r="B150">
        <v>-3.5457710720490101</v>
      </c>
      <c r="C150" s="71"/>
      <c r="D150" s="12">
        <v>0.6587984329866341</v>
      </c>
      <c r="E150" s="10">
        <v>4</v>
      </c>
      <c r="F150" s="10">
        <v>183.5</v>
      </c>
      <c r="G150" s="1">
        <v>3.16</v>
      </c>
      <c r="H150" s="14">
        <f t="shared" si="2"/>
        <v>-4.2450000000000001</v>
      </c>
      <c r="I150" s="70" t="s">
        <v>136</v>
      </c>
      <c r="J150" s="32"/>
      <c r="K150" s="34">
        <v>1186</v>
      </c>
      <c r="L150" s="14"/>
      <c r="M150" s="3" t="s">
        <v>309</v>
      </c>
    </row>
    <row r="151" spans="1:28">
      <c r="A151" s="83" t="s">
        <v>310</v>
      </c>
      <c r="B151">
        <v>-2.1174122577409298</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v>-3.0470918579609001</v>
      </c>
      <c r="C152" s="71"/>
      <c r="D152" s="12">
        <v>0.57115657899345518</v>
      </c>
      <c r="E152" s="10">
        <v>7</v>
      </c>
      <c r="F152" s="10">
        <v>177</v>
      </c>
      <c r="G152" s="1">
        <v>3.17</v>
      </c>
      <c r="H152" s="14">
        <f t="shared" si="2"/>
        <v>-4.1899999999999995</v>
      </c>
      <c r="I152" s="14"/>
      <c r="J152" s="14"/>
      <c r="K152" s="14"/>
      <c r="L152" s="14"/>
      <c r="M152" s="3" t="s">
        <v>313</v>
      </c>
    </row>
    <row r="153" spans="1:28">
      <c r="A153" s="81" t="s">
        <v>314</v>
      </c>
      <c r="B153">
        <v>-4.1755916111976097</v>
      </c>
      <c r="C153" s="71"/>
      <c r="D153" s="12">
        <v>0.55807775121880254</v>
      </c>
      <c r="E153" s="10">
        <v>6</v>
      </c>
      <c r="F153" s="10">
        <v>145</v>
      </c>
      <c r="G153" s="1">
        <v>6.08</v>
      </c>
      <c r="H153" s="14">
        <f t="shared" si="2"/>
        <v>-6.78</v>
      </c>
      <c r="I153" s="19" t="s">
        <v>144</v>
      </c>
      <c r="J153" s="17"/>
      <c r="K153" s="17"/>
      <c r="L153" s="18"/>
      <c r="M153" s="3" t="s">
        <v>315</v>
      </c>
    </row>
    <row r="154" spans="1:28">
      <c r="A154" s="81" t="s">
        <v>316</v>
      </c>
      <c r="B154">
        <v>-3.3855065519785001</v>
      </c>
      <c r="C154" s="71"/>
      <c r="D154" s="12">
        <v>0.66417698790166113</v>
      </c>
      <c r="E154" s="10">
        <v>3</v>
      </c>
      <c r="F154" s="13">
        <v>175.8</v>
      </c>
      <c r="G154" s="1">
        <v>4.62</v>
      </c>
      <c r="H154" s="14">
        <f t="shared" si="2"/>
        <v>-5.6280000000000001</v>
      </c>
      <c r="I154" s="20" t="s">
        <v>362</v>
      </c>
      <c r="J154" s="21"/>
      <c r="K154" s="21"/>
      <c r="L154" s="22"/>
      <c r="M154" s="3" t="s">
        <v>317</v>
      </c>
    </row>
    <row r="155" spans="1:28">
      <c r="A155" s="82" t="s">
        <v>318</v>
      </c>
      <c r="B155">
        <v>-4.8837626940964496</v>
      </c>
      <c r="C155" s="71"/>
      <c r="D155" s="12">
        <v>0.57716593661781801</v>
      </c>
      <c r="E155" s="10">
        <v>3</v>
      </c>
      <c r="F155" s="10">
        <v>349.84</v>
      </c>
      <c r="G155" s="1">
        <v>3.09</v>
      </c>
      <c r="H155" s="14">
        <f t="shared" si="2"/>
        <v>-5.8384</v>
      </c>
      <c r="I155" s="23" t="s">
        <v>361</v>
      </c>
      <c r="J155" s="7"/>
      <c r="K155" s="7"/>
      <c r="L155" s="24"/>
      <c r="M155" s="3" t="s">
        <v>319</v>
      </c>
    </row>
    <row r="156" spans="1:28">
      <c r="A156" s="83" t="s">
        <v>320</v>
      </c>
      <c r="B156">
        <v>-3.0088679011188102</v>
      </c>
      <c r="C156" s="71"/>
      <c r="D156" s="12">
        <v>0.70324590282883903</v>
      </c>
      <c r="E156" s="10">
        <v>3</v>
      </c>
      <c r="F156" s="10">
        <v>204</v>
      </c>
      <c r="G156" s="1">
        <v>0.88</v>
      </c>
      <c r="H156" s="14">
        <f t="shared" si="2"/>
        <v>-2.17</v>
      </c>
      <c r="I156" s="23"/>
      <c r="J156" s="7"/>
      <c r="K156" s="7"/>
      <c r="L156" s="24"/>
      <c r="M156" s="3" t="s">
        <v>321</v>
      </c>
    </row>
    <row r="157" spans="1:28">
      <c r="A157" s="82" t="s">
        <v>322</v>
      </c>
      <c r="B157">
        <v>-4.9370124506604798</v>
      </c>
      <c r="C157" s="71"/>
      <c r="D157" s="12">
        <v>0.7237903588794764</v>
      </c>
      <c r="E157" s="10">
        <v>7</v>
      </c>
      <c r="F157" s="10">
        <v>97.8</v>
      </c>
      <c r="G157" s="1">
        <v>6</v>
      </c>
      <c r="H157" s="14">
        <f t="shared" si="2"/>
        <v>-6.2279999999999998</v>
      </c>
      <c r="I157" s="23"/>
      <c r="J157" s="7"/>
      <c r="K157" s="7"/>
      <c r="L157" s="24"/>
      <c r="M157" s="3" t="s">
        <v>323</v>
      </c>
    </row>
    <row r="158" spans="1:28">
      <c r="A158" s="82" t="s">
        <v>324</v>
      </c>
      <c r="B158">
        <v>-4.3927337739963699</v>
      </c>
      <c r="C158" s="71"/>
      <c r="D158" s="12">
        <v>0.84033450922624497</v>
      </c>
      <c r="E158" s="10">
        <v>5</v>
      </c>
      <c r="F158" s="10">
        <v>262</v>
      </c>
      <c r="G158" s="1">
        <v>7.26</v>
      </c>
      <c r="H158" s="14">
        <f t="shared" si="2"/>
        <v>-9.129999999999999</v>
      </c>
      <c r="I158" s="23"/>
      <c r="J158" s="7"/>
      <c r="K158" s="7"/>
      <c r="L158" s="24"/>
      <c r="M158" s="3" t="s">
        <v>325</v>
      </c>
    </row>
    <row r="159" spans="1:28">
      <c r="A159" s="82" t="s">
        <v>326</v>
      </c>
      <c r="B159">
        <v>-3.52331667878676</v>
      </c>
      <c r="C159" s="71"/>
      <c r="D159" s="12">
        <v>0.70969645885144073</v>
      </c>
      <c r="E159" s="10">
        <v>11</v>
      </c>
      <c r="F159" s="10">
        <v>149.6</v>
      </c>
      <c r="G159" s="1">
        <v>6.45</v>
      </c>
      <c r="H159" s="14">
        <f t="shared" si="2"/>
        <v>-7.1959999999999997</v>
      </c>
      <c r="I159" s="23"/>
      <c r="J159" s="7"/>
      <c r="K159" s="7"/>
      <c r="L159" s="24"/>
      <c r="M159" s="3" t="s">
        <v>327</v>
      </c>
    </row>
    <row r="160" spans="1:28" s="62" customFormat="1">
      <c r="A160" s="81" t="s">
        <v>328</v>
      </c>
      <c r="B160">
        <v>-3.0571128723176</v>
      </c>
      <c r="C160" s="71"/>
      <c r="D160" s="12">
        <v>0.49644864464459931</v>
      </c>
      <c r="E160" s="10">
        <v>4</v>
      </c>
      <c r="F160" s="10">
        <v>304.5</v>
      </c>
      <c r="G160" s="1">
        <v>2.69</v>
      </c>
      <c r="H160" s="14">
        <f t="shared" si="2"/>
        <v>-4.9849999999999994</v>
      </c>
      <c r="I160" s="35"/>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43" t="s">
        <v>360</v>
      </c>
      <c r="B194" s="115" t="s">
        <v>359</v>
      </c>
      <c r="C194" s="116" t="s">
        <v>358</v>
      </c>
      <c r="D194" s="115" t="s">
        <v>357</v>
      </c>
      <c r="E194" s="44"/>
      <c r="F194" s="44"/>
      <c r="G194" s="44"/>
      <c r="H194" s="44"/>
      <c r="I194" s="44"/>
      <c r="J194" s="44"/>
      <c r="K194" s="44"/>
      <c r="L194" s="44"/>
      <c r="M194" s="48"/>
      <c r="N194" s="44"/>
      <c r="O194" s="44"/>
      <c r="P194" s="44"/>
      <c r="Q194" s="45"/>
    </row>
  </sheetData>
  <hyperlinks>
    <hyperlink ref="C194" r:id="rId1" xr:uid="{93A23D42-1DB5-4153-9D1B-07E60C6CC8D9}"/>
    <hyperlink ref="B194" r:id="rId2" xr:uid="{58CDD8BD-053D-47F6-9F5E-A6D245C2DA16}"/>
    <hyperlink ref="D194" r:id="rId3" xr:uid="{324AE4AC-F58C-465C-AEDC-0D15B1E88579}"/>
  </hyperlinks>
  <pageMargins left="0" right="0" top="0" bottom="0" header="0.3" footer="0.3"/>
  <pageSetup scale="54" orientation="landscape" r:id="rId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958FC3-889E-46E3-B06F-4CFFAF325225}">
  <dimension ref="A1:AB194"/>
  <sheetViews>
    <sheetView workbookViewId="0">
      <selection activeCell="B4" sqref="B4:B9"/>
    </sheetView>
  </sheetViews>
  <sheetFormatPr baseColWidth="10" defaultColWidth="9.1640625" defaultRowHeight="15"/>
  <cols>
    <col min="1" max="1" width="35.83203125" customWidth="1"/>
    <col min="2" max="2" width="41.83203125" customWidth="1"/>
    <col min="3" max="3" width="40.6640625" customWidth="1"/>
    <col min="4" max="4" width="42" customWidth="1"/>
    <col min="5" max="5" width="34.5" customWidth="1"/>
    <col min="6" max="6" width="10.1640625" customWidth="1"/>
    <col min="7" max="7" width="11.5" customWidth="1"/>
    <col min="9" max="9" width="13.1640625" customWidth="1"/>
    <col min="10" max="10" width="4.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118"/>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t="s">
        <v>367</v>
      </c>
      <c r="C14" t="s">
        <v>11</v>
      </c>
    </row>
    <row r="15" spans="1:25" s="90" customFormat="1">
      <c r="A15" s="89" t="s">
        <v>12</v>
      </c>
    </row>
    <row r="16" spans="1:25">
      <c r="B16" s="117" t="s">
        <v>367</v>
      </c>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v>-1.9882747671632599</v>
      </c>
      <c r="C23" s="73" t="s">
        <v>30</v>
      </c>
      <c r="D23" s="12">
        <v>0.17592262140645501</v>
      </c>
      <c r="E23" s="10">
        <v>11</v>
      </c>
      <c r="F23" s="10">
        <v>258.5</v>
      </c>
      <c r="G23" s="6">
        <v>-0.86</v>
      </c>
      <c r="H23" s="14">
        <f t="shared" ref="H23:H86" si="0">0.5-G23-0.01*(F23-25)</f>
        <v>-0.97500000000000009</v>
      </c>
      <c r="I23" s="53" t="s">
        <v>31</v>
      </c>
      <c r="J23" s="54"/>
      <c r="K23" s="14"/>
      <c r="L23" s="14"/>
      <c r="M23" s="11" t="s">
        <v>33</v>
      </c>
    </row>
    <row r="24" spans="1:28">
      <c r="A24" s="82" t="s">
        <v>35</v>
      </c>
      <c r="B24">
        <v>-2.2090835938159601</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v>-2.6416873606806002</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v>-2.91865883325596</v>
      </c>
      <c r="C26" s="73" t="s">
        <v>46</v>
      </c>
      <c r="D26" s="12">
        <v>0.16999222507469616</v>
      </c>
      <c r="E26" s="10">
        <v>3</v>
      </c>
      <c r="F26" s="10">
        <v>234</v>
      </c>
      <c r="G26" s="6">
        <v>3.19</v>
      </c>
      <c r="H26" s="14">
        <f t="shared" si="0"/>
        <v>-4.7799999999999994</v>
      </c>
      <c r="I26" s="15" t="s">
        <v>47</v>
      </c>
      <c r="J26" s="29"/>
      <c r="K26" s="14"/>
      <c r="L26" s="14"/>
      <c r="M26" s="11" t="s">
        <v>48</v>
      </c>
    </row>
    <row r="27" spans="1:28">
      <c r="A27" s="82" t="s">
        <v>50</v>
      </c>
      <c r="B27">
        <v>-4.4266353173195396</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v>-5.41791115878324</v>
      </c>
      <c r="C28" s="71"/>
      <c r="D28" s="12">
        <v>0.18412396392404196</v>
      </c>
      <c r="E28" s="10">
        <v>3</v>
      </c>
      <c r="F28" s="10">
        <v>224.00000000000003</v>
      </c>
      <c r="G28" s="6">
        <v>5.51</v>
      </c>
      <c r="H28" s="14">
        <f t="shared" si="0"/>
        <v>-7</v>
      </c>
      <c r="I28" s="15" t="s">
        <v>56</v>
      </c>
      <c r="J28" s="29"/>
      <c r="K28" s="14"/>
      <c r="L28" s="14"/>
      <c r="M28" s="11" t="s">
        <v>57</v>
      </c>
    </row>
    <row r="29" spans="1:28">
      <c r="A29" s="81" t="s">
        <v>59</v>
      </c>
      <c r="B29">
        <v>-3.2094740245145101</v>
      </c>
      <c r="C29" s="71"/>
      <c r="D29" s="12">
        <v>0.14933733874523175</v>
      </c>
      <c r="E29" s="10">
        <v>6</v>
      </c>
      <c r="F29" s="10">
        <v>172.5</v>
      </c>
      <c r="G29" s="6">
        <v>1.78</v>
      </c>
      <c r="H29" s="14">
        <f t="shared" si="0"/>
        <v>-2.7549999999999999</v>
      </c>
      <c r="I29" s="15" t="s">
        <v>60</v>
      </c>
      <c r="J29" s="31"/>
      <c r="K29" s="14"/>
      <c r="L29" s="14"/>
      <c r="M29" s="11" t="s">
        <v>61</v>
      </c>
    </row>
    <row r="30" spans="1:28">
      <c r="A30" s="81" t="s">
        <v>63</v>
      </c>
      <c r="B30">
        <v>-1.41843734490534</v>
      </c>
      <c r="C30" s="71"/>
      <c r="D30" s="12">
        <v>0.14842266063120066</v>
      </c>
      <c r="E30" s="10">
        <v>4</v>
      </c>
      <c r="F30" s="10">
        <v>207.50000000000003</v>
      </c>
      <c r="G30" s="6">
        <v>1.86</v>
      </c>
      <c r="H30" s="14">
        <f t="shared" si="0"/>
        <v>-3.1850000000000005</v>
      </c>
      <c r="I30" s="30" t="s">
        <v>64</v>
      </c>
      <c r="J30" s="32"/>
      <c r="K30" s="33" t="s">
        <v>369</v>
      </c>
      <c r="L30" s="34"/>
      <c r="M30" s="11" t="s">
        <v>65</v>
      </c>
    </row>
    <row r="31" spans="1:28">
      <c r="A31" s="83" t="s">
        <v>66</v>
      </c>
      <c r="B31">
        <v>-2.29591081432</v>
      </c>
      <c r="C31" s="71"/>
      <c r="D31" s="12">
        <v>0.1617973106900604</v>
      </c>
      <c r="E31" s="10">
        <v>10</v>
      </c>
      <c r="F31" s="10">
        <v>166.5</v>
      </c>
      <c r="G31" s="6">
        <v>0.79</v>
      </c>
      <c r="H31" s="14">
        <f t="shared" si="0"/>
        <v>-1.7050000000000001</v>
      </c>
      <c r="J31" s="14"/>
      <c r="K31" s="14"/>
      <c r="L31" s="14"/>
      <c r="M31" s="11" t="s">
        <v>67</v>
      </c>
    </row>
    <row r="32" spans="1:28">
      <c r="A32" s="82" t="s">
        <v>68</v>
      </c>
      <c r="B32">
        <v>-2.64112702426613</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v>-4.1339329989265501</v>
      </c>
      <c r="C33" s="72"/>
      <c r="D33" s="4">
        <v>0.12912520605069597</v>
      </c>
      <c r="E33" s="2">
        <v>3</v>
      </c>
      <c r="F33" s="13">
        <v>192.7</v>
      </c>
      <c r="G33" s="6">
        <v>2.63</v>
      </c>
      <c r="H33" s="14">
        <f t="shared" si="0"/>
        <v>-3.8069999999999995</v>
      </c>
      <c r="I33" s="20" t="s">
        <v>364</v>
      </c>
      <c r="J33" s="21"/>
      <c r="K33" s="21"/>
      <c r="L33" s="22"/>
      <c r="M33" s="11" t="s">
        <v>72</v>
      </c>
    </row>
    <row r="34" spans="1:13">
      <c r="A34" s="81" t="s">
        <v>74</v>
      </c>
      <c r="B34">
        <v>-4.7543129222225904</v>
      </c>
      <c r="C34" s="71"/>
      <c r="D34" s="12">
        <v>0.14911462098310888</v>
      </c>
      <c r="E34" s="10">
        <v>6</v>
      </c>
      <c r="F34" s="10">
        <v>167</v>
      </c>
      <c r="G34" s="6">
        <v>6.32</v>
      </c>
      <c r="H34" s="14">
        <f t="shared" si="0"/>
        <v>-7.24</v>
      </c>
      <c r="I34" s="23" t="s">
        <v>363</v>
      </c>
      <c r="J34" s="7"/>
      <c r="K34" s="7"/>
      <c r="L34" s="24"/>
      <c r="M34" s="11" t="s">
        <v>75</v>
      </c>
    </row>
    <row r="35" spans="1:13">
      <c r="A35" s="82" t="s">
        <v>77</v>
      </c>
      <c r="B35">
        <v>-3.7784451481427901</v>
      </c>
      <c r="C35" s="71"/>
      <c r="D35" s="12">
        <v>0.15809078703524676</v>
      </c>
      <c r="E35" s="10">
        <v>15</v>
      </c>
      <c r="F35" s="10">
        <v>191.5</v>
      </c>
      <c r="G35" s="6">
        <v>3.39</v>
      </c>
      <c r="H35" s="14">
        <f t="shared" si="0"/>
        <v>-4.5549999999999997</v>
      </c>
      <c r="I35" s="23"/>
      <c r="J35" s="7"/>
      <c r="K35" s="7"/>
      <c r="L35" s="24"/>
      <c r="M35" s="11" t="s">
        <v>78</v>
      </c>
    </row>
    <row r="36" spans="1:13">
      <c r="A36" s="83" t="s">
        <v>80</v>
      </c>
      <c r="B36">
        <v>-3.72073389164128</v>
      </c>
      <c r="C36" s="71"/>
      <c r="D36" s="12">
        <v>0.1911503089068218</v>
      </c>
      <c r="E36" s="10">
        <v>3</v>
      </c>
      <c r="F36" s="10">
        <v>246.2</v>
      </c>
      <c r="G36" s="6">
        <v>3.32</v>
      </c>
      <c r="H36" s="14">
        <f t="shared" si="0"/>
        <v>-5.032</v>
      </c>
      <c r="I36" s="25"/>
      <c r="J36" s="7"/>
      <c r="K36" s="7"/>
      <c r="L36" s="24"/>
      <c r="M36" s="11" t="s">
        <v>81</v>
      </c>
    </row>
    <row r="37" spans="1:13">
      <c r="A37" s="83" t="s">
        <v>73</v>
      </c>
      <c r="B37">
        <v>-2.5988829773787399</v>
      </c>
      <c r="C37" s="71"/>
      <c r="D37" s="12">
        <v>0.19050575600734274</v>
      </c>
      <c r="E37" s="10">
        <v>4</v>
      </c>
      <c r="F37" s="10">
        <v>304</v>
      </c>
      <c r="G37" s="6">
        <v>1.74</v>
      </c>
      <c r="H37" s="14">
        <f t="shared" si="0"/>
        <v>-4.03</v>
      </c>
      <c r="I37" s="25"/>
      <c r="J37" s="7"/>
      <c r="K37" s="7"/>
      <c r="L37" s="24"/>
      <c r="M37" s="11" t="s">
        <v>83</v>
      </c>
    </row>
    <row r="38" spans="1:13">
      <c r="A38" s="81" t="s">
        <v>76</v>
      </c>
      <c r="B38">
        <v>-3.0162195969871601</v>
      </c>
      <c r="C38" s="71"/>
      <c r="D38" s="12">
        <v>0.13682393527498057</v>
      </c>
      <c r="E38" s="10">
        <v>7</v>
      </c>
      <c r="F38" s="10">
        <v>187</v>
      </c>
      <c r="G38" s="6">
        <v>-0.87</v>
      </c>
      <c r="H38" s="14">
        <f t="shared" si="0"/>
        <v>-0.25</v>
      </c>
      <c r="I38" s="25"/>
      <c r="J38" s="7"/>
      <c r="K38" s="7"/>
      <c r="L38" s="24"/>
      <c r="M38" s="66" t="s">
        <v>85</v>
      </c>
    </row>
    <row r="39" spans="1:13">
      <c r="A39" s="81" t="s">
        <v>87</v>
      </c>
      <c r="B39">
        <v>-1.8046633389092399</v>
      </c>
      <c r="C39" s="71"/>
      <c r="D39" s="12">
        <v>0.20462356367492032</v>
      </c>
      <c r="E39" s="10">
        <v>4</v>
      </c>
      <c r="F39" s="10">
        <v>221.5</v>
      </c>
      <c r="G39" s="6">
        <v>0.71</v>
      </c>
      <c r="H39" s="14">
        <f t="shared" si="0"/>
        <v>-2.1749999999999998</v>
      </c>
      <c r="I39" s="25"/>
      <c r="J39" s="7"/>
      <c r="K39" s="7"/>
      <c r="L39" s="24"/>
      <c r="M39" s="11" t="s">
        <v>88</v>
      </c>
    </row>
    <row r="40" spans="1:13">
      <c r="A40" s="81" t="s">
        <v>90</v>
      </c>
      <c r="B40">
        <v>-4.00754633404655</v>
      </c>
      <c r="C40" s="71"/>
      <c r="D40" s="12">
        <v>0.18274602564465547</v>
      </c>
      <c r="E40" s="10">
        <v>6</v>
      </c>
      <c r="F40" s="10">
        <v>157.83333333333334</v>
      </c>
      <c r="G40" s="6">
        <v>3.51</v>
      </c>
      <c r="H40" s="14">
        <f t="shared" si="0"/>
        <v>-4.3383333333333329</v>
      </c>
      <c r="I40" s="25"/>
      <c r="J40" s="39"/>
      <c r="K40" s="39"/>
      <c r="L40" s="40"/>
      <c r="M40" s="11" t="s">
        <v>91</v>
      </c>
    </row>
    <row r="41" spans="1:13">
      <c r="A41" s="84" t="s">
        <v>93</v>
      </c>
      <c r="B41">
        <v>-1.56735511385909</v>
      </c>
      <c r="C41" s="72"/>
      <c r="D41" s="4">
        <v>0.12610247911779729</v>
      </c>
      <c r="E41" s="2">
        <v>8</v>
      </c>
      <c r="F41" s="10">
        <v>140</v>
      </c>
      <c r="G41" s="6">
        <v>0.35</v>
      </c>
      <c r="H41" s="14">
        <f t="shared" si="0"/>
        <v>-1</v>
      </c>
      <c r="I41" s="25"/>
      <c r="J41" s="39"/>
      <c r="K41" s="39"/>
      <c r="L41" s="40"/>
      <c r="M41" s="11" t="s">
        <v>94</v>
      </c>
    </row>
    <row r="42" spans="1:13">
      <c r="A42" s="82" t="s">
        <v>96</v>
      </c>
      <c r="B42">
        <v>-3.0067126284002201</v>
      </c>
      <c r="C42" s="71"/>
      <c r="D42" s="12">
        <v>0.14493441954543959</v>
      </c>
      <c r="E42" s="10">
        <v>7</v>
      </c>
      <c r="F42" s="10">
        <v>127.93333333333334</v>
      </c>
      <c r="G42" s="6">
        <v>1.74</v>
      </c>
      <c r="H42" s="14">
        <f t="shared" si="0"/>
        <v>-2.2693333333333334</v>
      </c>
      <c r="I42" s="25"/>
      <c r="J42" s="39"/>
      <c r="K42" s="39"/>
      <c r="L42" s="40"/>
      <c r="M42" s="11" t="s">
        <v>97</v>
      </c>
    </row>
    <row r="43" spans="1:13">
      <c r="A43" s="82" t="s">
        <v>79</v>
      </c>
      <c r="B43">
        <v>-3.9483024489485499</v>
      </c>
      <c r="C43" s="71"/>
      <c r="D43" s="12">
        <v>0.14861388626870758</v>
      </c>
      <c r="E43" s="10">
        <v>7</v>
      </c>
      <c r="F43" s="10">
        <v>176</v>
      </c>
      <c r="G43" s="6">
        <v>4.4800000000000004</v>
      </c>
      <c r="H43" s="14">
        <f t="shared" si="0"/>
        <v>-5.49</v>
      </c>
      <c r="I43" s="25"/>
      <c r="J43" s="39"/>
      <c r="K43" s="39"/>
      <c r="L43" s="40"/>
      <c r="M43" s="11" t="s">
        <v>99</v>
      </c>
    </row>
    <row r="44" spans="1:13">
      <c r="A44" s="85" t="s">
        <v>101</v>
      </c>
      <c r="B44">
        <v>-4.6492745472742198</v>
      </c>
      <c r="C44" s="72"/>
      <c r="D44" s="4">
        <v>0.1280711495400205</v>
      </c>
      <c r="E44" s="2">
        <v>3</v>
      </c>
      <c r="F44" s="10">
        <v>159.69999999999999</v>
      </c>
      <c r="G44" s="6">
        <v>3.46</v>
      </c>
      <c r="H44" s="14">
        <f t="shared" si="0"/>
        <v>-4.3070000000000004</v>
      </c>
      <c r="I44" s="25"/>
      <c r="J44" s="39"/>
      <c r="K44" s="39"/>
      <c r="L44" s="40"/>
      <c r="M44" s="11" t="s">
        <v>102</v>
      </c>
    </row>
    <row r="45" spans="1:13">
      <c r="A45" s="84" t="s">
        <v>104</v>
      </c>
      <c r="B45">
        <v>-1.5444557120794999</v>
      </c>
      <c r="C45" s="72"/>
      <c r="D45" s="4">
        <v>0.21683500301481054</v>
      </c>
      <c r="E45" s="2">
        <v>8</v>
      </c>
      <c r="F45" s="10">
        <v>142</v>
      </c>
      <c r="G45" s="6">
        <v>0.6</v>
      </c>
      <c r="H45" s="14">
        <f t="shared" si="0"/>
        <v>-1.27</v>
      </c>
      <c r="I45" s="25"/>
      <c r="J45" s="39"/>
      <c r="K45" s="39"/>
      <c r="L45" s="40"/>
      <c r="M45" s="11" t="s">
        <v>105</v>
      </c>
    </row>
    <row r="46" spans="1:13">
      <c r="A46" s="82" t="s">
        <v>107</v>
      </c>
      <c r="B46">
        <v>-3.4221815645364502</v>
      </c>
      <c r="C46" s="71"/>
      <c r="D46" s="12">
        <v>0.18255878892749886</v>
      </c>
      <c r="E46" s="10">
        <v>20</v>
      </c>
      <c r="F46" s="10">
        <v>267</v>
      </c>
      <c r="G46" s="6">
        <v>1.58</v>
      </c>
      <c r="H46" s="14">
        <f t="shared" si="0"/>
        <v>-3.5</v>
      </c>
      <c r="I46" s="25"/>
      <c r="J46" s="39"/>
      <c r="K46" s="39"/>
      <c r="L46" s="40"/>
      <c r="M46" s="11" t="s">
        <v>108</v>
      </c>
    </row>
    <row r="47" spans="1:13">
      <c r="A47" s="81" t="s">
        <v>110</v>
      </c>
      <c r="B47">
        <v>-3.4473815581035598</v>
      </c>
      <c r="C47" s="71"/>
      <c r="D47" s="12">
        <v>0.16704647063532602</v>
      </c>
      <c r="E47" s="10">
        <v>6</v>
      </c>
      <c r="F47" s="10">
        <v>110.00000000000001</v>
      </c>
      <c r="G47" s="6">
        <v>3.36</v>
      </c>
      <c r="H47" s="14">
        <f t="shared" si="0"/>
        <v>-3.71</v>
      </c>
      <c r="I47" s="25"/>
      <c r="J47" s="39"/>
      <c r="K47" s="39"/>
      <c r="L47" s="40"/>
      <c r="M47" s="11" t="s">
        <v>111</v>
      </c>
    </row>
    <row r="48" spans="1:13">
      <c r="A48" s="82" t="s">
        <v>82</v>
      </c>
      <c r="B48">
        <v>-3.0470105908818002</v>
      </c>
      <c r="C48" s="71"/>
      <c r="D48" s="12">
        <v>0.17164501312359953</v>
      </c>
      <c r="E48" s="10">
        <v>7</v>
      </c>
      <c r="F48" s="10">
        <v>182</v>
      </c>
      <c r="G48" s="6">
        <v>2.67</v>
      </c>
      <c r="H48" s="14">
        <f t="shared" si="0"/>
        <v>-3.74</v>
      </c>
      <c r="I48" s="25"/>
      <c r="J48" s="39"/>
      <c r="K48" s="39"/>
      <c r="L48" s="40"/>
      <c r="M48" s="11" t="s">
        <v>113</v>
      </c>
    </row>
    <row r="49" spans="1:13">
      <c r="A49" s="84" t="s">
        <v>115</v>
      </c>
      <c r="B49">
        <v>-3.67658757365056</v>
      </c>
      <c r="C49" s="72"/>
      <c r="D49" s="4">
        <v>0.12558353028546052</v>
      </c>
      <c r="E49" s="2">
        <v>4</v>
      </c>
      <c r="F49" s="10">
        <v>222.00000000000003</v>
      </c>
      <c r="G49" s="6">
        <v>2.56</v>
      </c>
      <c r="H49" s="14">
        <f t="shared" si="0"/>
        <v>-4.03</v>
      </c>
      <c r="I49" s="25"/>
      <c r="J49" s="39"/>
      <c r="K49" s="39"/>
      <c r="L49" s="40"/>
      <c r="M49" s="11" t="s">
        <v>116</v>
      </c>
    </row>
    <row r="50" spans="1:13">
      <c r="A50" s="82" t="s">
        <v>118</v>
      </c>
      <c r="B50">
        <v>-4.3436092083100499</v>
      </c>
      <c r="C50" s="71"/>
      <c r="D50" s="12">
        <v>0.1568133990664792</v>
      </c>
      <c r="E50" s="10">
        <v>6</v>
      </c>
      <c r="F50" s="10">
        <v>151</v>
      </c>
      <c r="G50" s="6">
        <v>3.27</v>
      </c>
      <c r="H50" s="14">
        <f t="shared" si="0"/>
        <v>-4.03</v>
      </c>
      <c r="I50" s="25"/>
      <c r="J50" s="39"/>
      <c r="K50" s="39"/>
      <c r="L50" s="40"/>
      <c r="M50" s="11" t="s">
        <v>119</v>
      </c>
    </row>
    <row r="51" spans="1:13">
      <c r="A51" s="85" t="s">
        <v>84</v>
      </c>
      <c r="B51">
        <v>-3.4684019872382299</v>
      </c>
      <c r="C51" s="72"/>
      <c r="D51" s="4">
        <v>0.12789394574374285</v>
      </c>
      <c r="E51" s="2">
        <v>5</v>
      </c>
      <c r="F51" s="10">
        <v>330</v>
      </c>
      <c r="G51" s="6">
        <v>2.87</v>
      </c>
      <c r="H51" s="14">
        <f t="shared" si="0"/>
        <v>-5.42</v>
      </c>
      <c r="I51" s="25"/>
      <c r="J51" s="39"/>
      <c r="K51" s="39"/>
      <c r="L51" s="40"/>
      <c r="M51" s="11" t="s">
        <v>120</v>
      </c>
    </row>
    <row r="52" spans="1:13">
      <c r="A52" s="82" t="s">
        <v>121</v>
      </c>
      <c r="B52">
        <v>-3.3349380892054499</v>
      </c>
      <c r="C52" s="71"/>
      <c r="D52" s="12">
        <v>0.18012800124370357</v>
      </c>
      <c r="E52" s="10">
        <v>3</v>
      </c>
      <c r="F52" s="10">
        <v>100</v>
      </c>
      <c r="G52" s="6">
        <v>3.53</v>
      </c>
      <c r="H52" s="14">
        <f t="shared" si="0"/>
        <v>-3.78</v>
      </c>
      <c r="I52" s="23"/>
      <c r="J52" s="7"/>
      <c r="K52" s="7"/>
      <c r="L52" s="24"/>
      <c r="M52" s="11" t="s">
        <v>122</v>
      </c>
    </row>
    <row r="53" spans="1:13">
      <c r="A53" s="81" t="s">
        <v>123</v>
      </c>
      <c r="B53">
        <v>-3.3873742709440902</v>
      </c>
      <c r="C53" s="71"/>
      <c r="D53" s="12">
        <v>0.18062104750721683</v>
      </c>
      <c r="E53" s="10">
        <v>16</v>
      </c>
      <c r="F53" s="10">
        <v>262.5</v>
      </c>
      <c r="G53" s="6">
        <v>1.9</v>
      </c>
      <c r="H53" s="14">
        <f t="shared" si="0"/>
        <v>-3.7749999999999999</v>
      </c>
      <c r="I53" s="23"/>
      <c r="J53" s="7"/>
      <c r="K53" s="7"/>
      <c r="L53" s="24"/>
      <c r="M53" s="11" t="s">
        <v>124</v>
      </c>
    </row>
    <row r="54" spans="1:13">
      <c r="A54" s="84" t="s">
        <v>125</v>
      </c>
      <c r="B54">
        <v>-2.64318857583498</v>
      </c>
      <c r="C54" s="72"/>
      <c r="D54" s="4">
        <v>0.22156244268660033</v>
      </c>
      <c r="E54" s="2">
        <v>4</v>
      </c>
      <c r="F54" s="10">
        <v>328.85</v>
      </c>
      <c r="G54" s="6">
        <v>1.87</v>
      </c>
      <c r="H54" s="14">
        <f t="shared" si="0"/>
        <v>-4.4085000000000001</v>
      </c>
      <c r="I54" s="23"/>
      <c r="J54" s="7"/>
      <c r="K54" s="7"/>
      <c r="L54" s="24"/>
      <c r="M54" s="11" t="s">
        <v>126</v>
      </c>
    </row>
    <row r="55" spans="1:13">
      <c r="A55" s="82" t="s">
        <v>127</v>
      </c>
      <c r="B55">
        <v>-3.9135781871811299</v>
      </c>
      <c r="C55" s="71"/>
      <c r="D55" s="12">
        <v>0.18450811780713378</v>
      </c>
      <c r="E55" s="10">
        <v>33</v>
      </c>
      <c r="F55" s="10">
        <v>167.5</v>
      </c>
      <c r="G55" s="6">
        <v>4.3600000000000003</v>
      </c>
      <c r="H55" s="14">
        <f t="shared" si="0"/>
        <v>-5.2850000000000001</v>
      </c>
      <c r="I55" s="23"/>
      <c r="J55" s="7"/>
      <c r="K55" s="7"/>
      <c r="L55" s="24"/>
      <c r="M55" s="11" t="s">
        <v>128</v>
      </c>
    </row>
    <row r="56" spans="1:13">
      <c r="A56" s="82" t="s">
        <v>86</v>
      </c>
      <c r="B56">
        <v>-3.8182929779726198</v>
      </c>
      <c r="C56" s="71"/>
      <c r="D56" s="12">
        <v>0.15609203233531485</v>
      </c>
      <c r="E56" s="10">
        <v>3</v>
      </c>
      <c r="F56" s="10">
        <v>223</v>
      </c>
      <c r="G56" s="6">
        <v>2.99</v>
      </c>
      <c r="H56" s="14">
        <f t="shared" si="0"/>
        <v>-4.4700000000000006</v>
      </c>
      <c r="I56" s="23"/>
      <c r="J56" s="7"/>
      <c r="K56" s="7"/>
      <c r="L56" s="24"/>
      <c r="M56" s="11" t="s">
        <v>129</v>
      </c>
    </row>
    <row r="57" spans="1:13">
      <c r="A57" s="82" t="s">
        <v>89</v>
      </c>
      <c r="B57">
        <v>-2.95120896179461</v>
      </c>
      <c r="C57" s="71"/>
      <c r="D57" s="12">
        <v>0.20872343532408041</v>
      </c>
      <c r="E57" s="10">
        <v>3</v>
      </c>
      <c r="F57" s="10">
        <v>210.5</v>
      </c>
      <c r="G57" s="6">
        <v>2.72</v>
      </c>
      <c r="H57" s="14">
        <f t="shared" si="0"/>
        <v>-4.0750000000000002</v>
      </c>
      <c r="I57" s="26"/>
      <c r="J57" s="27"/>
      <c r="K57" s="27"/>
      <c r="L57" s="28"/>
      <c r="M57" s="11" t="s">
        <v>130</v>
      </c>
    </row>
    <row r="58" spans="1:13">
      <c r="A58" s="84" t="s">
        <v>131</v>
      </c>
      <c r="B58">
        <v>-2.5557301192241901</v>
      </c>
      <c r="C58" s="72"/>
      <c r="D58" s="4">
        <v>0.1297319013416561</v>
      </c>
      <c r="E58" s="2">
        <v>3</v>
      </c>
      <c r="F58" s="10">
        <v>209.75</v>
      </c>
      <c r="G58" s="6">
        <v>3.37</v>
      </c>
      <c r="H58" s="14">
        <f t="shared" si="0"/>
        <v>-4.7175000000000002</v>
      </c>
      <c r="J58" s="14"/>
      <c r="K58" s="14"/>
      <c r="L58" s="14"/>
      <c r="M58" s="11" t="s">
        <v>132</v>
      </c>
    </row>
    <row r="59" spans="1:13">
      <c r="A59" s="81" t="s">
        <v>92</v>
      </c>
      <c r="B59">
        <v>-3.4307223856682398</v>
      </c>
      <c r="C59" s="71"/>
      <c r="D59" s="12">
        <v>0.14124198841117766</v>
      </c>
      <c r="E59" s="10">
        <v>3</v>
      </c>
      <c r="F59" s="10">
        <v>53.5</v>
      </c>
      <c r="G59" s="6">
        <v>3.43</v>
      </c>
      <c r="H59" s="14">
        <f t="shared" si="0"/>
        <v>-3.2150000000000003</v>
      </c>
      <c r="I59" s="70" t="s">
        <v>133</v>
      </c>
      <c r="J59" s="32"/>
      <c r="K59" s="34">
        <v>4741</v>
      </c>
      <c r="L59" s="14"/>
      <c r="M59" s="11" t="s">
        <v>134</v>
      </c>
    </row>
    <row r="60" spans="1:13">
      <c r="A60" s="81" t="s">
        <v>135</v>
      </c>
      <c r="B60">
        <v>-1.4602936961242201</v>
      </c>
      <c r="C60" s="71"/>
      <c r="D60" s="12">
        <v>0.17069281866408892</v>
      </c>
      <c r="E60" s="10">
        <v>6</v>
      </c>
      <c r="F60" s="10">
        <v>270</v>
      </c>
      <c r="G60" s="6">
        <v>0.05</v>
      </c>
      <c r="H60" s="14">
        <f t="shared" si="0"/>
        <v>-2</v>
      </c>
      <c r="I60" s="70" t="s">
        <v>136</v>
      </c>
      <c r="J60" s="32"/>
      <c r="K60" s="34">
        <v>1186</v>
      </c>
      <c r="L60" s="14"/>
      <c r="M60" s="11" t="s">
        <v>137</v>
      </c>
    </row>
    <row r="61" spans="1:13">
      <c r="A61" s="82" t="s">
        <v>138</v>
      </c>
      <c r="B61">
        <v>-1.7662870879874799</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v>-4.3367142541068899</v>
      </c>
      <c r="C62" s="71"/>
      <c r="D62" s="12">
        <v>0.18021422622763517</v>
      </c>
      <c r="E62" s="10">
        <v>5</v>
      </c>
      <c r="F62" s="10">
        <v>214.5</v>
      </c>
      <c r="G62" s="6">
        <v>3.61</v>
      </c>
      <c r="H62" s="14">
        <f t="shared" si="0"/>
        <v>-5.0049999999999999</v>
      </c>
      <c r="I62" s="14"/>
      <c r="J62" s="14"/>
      <c r="K62" s="14"/>
      <c r="L62" s="14"/>
      <c r="M62" s="11" t="s">
        <v>142</v>
      </c>
    </row>
    <row r="63" spans="1:13">
      <c r="A63" s="82" t="s">
        <v>143</v>
      </c>
      <c r="B63">
        <v>-4.0842050216785504</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v>-2.8596461488793699</v>
      </c>
      <c r="C64" s="71"/>
      <c r="D64" s="12">
        <v>0.17</v>
      </c>
      <c r="E64" s="10">
        <v>3</v>
      </c>
      <c r="F64" s="10">
        <v>189</v>
      </c>
      <c r="G64" s="6">
        <v>1.34</v>
      </c>
      <c r="H64" s="14">
        <f t="shared" si="0"/>
        <v>-2.4800000000000004</v>
      </c>
      <c r="I64" s="20"/>
      <c r="J64" s="21"/>
      <c r="K64" s="21"/>
      <c r="L64" s="22"/>
      <c r="M64" s="11" t="s">
        <v>148</v>
      </c>
    </row>
    <row r="65" spans="1:13">
      <c r="A65" s="82" t="s">
        <v>149</v>
      </c>
      <c r="B65">
        <v>-3.1694122257112398</v>
      </c>
      <c r="C65" s="71"/>
      <c r="D65" s="12">
        <v>0.19794493160510693</v>
      </c>
      <c r="E65" s="10">
        <v>4</v>
      </c>
      <c r="F65" s="10">
        <v>243.5</v>
      </c>
      <c r="G65" s="6">
        <v>1.34</v>
      </c>
      <c r="H65" s="14">
        <f t="shared" si="0"/>
        <v>-3.0250000000000004</v>
      </c>
      <c r="I65" s="23" t="s">
        <v>362</v>
      </c>
      <c r="J65" s="7"/>
      <c r="K65" s="7"/>
      <c r="L65" s="24"/>
      <c r="M65" s="11" t="s">
        <v>151</v>
      </c>
    </row>
    <row r="66" spans="1:13">
      <c r="A66" s="81" t="s">
        <v>95</v>
      </c>
      <c r="B66">
        <v>-2.45764786461215</v>
      </c>
      <c r="C66" s="71"/>
      <c r="D66" s="12">
        <v>0.21056099074293383</v>
      </c>
      <c r="E66" s="10">
        <v>3</v>
      </c>
      <c r="F66" s="10">
        <v>36.5</v>
      </c>
      <c r="G66" s="6">
        <v>2.74</v>
      </c>
      <c r="H66" s="14">
        <f t="shared" si="0"/>
        <v>-2.3550000000000004</v>
      </c>
      <c r="I66" s="23" t="s">
        <v>361</v>
      </c>
      <c r="J66" s="7"/>
      <c r="K66" s="7"/>
      <c r="L66" s="24"/>
      <c r="M66" s="11" t="s">
        <v>152</v>
      </c>
    </row>
    <row r="67" spans="1:13">
      <c r="A67" s="83" t="s">
        <v>153</v>
      </c>
      <c r="B67">
        <v>-3.3468397535469099</v>
      </c>
      <c r="C67" s="71"/>
      <c r="D67" s="12">
        <v>0.21092434073951916</v>
      </c>
      <c r="E67" s="10">
        <v>10</v>
      </c>
      <c r="F67" s="10">
        <v>186</v>
      </c>
      <c r="G67" s="6">
        <v>3.4</v>
      </c>
      <c r="H67" s="14">
        <f t="shared" si="0"/>
        <v>-4.51</v>
      </c>
      <c r="I67" s="23"/>
      <c r="J67" s="7"/>
      <c r="K67" s="7"/>
      <c r="L67" s="24"/>
      <c r="M67" s="11" t="s">
        <v>154</v>
      </c>
    </row>
    <row r="68" spans="1:13">
      <c r="A68" s="81" t="s">
        <v>98</v>
      </c>
      <c r="B68">
        <v>-3.5394656881229398</v>
      </c>
      <c r="C68" s="71"/>
      <c r="D68" s="12">
        <v>0.18695478693957188</v>
      </c>
      <c r="E68" s="10">
        <v>3</v>
      </c>
      <c r="F68" s="10">
        <v>252.99999999999997</v>
      </c>
      <c r="G68" s="6">
        <v>2.35</v>
      </c>
      <c r="H68" s="14">
        <f t="shared" si="0"/>
        <v>-4.13</v>
      </c>
      <c r="I68" s="23"/>
      <c r="J68" s="7"/>
      <c r="K68" s="7"/>
      <c r="L68" s="24"/>
      <c r="M68" s="11" t="s">
        <v>155</v>
      </c>
    </row>
    <row r="69" spans="1:13">
      <c r="A69" s="83" t="s">
        <v>156</v>
      </c>
      <c r="B69">
        <v>-3.76840242105443</v>
      </c>
      <c r="C69" s="71"/>
      <c r="D69" s="12">
        <v>0.20491085989689112</v>
      </c>
      <c r="E69" s="10">
        <v>23</v>
      </c>
      <c r="F69" s="10">
        <v>111.00000000000001</v>
      </c>
      <c r="G69" s="6">
        <v>3.68</v>
      </c>
      <c r="H69" s="14">
        <f t="shared" si="0"/>
        <v>-4.04</v>
      </c>
      <c r="I69" s="23"/>
      <c r="J69" s="7"/>
      <c r="K69" s="7"/>
      <c r="L69" s="24"/>
      <c r="M69" s="11" t="s">
        <v>157</v>
      </c>
    </row>
    <row r="70" spans="1:13">
      <c r="A70" s="81" t="s">
        <v>158</v>
      </c>
      <c r="B70">
        <v>-4.4752365813066</v>
      </c>
      <c r="C70" s="71"/>
      <c r="D70" s="12">
        <v>0.15545016183846921</v>
      </c>
      <c r="E70" s="10">
        <v>6</v>
      </c>
      <c r="F70" s="10">
        <v>250</v>
      </c>
      <c r="G70" s="6">
        <v>-0.04</v>
      </c>
      <c r="H70" s="14">
        <f t="shared" si="0"/>
        <v>-1.71</v>
      </c>
      <c r="I70" s="23"/>
      <c r="J70" s="7"/>
      <c r="K70" s="7"/>
      <c r="L70" s="24"/>
      <c r="M70" s="11" t="s">
        <v>159</v>
      </c>
    </row>
    <row r="71" spans="1:13">
      <c r="A71" s="82" t="s">
        <v>160</v>
      </c>
      <c r="B71">
        <v>-1.8427791048795099</v>
      </c>
      <c r="C71" s="71"/>
      <c r="D71" s="12">
        <v>0.13261436390895148</v>
      </c>
      <c r="E71" s="10">
        <v>3</v>
      </c>
      <c r="F71" s="10">
        <v>250</v>
      </c>
      <c r="G71" s="6">
        <v>-1.97</v>
      </c>
      <c r="H71" s="14">
        <f t="shared" si="0"/>
        <v>0.21999999999999975</v>
      </c>
      <c r="I71" s="23"/>
      <c r="J71" s="7"/>
      <c r="K71" s="7"/>
      <c r="L71" s="24"/>
      <c r="M71" s="11" t="s">
        <v>161</v>
      </c>
    </row>
    <row r="72" spans="1:13">
      <c r="A72" s="82" t="s">
        <v>162</v>
      </c>
      <c r="B72">
        <v>-3.0882801741306101</v>
      </c>
      <c r="C72" s="71"/>
      <c r="D72" s="12">
        <v>0.21159815676624968</v>
      </c>
      <c r="E72" s="10">
        <v>9</v>
      </c>
      <c r="F72" s="10">
        <v>208.5</v>
      </c>
      <c r="G72" s="6">
        <v>2.08</v>
      </c>
      <c r="H72" s="14">
        <f t="shared" si="0"/>
        <v>-3.415</v>
      </c>
      <c r="I72" s="23"/>
      <c r="J72" s="7"/>
      <c r="K72" s="7"/>
      <c r="L72" s="24"/>
      <c r="M72" s="11" t="s">
        <v>163</v>
      </c>
    </row>
    <row r="73" spans="1:13">
      <c r="A73" s="82" t="s">
        <v>164</v>
      </c>
      <c r="B73">
        <v>-3.9985959590128299</v>
      </c>
      <c r="C73" s="71"/>
      <c r="D73" s="12">
        <v>0.1900151243705871</v>
      </c>
      <c r="E73" s="10">
        <v>15</v>
      </c>
      <c r="F73" s="10">
        <v>220.00000000000003</v>
      </c>
      <c r="G73" s="6">
        <v>2.69</v>
      </c>
      <c r="H73" s="14">
        <f t="shared" si="0"/>
        <v>-4.1400000000000006</v>
      </c>
      <c r="I73" s="23"/>
      <c r="J73" s="7"/>
      <c r="K73" s="7"/>
      <c r="L73" s="24"/>
      <c r="M73" s="11" t="s">
        <v>165</v>
      </c>
    </row>
    <row r="74" spans="1:13">
      <c r="A74" s="82" t="s">
        <v>166</v>
      </c>
      <c r="B74">
        <v>-4.1458840476713501</v>
      </c>
      <c r="C74" s="71"/>
      <c r="D74" s="12">
        <v>0.16978183023026608</v>
      </c>
      <c r="E74" s="10">
        <v>10</v>
      </c>
      <c r="F74" s="10">
        <v>151</v>
      </c>
      <c r="G74" s="6">
        <v>4.43</v>
      </c>
      <c r="H74" s="14">
        <f t="shared" si="0"/>
        <v>-5.1899999999999995</v>
      </c>
      <c r="I74" s="23"/>
      <c r="J74" s="7"/>
      <c r="K74" s="7"/>
      <c r="L74" s="24"/>
      <c r="M74" s="11" t="s">
        <v>167</v>
      </c>
    </row>
    <row r="75" spans="1:13">
      <c r="A75" s="83" t="s">
        <v>100</v>
      </c>
      <c r="B75">
        <v>-4.3613989178278798</v>
      </c>
      <c r="C75" s="71"/>
      <c r="D75" s="12">
        <v>0.19416214604145643</v>
      </c>
      <c r="E75" s="10">
        <v>7</v>
      </c>
      <c r="F75" s="10">
        <v>154.5</v>
      </c>
      <c r="G75" s="6">
        <v>4.22</v>
      </c>
      <c r="H75" s="14">
        <f t="shared" si="0"/>
        <v>-5.0149999999999997</v>
      </c>
      <c r="I75" s="23"/>
      <c r="J75" s="7"/>
      <c r="K75" s="7"/>
      <c r="L75" s="24"/>
      <c r="M75" s="11" t="s">
        <v>168</v>
      </c>
    </row>
    <row r="76" spans="1:13">
      <c r="A76" s="82" t="s">
        <v>169</v>
      </c>
      <c r="B76">
        <v>-3.6725930811571499</v>
      </c>
      <c r="C76" s="71"/>
      <c r="D76" s="12">
        <v>0.16048013551961601</v>
      </c>
      <c r="E76" s="10">
        <v>5</v>
      </c>
      <c r="F76" s="10">
        <v>167.75</v>
      </c>
      <c r="G76" s="6">
        <v>2.87</v>
      </c>
      <c r="H76" s="14">
        <f t="shared" si="0"/>
        <v>-3.7975000000000003</v>
      </c>
      <c r="I76" s="23"/>
      <c r="J76" s="7"/>
      <c r="K76" s="7"/>
      <c r="L76" s="24"/>
      <c r="M76" s="11" t="s">
        <v>170</v>
      </c>
    </row>
    <row r="77" spans="1:13">
      <c r="A77" s="84" t="s">
        <v>171</v>
      </c>
      <c r="B77">
        <v>-4.5201513209856401</v>
      </c>
      <c r="C77" s="72"/>
      <c r="D77" s="4">
        <v>0.22239504833634874</v>
      </c>
      <c r="E77" s="2">
        <v>21</v>
      </c>
      <c r="F77" s="10">
        <v>159</v>
      </c>
      <c r="G77" s="6">
        <v>3.93</v>
      </c>
      <c r="H77" s="14">
        <f t="shared" si="0"/>
        <v>-4.7700000000000005</v>
      </c>
      <c r="I77" s="23"/>
      <c r="J77" s="7"/>
      <c r="K77" s="7"/>
      <c r="L77" s="24"/>
      <c r="M77" s="11" t="s">
        <v>172</v>
      </c>
    </row>
    <row r="78" spans="1:13">
      <c r="A78" s="82" t="s">
        <v>173</v>
      </c>
      <c r="B78">
        <v>-3.8279043936788102</v>
      </c>
      <c r="C78" s="71"/>
      <c r="D78" s="12">
        <v>0.21209434799218393</v>
      </c>
      <c r="E78" s="10">
        <v>5</v>
      </c>
      <c r="F78" s="10">
        <v>213.49999999999997</v>
      </c>
      <c r="G78" s="6">
        <v>3.04</v>
      </c>
      <c r="H78" s="14">
        <f t="shared" si="0"/>
        <v>-4.4249999999999998</v>
      </c>
      <c r="I78" s="23"/>
      <c r="J78" s="7"/>
      <c r="K78" s="7"/>
      <c r="L78" s="24"/>
      <c r="M78" s="11" t="s">
        <v>174</v>
      </c>
    </row>
    <row r="79" spans="1:13">
      <c r="A79" s="82" t="s">
        <v>175</v>
      </c>
      <c r="B79">
        <v>-3.8136732556347899</v>
      </c>
      <c r="C79" s="71"/>
      <c r="D79" s="12">
        <v>0.1407224156406931</v>
      </c>
      <c r="E79" s="10">
        <v>11</v>
      </c>
      <c r="F79" s="10">
        <v>146</v>
      </c>
      <c r="G79" s="6">
        <v>4.21</v>
      </c>
      <c r="H79" s="14">
        <f t="shared" si="0"/>
        <v>-4.92</v>
      </c>
      <c r="I79" s="23"/>
      <c r="J79" s="7"/>
      <c r="K79" s="7"/>
      <c r="L79" s="24"/>
      <c r="M79" s="11" t="s">
        <v>176</v>
      </c>
    </row>
    <row r="80" spans="1:13">
      <c r="A80" s="82" t="s">
        <v>177</v>
      </c>
      <c r="B80">
        <v>-4.6739584140559396</v>
      </c>
      <c r="C80" s="71"/>
      <c r="D80" s="12">
        <v>0.21748916450754371</v>
      </c>
      <c r="E80" s="10">
        <v>5</v>
      </c>
      <c r="F80" s="10">
        <v>92.333333333333329</v>
      </c>
      <c r="G80" s="6">
        <v>4.21</v>
      </c>
      <c r="H80" s="14">
        <f t="shared" si="0"/>
        <v>-4.3833333333333329</v>
      </c>
      <c r="I80" s="23"/>
      <c r="J80" s="7"/>
      <c r="K80" s="7"/>
      <c r="L80" s="24"/>
      <c r="M80" s="11" t="s">
        <v>178</v>
      </c>
    </row>
    <row r="81" spans="1:13">
      <c r="A81" s="81" t="s">
        <v>179</v>
      </c>
      <c r="B81">
        <v>-3.7495497210779898</v>
      </c>
      <c r="C81" s="71"/>
      <c r="D81" s="12">
        <v>0.20531013145176411</v>
      </c>
      <c r="E81" s="10">
        <v>8</v>
      </c>
      <c r="F81" s="10">
        <v>256</v>
      </c>
      <c r="G81" s="6">
        <v>2.71</v>
      </c>
      <c r="H81" s="14">
        <f t="shared" si="0"/>
        <v>-4.5199999999999996</v>
      </c>
      <c r="I81" s="23"/>
      <c r="J81" s="7"/>
      <c r="K81" s="7"/>
      <c r="L81" s="24"/>
      <c r="M81" s="11" t="s">
        <v>180</v>
      </c>
    </row>
    <row r="82" spans="1:13">
      <c r="A82" s="81" t="s">
        <v>181</v>
      </c>
      <c r="B82">
        <v>-3.6265501144940901</v>
      </c>
      <c r="C82" s="71"/>
      <c r="D82" s="12">
        <v>0.21176785142223761</v>
      </c>
      <c r="E82" s="10">
        <v>3</v>
      </c>
      <c r="F82" s="10">
        <v>80</v>
      </c>
      <c r="G82" s="6">
        <v>3.37</v>
      </c>
      <c r="H82" s="14">
        <f t="shared" si="0"/>
        <v>-3.42</v>
      </c>
      <c r="I82" s="23"/>
      <c r="J82" s="7"/>
      <c r="K82" s="7"/>
      <c r="L82" s="24"/>
      <c r="M82" s="11" t="s">
        <v>182</v>
      </c>
    </row>
    <row r="83" spans="1:13">
      <c r="A83" s="81" t="s">
        <v>183</v>
      </c>
      <c r="B83">
        <v>-3.50106091831729</v>
      </c>
      <c r="C83" s="71"/>
      <c r="D83" s="12">
        <v>0.16217657762412213</v>
      </c>
      <c r="E83" s="10">
        <v>17</v>
      </c>
      <c r="F83" s="10">
        <v>153</v>
      </c>
      <c r="G83" s="6">
        <v>3.04</v>
      </c>
      <c r="H83" s="14">
        <f t="shared" si="0"/>
        <v>-3.8200000000000003</v>
      </c>
      <c r="I83" s="23"/>
      <c r="J83" s="7"/>
      <c r="K83" s="7"/>
      <c r="L83" s="24"/>
      <c r="M83" s="11" t="s">
        <v>184</v>
      </c>
    </row>
    <row r="84" spans="1:13">
      <c r="A84" s="82" t="s">
        <v>185</v>
      </c>
      <c r="B84">
        <v>-3.9534228615873799</v>
      </c>
      <c r="C84" s="71"/>
      <c r="D84" s="12">
        <v>0.20448827496623867</v>
      </c>
      <c r="E84" s="10">
        <v>3</v>
      </c>
      <c r="F84" s="10">
        <v>349.84</v>
      </c>
      <c r="G84" s="6">
        <v>4.75</v>
      </c>
      <c r="H84" s="14">
        <f t="shared" si="0"/>
        <v>-7.4984000000000002</v>
      </c>
      <c r="I84" s="23"/>
      <c r="J84" s="7"/>
      <c r="K84" s="7"/>
      <c r="L84" s="24"/>
      <c r="M84" s="11" t="s">
        <v>186</v>
      </c>
    </row>
    <row r="85" spans="1:13">
      <c r="A85" s="82" t="s">
        <v>187</v>
      </c>
      <c r="B85">
        <v>-3.5441115188780201</v>
      </c>
      <c r="C85" s="71"/>
      <c r="D85" s="12">
        <v>0.14358294446577732</v>
      </c>
      <c r="E85" s="10">
        <v>6</v>
      </c>
      <c r="F85" s="10">
        <v>248</v>
      </c>
      <c r="G85" s="6">
        <v>2.65</v>
      </c>
      <c r="H85" s="14">
        <f t="shared" si="0"/>
        <v>-4.38</v>
      </c>
      <c r="I85" s="23"/>
      <c r="J85" s="7"/>
      <c r="K85" s="7"/>
      <c r="L85" s="24"/>
      <c r="M85" s="11" t="s">
        <v>188</v>
      </c>
    </row>
    <row r="86" spans="1:13">
      <c r="A86" s="82" t="s">
        <v>189</v>
      </c>
      <c r="B86">
        <v>-3.1204297180506599</v>
      </c>
      <c r="C86" s="71"/>
      <c r="D86" s="12">
        <v>0.15384096988991314</v>
      </c>
      <c r="E86" s="10">
        <v>11</v>
      </c>
      <c r="F86" s="10">
        <v>173</v>
      </c>
      <c r="G86" s="6">
        <v>2.1800000000000002</v>
      </c>
      <c r="H86" s="14">
        <f t="shared" si="0"/>
        <v>-3.16</v>
      </c>
      <c r="I86" s="23"/>
      <c r="J86" s="7"/>
      <c r="K86" s="7"/>
      <c r="L86" s="24"/>
      <c r="M86" s="11" t="s">
        <v>190</v>
      </c>
    </row>
    <row r="87" spans="1:13">
      <c r="A87" s="82" t="s">
        <v>191</v>
      </c>
      <c r="B87">
        <v>-3.5571917758260301</v>
      </c>
      <c r="C87" s="71"/>
      <c r="D87" s="12">
        <v>0.14176528631434945</v>
      </c>
      <c r="E87" s="10">
        <v>5</v>
      </c>
      <c r="F87" s="10">
        <v>143.75</v>
      </c>
      <c r="G87" s="6">
        <v>2.76</v>
      </c>
      <c r="H87" s="14">
        <f t="shared" ref="H87:H122" si="1">0.5-G87-0.01*(F87-25)</f>
        <v>-3.4474999999999998</v>
      </c>
      <c r="I87" s="23"/>
      <c r="J87" s="7"/>
      <c r="K87" s="7"/>
      <c r="L87" s="24"/>
      <c r="M87" s="11" t="s">
        <v>192</v>
      </c>
    </row>
    <row r="88" spans="1:13">
      <c r="A88" s="82" t="s">
        <v>193</v>
      </c>
      <c r="B88">
        <v>-2.9838848173952202</v>
      </c>
      <c r="C88" s="71"/>
      <c r="D88" s="12">
        <v>0.16213928191469343</v>
      </c>
      <c r="E88" s="10">
        <v>19</v>
      </c>
      <c r="F88" s="10">
        <v>220.5</v>
      </c>
      <c r="G88" s="6">
        <v>1.27</v>
      </c>
      <c r="H88" s="14">
        <f t="shared" si="1"/>
        <v>-2.7250000000000001</v>
      </c>
      <c r="I88" s="23"/>
      <c r="J88" s="7"/>
      <c r="K88" s="7"/>
      <c r="L88" s="24"/>
      <c r="M88" s="11" t="s">
        <v>194</v>
      </c>
    </row>
    <row r="89" spans="1:13">
      <c r="A89" s="82" t="s">
        <v>195</v>
      </c>
      <c r="B89">
        <v>-3.5316795670863099</v>
      </c>
      <c r="C89" s="71"/>
      <c r="D89" s="12">
        <v>0.16127920198135692</v>
      </c>
      <c r="E89" s="10">
        <v>5</v>
      </c>
      <c r="F89" s="10">
        <v>214</v>
      </c>
      <c r="G89" s="6">
        <v>3.83</v>
      </c>
      <c r="H89" s="14">
        <f t="shared" si="1"/>
        <v>-5.2200000000000006</v>
      </c>
      <c r="I89" s="23"/>
      <c r="J89" s="7"/>
      <c r="K89" s="7"/>
      <c r="L89" s="24"/>
      <c r="M89" s="11" t="s">
        <v>196</v>
      </c>
    </row>
    <row r="90" spans="1:13">
      <c r="A90" s="83" t="s">
        <v>197</v>
      </c>
      <c r="B90">
        <v>-3.4130466904766799</v>
      </c>
      <c r="C90" s="71"/>
      <c r="D90" s="12">
        <v>0.13869006117838048</v>
      </c>
      <c r="E90" s="10">
        <v>3</v>
      </c>
      <c r="F90" s="10">
        <v>176</v>
      </c>
      <c r="G90" s="6">
        <v>2.88</v>
      </c>
      <c r="H90" s="14">
        <f t="shared" si="1"/>
        <v>-3.8899999999999997</v>
      </c>
      <c r="I90" s="23"/>
      <c r="J90" s="7"/>
      <c r="K90" s="7"/>
      <c r="L90" s="24"/>
      <c r="M90" s="11" t="s">
        <v>198</v>
      </c>
    </row>
    <row r="91" spans="1:13">
      <c r="A91" s="85" t="s">
        <v>199</v>
      </c>
      <c r="B91">
        <v>-2.6615864827753399</v>
      </c>
      <c r="C91" s="72"/>
      <c r="D91" s="4">
        <v>0.1259834086188602</v>
      </c>
      <c r="E91" s="2">
        <v>14</v>
      </c>
      <c r="F91" s="10">
        <v>253.5</v>
      </c>
      <c r="G91" s="6">
        <v>1.54</v>
      </c>
      <c r="H91" s="14">
        <f t="shared" si="1"/>
        <v>-3.3250000000000002</v>
      </c>
      <c r="I91" s="23"/>
      <c r="J91" s="7"/>
      <c r="K91" s="7"/>
      <c r="L91" s="24"/>
      <c r="M91" s="11" t="s">
        <v>200</v>
      </c>
    </row>
    <row r="92" spans="1:13">
      <c r="A92" s="82" t="s">
        <v>201</v>
      </c>
      <c r="B92">
        <v>-3.7054146929340299</v>
      </c>
      <c r="C92" s="71"/>
      <c r="D92" s="12">
        <v>0.16504944177542516</v>
      </c>
      <c r="E92" s="10">
        <v>5</v>
      </c>
      <c r="F92" s="10">
        <v>205.50000000000003</v>
      </c>
      <c r="G92" s="6">
        <v>2.4500000000000002</v>
      </c>
      <c r="H92" s="14">
        <f t="shared" si="1"/>
        <v>-3.7550000000000008</v>
      </c>
      <c r="I92" s="23"/>
      <c r="J92" s="7"/>
      <c r="K92" s="7"/>
      <c r="L92" s="24"/>
      <c r="M92" s="11" t="s">
        <v>202</v>
      </c>
    </row>
    <row r="93" spans="1:13">
      <c r="A93" s="83" t="s">
        <v>203</v>
      </c>
      <c r="B93">
        <v>-3.7850786045792599</v>
      </c>
      <c r="C93" s="71"/>
      <c r="D93" s="12">
        <v>0.19426266518058349</v>
      </c>
      <c r="E93" s="10">
        <v>3</v>
      </c>
      <c r="F93" s="10">
        <v>96</v>
      </c>
      <c r="G93" s="6">
        <v>3.49</v>
      </c>
      <c r="H93" s="14">
        <f t="shared" si="1"/>
        <v>-3.7</v>
      </c>
      <c r="I93" s="23"/>
      <c r="J93" s="7"/>
      <c r="K93" s="7"/>
      <c r="L93" s="24"/>
      <c r="M93" s="11" t="s">
        <v>204</v>
      </c>
    </row>
    <row r="94" spans="1:13">
      <c r="A94" s="82" t="s">
        <v>205</v>
      </c>
      <c r="B94">
        <v>-4.5361169852068697</v>
      </c>
      <c r="C94" s="71"/>
      <c r="D94" s="12">
        <v>0.18894337149737056</v>
      </c>
      <c r="E94" s="10">
        <v>12</v>
      </c>
      <c r="F94" s="10">
        <v>147.25</v>
      </c>
      <c r="G94" s="6">
        <v>3.86</v>
      </c>
      <c r="H94" s="14">
        <f t="shared" si="1"/>
        <v>-4.5824999999999996</v>
      </c>
      <c r="I94" s="23"/>
      <c r="J94" s="7"/>
      <c r="K94" s="7"/>
      <c r="L94" s="24"/>
      <c r="M94" s="11" t="s">
        <v>206</v>
      </c>
    </row>
    <row r="95" spans="1:13">
      <c r="A95" s="82" t="s">
        <v>207</v>
      </c>
      <c r="B95">
        <v>-4.0426384549890102</v>
      </c>
      <c r="C95" s="71"/>
      <c r="D95" s="12">
        <v>0.17391407185160324</v>
      </c>
      <c r="E95" s="10">
        <v>6</v>
      </c>
      <c r="F95" s="10">
        <v>97</v>
      </c>
      <c r="G95" s="6">
        <v>3.94</v>
      </c>
      <c r="H95" s="14">
        <f t="shared" si="1"/>
        <v>-4.16</v>
      </c>
      <c r="I95" s="23"/>
      <c r="J95" s="7"/>
      <c r="K95" s="7"/>
      <c r="L95" s="24"/>
      <c r="M95" s="11" t="s">
        <v>208</v>
      </c>
    </row>
    <row r="96" spans="1:13">
      <c r="A96" s="81" t="s">
        <v>209</v>
      </c>
      <c r="B96">
        <v>-1.9908373048382599</v>
      </c>
      <c r="C96" s="71"/>
      <c r="D96" s="12">
        <v>0.13764369691033657</v>
      </c>
      <c r="E96" s="10">
        <v>10</v>
      </c>
      <c r="F96" s="10">
        <v>134.5</v>
      </c>
      <c r="G96" s="6">
        <v>2.04</v>
      </c>
      <c r="H96" s="14">
        <f t="shared" si="1"/>
        <v>-2.6349999999999998</v>
      </c>
      <c r="I96" s="23"/>
      <c r="J96" s="7"/>
      <c r="K96" s="7"/>
      <c r="L96" s="24"/>
      <c r="M96" s="11" t="s">
        <v>210</v>
      </c>
    </row>
    <row r="97" spans="1:13">
      <c r="A97" s="82" t="s">
        <v>211</v>
      </c>
      <c r="B97">
        <v>-2.7779803669823</v>
      </c>
      <c r="C97" s="71"/>
      <c r="D97" s="12">
        <v>0.16245746888591447</v>
      </c>
      <c r="E97" s="10">
        <v>7</v>
      </c>
      <c r="F97" s="10">
        <v>139</v>
      </c>
      <c r="G97" s="6">
        <v>2.66</v>
      </c>
      <c r="H97" s="14">
        <f t="shared" si="1"/>
        <v>-3.3000000000000003</v>
      </c>
      <c r="I97" s="23"/>
      <c r="J97" s="7"/>
      <c r="K97" s="7"/>
      <c r="L97" s="24"/>
      <c r="M97" s="11" t="s">
        <v>212</v>
      </c>
    </row>
    <row r="98" spans="1:13">
      <c r="A98" s="82" t="s">
        <v>213</v>
      </c>
      <c r="B98">
        <v>-3.1022388137479</v>
      </c>
      <c r="C98" s="71"/>
      <c r="D98" s="12">
        <v>0.15322122505052199</v>
      </c>
      <c r="E98" s="10">
        <v>9</v>
      </c>
      <c r="F98" s="10">
        <v>170</v>
      </c>
      <c r="G98" s="6">
        <v>1.91</v>
      </c>
      <c r="H98" s="14">
        <f t="shared" si="1"/>
        <v>-2.86</v>
      </c>
      <c r="I98" s="23"/>
      <c r="J98" s="7"/>
      <c r="K98" s="7"/>
      <c r="L98" s="24"/>
      <c r="M98" s="11" t="s">
        <v>214</v>
      </c>
    </row>
    <row r="99" spans="1:13">
      <c r="A99" s="81" t="s">
        <v>215</v>
      </c>
      <c r="B99">
        <v>-3.2616902597193</v>
      </c>
      <c r="C99" s="71"/>
      <c r="D99" s="12">
        <v>0.15273607916541068</v>
      </c>
      <c r="E99" s="10">
        <v>10</v>
      </c>
      <c r="F99" s="10">
        <v>326</v>
      </c>
      <c r="G99" s="6">
        <v>2.44</v>
      </c>
      <c r="H99" s="14">
        <f t="shared" si="1"/>
        <v>-4.95</v>
      </c>
      <c r="I99" s="23"/>
      <c r="J99" s="7"/>
      <c r="K99" s="7"/>
      <c r="L99" s="24"/>
      <c r="M99" s="11" t="s">
        <v>216</v>
      </c>
    </row>
    <row r="100" spans="1:13">
      <c r="A100" s="82" t="s">
        <v>217</v>
      </c>
      <c r="B100">
        <v>-3.20756959835651</v>
      </c>
      <c r="C100" s="71"/>
      <c r="D100" s="12">
        <v>0.18404701512102448</v>
      </c>
      <c r="E100" s="10">
        <v>5</v>
      </c>
      <c r="F100" s="10">
        <v>232.50000000000003</v>
      </c>
      <c r="G100" s="6">
        <v>1.8</v>
      </c>
      <c r="H100" s="14">
        <f t="shared" si="1"/>
        <v>-3.375</v>
      </c>
      <c r="I100" s="23"/>
      <c r="J100" s="7"/>
      <c r="K100" s="7"/>
      <c r="L100" s="24"/>
      <c r="M100" s="11" t="s">
        <v>218</v>
      </c>
    </row>
    <row r="101" spans="1:13">
      <c r="A101" s="82" t="s">
        <v>219</v>
      </c>
      <c r="B101">
        <v>-2.1288440946854799</v>
      </c>
      <c r="C101" s="71"/>
      <c r="D101" s="12">
        <v>0.13604063752604376</v>
      </c>
      <c r="E101" s="10">
        <v>4</v>
      </c>
      <c r="F101" s="10">
        <v>281.5</v>
      </c>
      <c r="G101" s="6">
        <v>0.54</v>
      </c>
      <c r="H101" s="14">
        <f t="shared" si="1"/>
        <v>-2.605</v>
      </c>
      <c r="I101" s="23"/>
      <c r="J101" s="7"/>
      <c r="K101" s="7"/>
      <c r="L101" s="24"/>
      <c r="M101" s="11" t="s">
        <v>220</v>
      </c>
    </row>
    <row r="102" spans="1:13">
      <c r="A102" s="82" t="s">
        <v>221</v>
      </c>
      <c r="B102">
        <v>-3.2697774754928401</v>
      </c>
      <c r="C102" s="71"/>
      <c r="D102" s="12">
        <v>0.19798964803022484</v>
      </c>
      <c r="E102" s="10">
        <v>4</v>
      </c>
      <c r="F102" s="10">
        <v>197.1</v>
      </c>
      <c r="G102" s="6">
        <v>2.2000000000000002</v>
      </c>
      <c r="H102" s="14">
        <f t="shared" si="1"/>
        <v>-3.4210000000000003</v>
      </c>
      <c r="I102" s="23"/>
      <c r="J102" s="7"/>
      <c r="K102" s="7"/>
      <c r="L102" s="24"/>
      <c r="M102" s="11" t="s">
        <v>222</v>
      </c>
    </row>
    <row r="103" spans="1:13">
      <c r="A103" s="83" t="s">
        <v>223</v>
      </c>
      <c r="B103">
        <v>-4.4596452501343897</v>
      </c>
      <c r="C103" s="71"/>
      <c r="D103" s="12">
        <v>0.13486720020739137</v>
      </c>
      <c r="E103" s="10">
        <v>4</v>
      </c>
      <c r="F103" s="10">
        <v>33</v>
      </c>
      <c r="G103" s="6">
        <v>4.24</v>
      </c>
      <c r="H103" s="14">
        <f t="shared" si="1"/>
        <v>-3.8200000000000003</v>
      </c>
      <c r="I103" s="23"/>
      <c r="J103" s="7"/>
      <c r="K103" s="7"/>
      <c r="L103" s="24"/>
      <c r="M103" s="11" t="s">
        <v>224</v>
      </c>
    </row>
    <row r="104" spans="1:13">
      <c r="A104" s="82" t="s">
        <v>225</v>
      </c>
      <c r="B104">
        <v>-4.3675835846600197</v>
      </c>
      <c r="C104" s="71"/>
      <c r="D104" s="12">
        <v>0.18801274760604275</v>
      </c>
      <c r="E104" s="10">
        <v>11</v>
      </c>
      <c r="F104" s="10">
        <v>60</v>
      </c>
      <c r="G104" s="6">
        <v>4.24</v>
      </c>
      <c r="H104" s="14">
        <f t="shared" si="1"/>
        <v>-4.09</v>
      </c>
      <c r="I104" s="23"/>
      <c r="J104" s="7"/>
      <c r="K104" s="7"/>
      <c r="L104" s="24"/>
      <c r="M104" s="11" t="s">
        <v>226</v>
      </c>
    </row>
    <row r="105" spans="1:13">
      <c r="A105" s="82" t="s">
        <v>227</v>
      </c>
      <c r="B105">
        <v>-4.5939966787342597</v>
      </c>
      <c r="C105" s="71"/>
      <c r="D105" s="12">
        <v>0.1664014074224209</v>
      </c>
      <c r="E105" s="10">
        <v>4</v>
      </c>
      <c r="F105" s="10">
        <v>130.5</v>
      </c>
      <c r="G105" s="6">
        <v>5.22</v>
      </c>
      <c r="H105" s="14">
        <f t="shared" si="1"/>
        <v>-5.7749999999999995</v>
      </c>
      <c r="I105" s="23"/>
      <c r="J105" s="7"/>
      <c r="K105" s="7"/>
      <c r="L105" s="24"/>
      <c r="M105" s="11" t="s">
        <v>228</v>
      </c>
    </row>
    <row r="106" spans="1:13">
      <c r="A106" s="83" t="s">
        <v>103</v>
      </c>
      <c r="B106">
        <v>-3.2022933884864</v>
      </c>
      <c r="C106" s="71"/>
      <c r="D106" s="12">
        <v>0.17506472136100007</v>
      </c>
      <c r="E106" s="10">
        <v>7</v>
      </c>
      <c r="F106" s="10">
        <v>254</v>
      </c>
      <c r="G106" s="6">
        <v>2.97</v>
      </c>
      <c r="H106" s="14">
        <f t="shared" si="1"/>
        <v>-4.76</v>
      </c>
      <c r="I106" s="23"/>
      <c r="J106" s="7"/>
      <c r="K106" s="7"/>
      <c r="L106" s="24"/>
      <c r="M106" s="11" t="s">
        <v>229</v>
      </c>
    </row>
    <row r="107" spans="1:13">
      <c r="A107" s="83" t="s">
        <v>230</v>
      </c>
      <c r="B107">
        <v>-4.5904435710548102</v>
      </c>
      <c r="C107" s="71"/>
      <c r="D107" s="12">
        <v>0.1605416460069265</v>
      </c>
      <c r="E107" s="10">
        <v>5</v>
      </c>
      <c r="F107" s="10">
        <v>121</v>
      </c>
      <c r="G107" s="6">
        <v>5.91</v>
      </c>
      <c r="H107" s="14">
        <f t="shared" si="1"/>
        <v>-6.37</v>
      </c>
      <c r="I107" s="23"/>
      <c r="J107" s="7"/>
      <c r="K107" s="7"/>
      <c r="L107" s="24"/>
      <c r="M107" s="11" t="s">
        <v>231</v>
      </c>
    </row>
    <row r="108" spans="1:13">
      <c r="A108" s="82" t="s">
        <v>232</v>
      </c>
      <c r="B108">
        <v>-3.4617468885983902</v>
      </c>
      <c r="C108" s="71"/>
      <c r="D108" s="12">
        <v>0.15756984748208766</v>
      </c>
      <c r="E108" s="10">
        <v>5</v>
      </c>
      <c r="F108" s="10">
        <v>206.99999999999997</v>
      </c>
      <c r="G108" s="6">
        <v>2.56</v>
      </c>
      <c r="H108" s="14">
        <f t="shared" si="1"/>
        <v>-3.88</v>
      </c>
      <c r="I108" s="23"/>
      <c r="J108" s="7"/>
      <c r="K108" s="7"/>
      <c r="L108" s="24"/>
      <c r="M108" s="11" t="s">
        <v>233</v>
      </c>
    </row>
    <row r="109" spans="1:13">
      <c r="A109" s="81" t="s">
        <v>234</v>
      </c>
      <c r="B109">
        <v>-3.7387121557654699</v>
      </c>
      <c r="C109" s="71"/>
      <c r="D109" s="12">
        <v>0.16160362353179636</v>
      </c>
      <c r="E109" s="10">
        <v>6</v>
      </c>
      <c r="F109" s="10">
        <v>134.5</v>
      </c>
      <c r="G109" s="6">
        <v>4.8499999999999996</v>
      </c>
      <c r="H109" s="14">
        <f t="shared" si="1"/>
        <v>-5.4449999999999994</v>
      </c>
      <c r="I109" s="23"/>
      <c r="J109" s="7"/>
      <c r="K109" s="7"/>
      <c r="L109" s="24"/>
      <c r="M109" s="11" t="s">
        <v>235</v>
      </c>
    </row>
    <row r="110" spans="1:13">
      <c r="A110" s="81" t="s">
        <v>236</v>
      </c>
      <c r="B110">
        <v>-2.9531432359115701</v>
      </c>
      <c r="C110" s="71"/>
      <c r="D110" s="12">
        <v>0.18685765827673947</v>
      </c>
      <c r="E110" s="10">
        <v>6</v>
      </c>
      <c r="F110" s="10">
        <v>275</v>
      </c>
      <c r="G110" s="6">
        <v>2.09</v>
      </c>
      <c r="H110" s="14">
        <f t="shared" si="1"/>
        <v>-4.09</v>
      </c>
      <c r="I110" s="23"/>
      <c r="J110" s="7"/>
      <c r="K110" s="7"/>
      <c r="L110" s="24"/>
      <c r="M110" s="11" t="s">
        <v>237</v>
      </c>
    </row>
    <row r="111" spans="1:13">
      <c r="A111" s="82" t="s">
        <v>238</v>
      </c>
      <c r="B111">
        <v>-3.8605900461216298</v>
      </c>
      <c r="C111" s="71"/>
      <c r="D111" s="12">
        <v>0.13950112944748669</v>
      </c>
      <c r="E111" s="10">
        <v>9</v>
      </c>
      <c r="F111" s="10">
        <v>220.00000000000003</v>
      </c>
      <c r="G111" s="6">
        <v>1.8</v>
      </c>
      <c r="H111" s="14">
        <f t="shared" si="1"/>
        <v>-3.2500000000000004</v>
      </c>
      <c r="I111" s="23"/>
      <c r="J111" s="7"/>
      <c r="K111" s="7"/>
      <c r="L111" s="24"/>
      <c r="M111" s="11" t="s">
        <v>239</v>
      </c>
    </row>
    <row r="112" spans="1:13">
      <c r="A112" s="85" t="s">
        <v>240</v>
      </c>
      <c r="B112">
        <v>-2.5439471905545799</v>
      </c>
      <c r="C112" s="72"/>
      <c r="D112" s="4">
        <v>0.22014005046870977</v>
      </c>
      <c r="E112" s="2">
        <v>9</v>
      </c>
      <c r="F112" s="10">
        <v>202</v>
      </c>
      <c r="G112" s="6">
        <v>1.53</v>
      </c>
      <c r="H112" s="14">
        <f t="shared" si="1"/>
        <v>-2.8</v>
      </c>
      <c r="I112" s="23"/>
      <c r="J112" s="7"/>
      <c r="K112" s="7"/>
      <c r="L112" s="24"/>
      <c r="M112" s="11" t="s">
        <v>241</v>
      </c>
    </row>
    <row r="113" spans="1:28">
      <c r="A113" s="82" t="s">
        <v>242</v>
      </c>
      <c r="B113">
        <v>-2.2692550472877202</v>
      </c>
      <c r="C113" s="71"/>
      <c r="D113" s="12">
        <v>0.14014083879485537</v>
      </c>
      <c r="E113" s="10">
        <v>3</v>
      </c>
      <c r="F113" s="10">
        <v>243.00000000000003</v>
      </c>
      <c r="G113" s="6">
        <v>1.48</v>
      </c>
      <c r="H113" s="14">
        <f t="shared" si="1"/>
        <v>-3.16</v>
      </c>
      <c r="I113" s="23"/>
      <c r="J113" s="7"/>
      <c r="K113" s="7"/>
      <c r="L113" s="24"/>
      <c r="M113" s="11" t="s">
        <v>243</v>
      </c>
    </row>
    <row r="114" spans="1:28">
      <c r="A114" s="83" t="s">
        <v>244</v>
      </c>
      <c r="B114">
        <v>-2.58401408861807</v>
      </c>
      <c r="C114" s="71"/>
      <c r="D114" s="12">
        <v>0.13726989684757951</v>
      </c>
      <c r="E114" s="10">
        <v>3</v>
      </c>
      <c r="F114" s="10">
        <v>191</v>
      </c>
      <c r="G114" s="6">
        <v>1.67</v>
      </c>
      <c r="H114" s="14">
        <f t="shared" si="1"/>
        <v>-2.83</v>
      </c>
      <c r="I114" s="23"/>
      <c r="J114" s="7"/>
      <c r="K114" s="7"/>
      <c r="L114" s="24"/>
      <c r="M114" s="11" t="s">
        <v>245</v>
      </c>
    </row>
    <row r="115" spans="1:28">
      <c r="A115" s="82" t="s">
        <v>246</v>
      </c>
      <c r="B115">
        <v>-4.5407832285112901</v>
      </c>
      <c r="C115" s="71"/>
      <c r="D115" s="12">
        <v>0.21357402153711522</v>
      </c>
      <c r="E115" s="10">
        <v>7</v>
      </c>
      <c r="F115" s="10">
        <v>183.5</v>
      </c>
      <c r="G115" s="6">
        <v>4.37</v>
      </c>
      <c r="H115" s="14">
        <f t="shared" si="1"/>
        <v>-5.4550000000000001</v>
      </c>
      <c r="I115" s="23"/>
      <c r="J115" s="7"/>
      <c r="K115" s="7"/>
      <c r="L115" s="24"/>
      <c r="M115" s="11" t="s">
        <v>247</v>
      </c>
    </row>
    <row r="116" spans="1:28">
      <c r="A116" s="82" t="s">
        <v>248</v>
      </c>
      <c r="B116">
        <v>-2.9508485079492899</v>
      </c>
      <c r="C116" s="71"/>
      <c r="D116" s="12">
        <v>0.10564411177747912</v>
      </c>
      <c r="E116" s="10">
        <v>3</v>
      </c>
      <c r="F116" s="10">
        <v>149</v>
      </c>
      <c r="G116" s="6">
        <v>2.62</v>
      </c>
      <c r="H116" s="14">
        <f t="shared" si="1"/>
        <v>-3.3600000000000003</v>
      </c>
      <c r="I116" s="23"/>
      <c r="J116" s="7"/>
      <c r="K116" s="7"/>
      <c r="L116" s="24"/>
      <c r="M116" s="11" t="s">
        <v>249</v>
      </c>
    </row>
    <row r="117" spans="1:28">
      <c r="A117" s="81" t="s">
        <v>250</v>
      </c>
      <c r="B117">
        <v>-2.73993950399064</v>
      </c>
      <c r="C117" s="71"/>
      <c r="D117" s="12">
        <v>0.14623917640453388</v>
      </c>
      <c r="E117" s="10">
        <v>8</v>
      </c>
      <c r="F117" s="10">
        <v>165</v>
      </c>
      <c r="G117" s="6">
        <v>-0.37</v>
      </c>
      <c r="H117" s="14">
        <f t="shared" si="1"/>
        <v>-0.53000000000000014</v>
      </c>
      <c r="I117" s="23"/>
      <c r="J117" s="7"/>
      <c r="K117" s="7"/>
      <c r="L117" s="24"/>
      <c r="M117" s="11" t="s">
        <v>251</v>
      </c>
    </row>
    <row r="118" spans="1:28">
      <c r="A118" s="82" t="s">
        <v>252</v>
      </c>
      <c r="B118">
        <v>-2.5853668579033098</v>
      </c>
      <c r="C118" s="71"/>
      <c r="D118" s="12">
        <v>0.16291639539032501</v>
      </c>
      <c r="E118" s="10">
        <v>10</v>
      </c>
      <c r="F118" s="10">
        <v>225</v>
      </c>
      <c r="G118" s="6">
        <v>0.81</v>
      </c>
      <c r="H118" s="14">
        <f t="shared" si="1"/>
        <v>-2.31</v>
      </c>
      <c r="I118" s="23"/>
      <c r="J118" s="7"/>
      <c r="K118" s="7"/>
      <c r="L118" s="24"/>
      <c r="M118" s="11" t="s">
        <v>253</v>
      </c>
    </row>
    <row r="119" spans="1:28">
      <c r="A119" s="82" t="s">
        <v>254</v>
      </c>
      <c r="B119">
        <v>-3.2044346499368901</v>
      </c>
      <c r="C119" s="71"/>
      <c r="D119" s="12">
        <v>0.21166647357477791</v>
      </c>
      <c r="E119" s="10">
        <v>5</v>
      </c>
      <c r="F119" s="10">
        <v>270</v>
      </c>
      <c r="G119" s="6">
        <v>0.62</v>
      </c>
      <c r="H119" s="14">
        <f t="shared" si="1"/>
        <v>-2.5700000000000003</v>
      </c>
      <c r="I119" s="23"/>
      <c r="J119" s="7"/>
      <c r="K119" s="7"/>
      <c r="L119" s="24"/>
      <c r="M119" s="11" t="s">
        <v>255</v>
      </c>
    </row>
    <row r="120" spans="1:28">
      <c r="A120" s="81" t="s">
        <v>256</v>
      </c>
      <c r="B120">
        <v>-3.0360253533380401</v>
      </c>
      <c r="C120" s="71"/>
      <c r="D120" s="12">
        <v>0.14175650298978676</v>
      </c>
      <c r="E120" s="10">
        <v>9</v>
      </c>
      <c r="F120" s="10">
        <v>312.66666666666669</v>
      </c>
      <c r="G120" s="6">
        <v>0.83</v>
      </c>
      <c r="H120" s="14">
        <f t="shared" si="1"/>
        <v>-3.206666666666667</v>
      </c>
      <c r="I120" s="23"/>
      <c r="J120" s="7"/>
      <c r="K120" s="7"/>
      <c r="L120" s="24"/>
      <c r="M120" s="11" t="s">
        <v>257</v>
      </c>
    </row>
    <row r="121" spans="1:28">
      <c r="A121" s="82" t="s">
        <v>258</v>
      </c>
      <c r="B121">
        <v>-4.71771012982411</v>
      </c>
      <c r="C121" s="71"/>
      <c r="D121" s="12">
        <v>0.2034688635346244</v>
      </c>
      <c r="E121" s="10">
        <v>11</v>
      </c>
      <c r="F121" s="10">
        <v>161</v>
      </c>
      <c r="G121" s="6">
        <v>3.61</v>
      </c>
      <c r="H121" s="14">
        <f t="shared" si="1"/>
        <v>-4.47</v>
      </c>
      <c r="I121" s="23"/>
      <c r="J121" s="7"/>
      <c r="K121" s="7"/>
      <c r="L121" s="24"/>
      <c r="M121" s="11" t="s">
        <v>259</v>
      </c>
    </row>
    <row r="122" spans="1:28">
      <c r="A122" s="81" t="s">
        <v>109</v>
      </c>
      <c r="B122">
        <v>-2.9495303229403298</v>
      </c>
      <c r="C122" s="71"/>
      <c r="D122" s="12">
        <v>0.20579636821699754</v>
      </c>
      <c r="E122" s="10">
        <v>3</v>
      </c>
      <c r="F122" s="10">
        <v>300</v>
      </c>
      <c r="G122" s="6">
        <v>-1.06</v>
      </c>
      <c r="H122" s="14">
        <f t="shared" si="1"/>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v>-2.1276495516777598</v>
      </c>
      <c r="C129" s="73" t="s">
        <v>30</v>
      </c>
      <c r="D129" s="12">
        <v>0.50033555401430185</v>
      </c>
      <c r="E129" s="10">
        <v>3</v>
      </c>
      <c r="F129" s="10">
        <v>180</v>
      </c>
      <c r="G129" s="1">
        <v>1.91</v>
      </c>
      <c r="H129" s="14">
        <f t="shared" ref="H129:H160" si="2">0.5-G129-0.01*(F129-25)</f>
        <v>-2.96</v>
      </c>
      <c r="I129" s="53" t="s">
        <v>31</v>
      </c>
      <c r="J129" s="54"/>
      <c r="K129" s="14"/>
      <c r="L129" s="14"/>
      <c r="M129" s="3" t="s">
        <v>269</v>
      </c>
    </row>
    <row r="130" spans="1:13">
      <c r="A130" s="82" t="s">
        <v>270</v>
      </c>
      <c r="B130">
        <v>-4.29813776580081</v>
      </c>
      <c r="C130" s="73" t="s">
        <v>36</v>
      </c>
      <c r="D130" s="12">
        <v>0.5</v>
      </c>
      <c r="E130" s="6">
        <v>5</v>
      </c>
      <c r="F130" s="10">
        <v>156</v>
      </c>
      <c r="G130" s="1">
        <v>6.94</v>
      </c>
      <c r="H130" s="14">
        <f t="shared" si="2"/>
        <v>-7.75</v>
      </c>
      <c r="I130" s="53" t="s">
        <v>37</v>
      </c>
      <c r="J130" s="54"/>
      <c r="K130" s="14"/>
      <c r="L130" s="14"/>
      <c r="M130" s="3" t="s">
        <v>271</v>
      </c>
    </row>
    <row r="131" spans="1:13">
      <c r="A131" s="83" t="s">
        <v>272</v>
      </c>
      <c r="B131">
        <v>-3.9857978035712498</v>
      </c>
      <c r="C131" s="73" t="s">
        <v>41</v>
      </c>
      <c r="D131" s="12">
        <v>0.6530957900260097</v>
      </c>
      <c r="E131" s="10">
        <v>3</v>
      </c>
      <c r="F131" s="10">
        <v>208</v>
      </c>
      <c r="G131" s="1">
        <v>5.18</v>
      </c>
      <c r="H131" s="14">
        <f t="shared" si="2"/>
        <v>-6.51</v>
      </c>
      <c r="I131" s="53" t="s">
        <v>42</v>
      </c>
      <c r="J131" s="54"/>
      <c r="K131" s="14"/>
      <c r="L131" s="14"/>
      <c r="M131" s="3" t="s">
        <v>273</v>
      </c>
    </row>
    <row r="132" spans="1:13">
      <c r="A132" s="82" t="s">
        <v>274</v>
      </c>
      <c r="B132">
        <v>-2.3191116304539201</v>
      </c>
      <c r="C132" s="73" t="s">
        <v>46</v>
      </c>
      <c r="D132" s="12">
        <v>0.59285217963150294</v>
      </c>
      <c r="E132" s="10">
        <v>3</v>
      </c>
      <c r="F132" s="10">
        <v>100</v>
      </c>
      <c r="G132" s="1">
        <v>2.37</v>
      </c>
      <c r="H132" s="14">
        <f t="shared" si="2"/>
        <v>-2.62</v>
      </c>
      <c r="I132" s="15" t="s">
        <v>47</v>
      </c>
      <c r="J132" s="29"/>
      <c r="K132" s="14"/>
      <c r="L132" s="14"/>
      <c r="M132" s="3" t="s">
        <v>275</v>
      </c>
    </row>
    <row r="133" spans="1:13">
      <c r="A133" s="82" t="s">
        <v>276</v>
      </c>
      <c r="B133">
        <v>-3.65073739124932</v>
      </c>
      <c r="C133" s="73" t="s">
        <v>51</v>
      </c>
      <c r="D133" s="12">
        <v>0.51067901383936642</v>
      </c>
      <c r="E133" s="10">
        <v>5</v>
      </c>
      <c r="F133" s="10">
        <v>217</v>
      </c>
      <c r="G133" s="1">
        <v>3.19</v>
      </c>
      <c r="H133" s="14">
        <f t="shared" si="2"/>
        <v>-4.6099999999999994</v>
      </c>
      <c r="I133" s="15" t="s">
        <v>52</v>
      </c>
      <c r="J133" s="29"/>
      <c r="K133" s="14"/>
      <c r="L133" s="14"/>
      <c r="M133" s="3" t="s">
        <v>277</v>
      </c>
    </row>
    <row r="134" spans="1:13">
      <c r="A134" s="82" t="s">
        <v>278</v>
      </c>
      <c r="B134">
        <v>-4.0528918781894099</v>
      </c>
      <c r="C134" s="71"/>
      <c r="D134" s="12">
        <v>0.83065522865171437</v>
      </c>
      <c r="E134" s="10">
        <v>3</v>
      </c>
      <c r="F134" s="10">
        <v>209.50000000000003</v>
      </c>
      <c r="G134" s="1">
        <v>4.41</v>
      </c>
      <c r="H134" s="14">
        <f t="shared" si="2"/>
        <v>-5.7550000000000008</v>
      </c>
      <c r="I134" s="15" t="s">
        <v>56</v>
      </c>
      <c r="J134" s="29"/>
      <c r="K134" s="14"/>
      <c r="L134" s="14"/>
      <c r="M134" s="3" t="s">
        <v>279</v>
      </c>
    </row>
    <row r="135" spans="1:13">
      <c r="A135" s="82" t="s">
        <v>280</v>
      </c>
      <c r="B135">
        <v>-4.54100445541747</v>
      </c>
      <c r="C135" s="71"/>
      <c r="D135" s="12">
        <v>0.51097181417141646</v>
      </c>
      <c r="E135" s="10">
        <v>6</v>
      </c>
      <c r="F135" s="10">
        <v>97.5</v>
      </c>
      <c r="G135" s="1">
        <v>5.19</v>
      </c>
      <c r="H135" s="14">
        <f t="shared" si="2"/>
        <v>-5.415</v>
      </c>
      <c r="I135" s="15" t="s">
        <v>60</v>
      </c>
      <c r="J135" s="31"/>
      <c r="K135" s="14"/>
      <c r="L135" s="14"/>
      <c r="M135" s="3" t="s">
        <v>281</v>
      </c>
    </row>
    <row r="136" spans="1:13">
      <c r="A136" s="81" t="s">
        <v>282</v>
      </c>
      <c r="B136">
        <v>-5.13235917773914</v>
      </c>
      <c r="C136" s="71"/>
      <c r="D136" s="12">
        <v>0.92735432696895004</v>
      </c>
      <c r="E136" s="10">
        <v>5</v>
      </c>
      <c r="F136" s="10">
        <v>211</v>
      </c>
      <c r="G136" s="1">
        <v>7.49</v>
      </c>
      <c r="H136" s="14">
        <f t="shared" si="2"/>
        <v>-8.85</v>
      </c>
      <c r="I136" s="30" t="s">
        <v>64</v>
      </c>
      <c r="J136" s="32"/>
      <c r="K136" s="33" t="s">
        <v>369</v>
      </c>
      <c r="L136" s="34"/>
      <c r="M136" s="3" t="s">
        <v>283</v>
      </c>
    </row>
    <row r="137" spans="1:13">
      <c r="A137" s="82" t="s">
        <v>112</v>
      </c>
      <c r="B137">
        <v>-4.2324714417637299</v>
      </c>
      <c r="C137" s="71"/>
      <c r="D137" s="12">
        <v>0.68239272333923895</v>
      </c>
      <c r="E137" s="10">
        <v>3</v>
      </c>
      <c r="F137" s="10">
        <v>177</v>
      </c>
      <c r="G137" s="1">
        <v>3.37</v>
      </c>
      <c r="H137" s="14">
        <f t="shared" si="2"/>
        <v>-4.3900000000000006</v>
      </c>
      <c r="J137" s="14"/>
      <c r="K137" s="14"/>
      <c r="L137" s="14"/>
      <c r="M137" s="3" t="s">
        <v>284</v>
      </c>
    </row>
    <row r="138" spans="1:13">
      <c r="A138" s="82" t="s">
        <v>285</v>
      </c>
      <c r="B138">
        <v>-4.9764823519130799</v>
      </c>
      <c r="C138" s="71"/>
      <c r="D138" s="12">
        <v>0.520951861602862</v>
      </c>
      <c r="E138" s="10">
        <v>10</v>
      </c>
      <c r="F138" s="10">
        <v>228.6</v>
      </c>
      <c r="G138" s="1">
        <v>4.22</v>
      </c>
      <c r="H138" s="14">
        <f t="shared" si="2"/>
        <v>-5.7560000000000002</v>
      </c>
      <c r="I138" s="16" t="s">
        <v>286</v>
      </c>
      <c r="J138" s="17"/>
      <c r="K138" s="17"/>
      <c r="L138" s="18"/>
      <c r="M138" s="3" t="s">
        <v>287</v>
      </c>
    </row>
    <row r="139" spans="1:13">
      <c r="A139" s="81" t="s">
        <v>288</v>
      </c>
      <c r="B139">
        <v>-1.5085908390006</v>
      </c>
      <c r="C139" s="71"/>
      <c r="D139" s="12">
        <v>0.53906642829149898</v>
      </c>
      <c r="E139" s="10">
        <v>3</v>
      </c>
      <c r="F139" s="10">
        <v>161.5</v>
      </c>
      <c r="G139" s="1">
        <v>-0.21</v>
      </c>
      <c r="H139" s="14">
        <f t="shared" si="2"/>
        <v>-0.65500000000000003</v>
      </c>
      <c r="I139" s="20" t="s">
        <v>364</v>
      </c>
      <c r="J139" s="21"/>
      <c r="K139" s="21"/>
      <c r="L139" s="22"/>
      <c r="M139" s="3" t="s">
        <v>289</v>
      </c>
    </row>
    <row r="140" spans="1:13">
      <c r="A140" s="81" t="s">
        <v>290</v>
      </c>
      <c r="B140">
        <v>-4.04083579225835</v>
      </c>
      <c r="C140" s="71"/>
      <c r="D140" s="12">
        <v>0.56233984781338708</v>
      </c>
      <c r="E140" s="10">
        <v>11</v>
      </c>
      <c r="F140" s="10">
        <v>213.49999999999997</v>
      </c>
      <c r="G140" s="1">
        <v>3.04</v>
      </c>
      <c r="H140" s="14">
        <f t="shared" si="2"/>
        <v>-4.4249999999999998</v>
      </c>
      <c r="I140" s="23" t="s">
        <v>363</v>
      </c>
      <c r="J140" s="7"/>
      <c r="K140" s="7"/>
      <c r="L140" s="24"/>
      <c r="M140" s="3" t="s">
        <v>291</v>
      </c>
    </row>
    <row r="141" spans="1:13">
      <c r="A141" s="83" t="s">
        <v>292</v>
      </c>
      <c r="B141">
        <v>-2.52084473647969</v>
      </c>
      <c r="C141" s="71"/>
      <c r="D141" s="12">
        <v>0.54710381306524825</v>
      </c>
      <c r="E141" s="10">
        <v>4</v>
      </c>
      <c r="F141" s="10">
        <v>168.5</v>
      </c>
      <c r="G141" s="1">
        <v>3.35</v>
      </c>
      <c r="H141" s="14">
        <f t="shared" si="2"/>
        <v>-4.2850000000000001</v>
      </c>
      <c r="I141" s="23"/>
      <c r="J141" s="7"/>
      <c r="K141" s="7"/>
      <c r="L141" s="24"/>
      <c r="M141" s="3" t="s">
        <v>293</v>
      </c>
    </row>
    <row r="142" spans="1:13">
      <c r="A142" s="81" t="s">
        <v>114</v>
      </c>
      <c r="B142">
        <v>-2.4984501906338998</v>
      </c>
      <c r="C142" s="71"/>
      <c r="D142" s="12">
        <v>0.54612637818466869</v>
      </c>
      <c r="E142" s="10">
        <v>3</v>
      </c>
      <c r="F142" s="13">
        <v>124.1</v>
      </c>
      <c r="G142" s="1">
        <v>2.81</v>
      </c>
      <c r="H142" s="14">
        <f t="shared" si="2"/>
        <v>-3.3010000000000002</v>
      </c>
      <c r="I142" s="25"/>
      <c r="J142" s="7"/>
      <c r="K142" s="7"/>
      <c r="L142" s="24"/>
      <c r="M142" s="3" t="s">
        <v>294</v>
      </c>
    </row>
    <row r="143" spans="1:13">
      <c r="A143" s="81" t="s">
        <v>295</v>
      </c>
      <c r="B143">
        <v>-4.2781110818851404</v>
      </c>
      <c r="C143" s="71"/>
      <c r="D143" s="12">
        <v>0.51160213896594608</v>
      </c>
      <c r="E143" s="10">
        <v>4</v>
      </c>
      <c r="F143" s="10">
        <v>165</v>
      </c>
      <c r="G143" s="1">
        <v>4.8899999999999997</v>
      </c>
      <c r="H143" s="14">
        <f t="shared" si="2"/>
        <v>-5.79</v>
      </c>
      <c r="I143" s="25"/>
      <c r="J143" s="7"/>
      <c r="K143" s="7"/>
      <c r="L143" s="24"/>
      <c r="M143" s="3" t="s">
        <v>296</v>
      </c>
    </row>
    <row r="144" spans="1:13">
      <c r="A144" s="81" t="s">
        <v>117</v>
      </c>
      <c r="B144">
        <v>-4.1553247135581897</v>
      </c>
      <c r="C144" s="71"/>
      <c r="D144" s="12">
        <v>0.65141515533308314</v>
      </c>
      <c r="E144" s="10">
        <v>4</v>
      </c>
      <c r="F144" s="10">
        <v>161.1</v>
      </c>
      <c r="G144" s="1">
        <v>4.76</v>
      </c>
      <c r="H144" s="14">
        <f t="shared" si="2"/>
        <v>-5.6209999999999996</v>
      </c>
      <c r="I144" s="25"/>
      <c r="J144" s="7"/>
      <c r="K144" s="7"/>
      <c r="L144" s="24"/>
      <c r="M144" s="3" t="s">
        <v>297</v>
      </c>
    </row>
    <row r="145" spans="1:28">
      <c r="A145" s="83" t="s">
        <v>298</v>
      </c>
      <c r="B145">
        <v>-4.2563715588614803</v>
      </c>
      <c r="C145" s="71"/>
      <c r="D145" s="12">
        <v>0.65883215509381909</v>
      </c>
      <c r="E145" s="10">
        <v>3</v>
      </c>
      <c r="F145" s="10">
        <v>155</v>
      </c>
      <c r="G145" s="1">
        <v>3.74</v>
      </c>
      <c r="H145" s="14">
        <f t="shared" si="2"/>
        <v>-4.54</v>
      </c>
      <c r="I145" s="25"/>
      <c r="J145" s="7"/>
      <c r="K145" s="7"/>
      <c r="L145" s="24"/>
      <c r="M145" s="3" t="s">
        <v>299</v>
      </c>
    </row>
    <row r="146" spans="1:28">
      <c r="A146" s="82" t="s">
        <v>300</v>
      </c>
      <c r="B146">
        <v>-4.1375594089591701</v>
      </c>
      <c r="C146" s="71"/>
      <c r="D146" s="12">
        <v>0.61400477095750339</v>
      </c>
      <c r="E146" s="10">
        <v>3</v>
      </c>
      <c r="F146" s="10">
        <v>165.4</v>
      </c>
      <c r="G146" s="1">
        <v>5.58</v>
      </c>
      <c r="H146" s="14">
        <f t="shared" si="2"/>
        <v>-6.484</v>
      </c>
      <c r="I146" s="25"/>
      <c r="J146" s="7"/>
      <c r="K146" s="7"/>
      <c r="L146" s="24"/>
      <c r="M146" s="3" t="s">
        <v>301</v>
      </c>
    </row>
    <row r="147" spans="1:28">
      <c r="A147" s="82" t="s">
        <v>302</v>
      </c>
      <c r="B147">
        <v>-3.9010533403400198</v>
      </c>
      <c r="C147" s="71"/>
      <c r="D147" s="12">
        <v>0.50406532001413251</v>
      </c>
      <c r="E147" s="10">
        <v>6</v>
      </c>
      <c r="F147" s="10">
        <v>161</v>
      </c>
      <c r="G147" s="1">
        <v>6.45</v>
      </c>
      <c r="H147" s="14">
        <f t="shared" si="2"/>
        <v>-7.3100000000000005</v>
      </c>
      <c r="I147" s="26"/>
      <c r="J147" s="27"/>
      <c r="K147" s="27"/>
      <c r="L147" s="28"/>
      <c r="M147" s="3" t="s">
        <v>303</v>
      </c>
    </row>
    <row r="148" spans="1:28">
      <c r="A148" s="82" t="s">
        <v>304</v>
      </c>
      <c r="B148">
        <v>-5.3479470446172703</v>
      </c>
      <c r="C148" s="71"/>
      <c r="D148" s="12">
        <v>0.75493366325441691</v>
      </c>
      <c r="E148" s="10">
        <v>4</v>
      </c>
      <c r="F148" s="10">
        <v>193.5</v>
      </c>
      <c r="G148" s="1">
        <v>5.41</v>
      </c>
      <c r="H148" s="14">
        <f t="shared" si="2"/>
        <v>-6.5950000000000006</v>
      </c>
      <c r="J148" s="14"/>
      <c r="K148" s="14"/>
      <c r="L148" s="14"/>
      <c r="M148" s="3" t="s">
        <v>305</v>
      </c>
    </row>
    <row r="149" spans="1:28">
      <c r="A149" s="82" t="s">
        <v>306</v>
      </c>
      <c r="B149">
        <v>-3.23955079919845</v>
      </c>
      <c r="C149" s="71"/>
      <c r="D149" s="12">
        <v>0.50089358058597189</v>
      </c>
      <c r="E149" s="10">
        <v>3</v>
      </c>
      <c r="F149" s="10">
        <v>156</v>
      </c>
      <c r="G149" s="1">
        <v>2.9</v>
      </c>
      <c r="H149" s="14">
        <f t="shared" si="2"/>
        <v>-3.71</v>
      </c>
      <c r="I149" s="70" t="s">
        <v>133</v>
      </c>
      <c r="J149" s="32"/>
      <c r="K149" s="34">
        <v>4741</v>
      </c>
      <c r="L149" s="14"/>
      <c r="M149" s="3" t="s">
        <v>307</v>
      </c>
    </row>
    <row r="150" spans="1:28">
      <c r="A150" s="83" t="s">
        <v>308</v>
      </c>
      <c r="B150">
        <v>-3.31086971527048</v>
      </c>
      <c r="C150" s="71"/>
      <c r="D150" s="12">
        <v>0.6587984329866341</v>
      </c>
      <c r="E150" s="10">
        <v>4</v>
      </c>
      <c r="F150" s="10">
        <v>183.5</v>
      </c>
      <c r="G150" s="1">
        <v>3.16</v>
      </c>
      <c r="H150" s="14">
        <f t="shared" si="2"/>
        <v>-4.2450000000000001</v>
      </c>
      <c r="I150" s="70" t="s">
        <v>136</v>
      </c>
      <c r="J150" s="32"/>
      <c r="K150" s="34">
        <v>1186</v>
      </c>
      <c r="L150" s="14"/>
      <c r="M150" s="3" t="s">
        <v>309</v>
      </c>
    </row>
    <row r="151" spans="1:28">
      <c r="A151" s="83" t="s">
        <v>310</v>
      </c>
      <c r="B151">
        <v>-2.31569173354639</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v>-2.0873780323213098</v>
      </c>
      <c r="C152" s="71"/>
      <c r="D152" s="12">
        <v>0.57115657899345518</v>
      </c>
      <c r="E152" s="10">
        <v>7</v>
      </c>
      <c r="F152" s="10">
        <v>177</v>
      </c>
      <c r="G152" s="1">
        <v>3.17</v>
      </c>
      <c r="H152" s="14">
        <f t="shared" si="2"/>
        <v>-4.1899999999999995</v>
      </c>
      <c r="I152" s="14"/>
      <c r="J152" s="14"/>
      <c r="K152" s="14"/>
      <c r="L152" s="14"/>
      <c r="M152" s="3" t="s">
        <v>313</v>
      </c>
    </row>
    <row r="153" spans="1:28">
      <c r="A153" s="81" t="s">
        <v>314</v>
      </c>
      <c r="B153">
        <v>-4.7169864005961397</v>
      </c>
      <c r="C153" s="71"/>
      <c r="D153" s="12">
        <v>0.55807775121880254</v>
      </c>
      <c r="E153" s="10">
        <v>6</v>
      </c>
      <c r="F153" s="10">
        <v>145</v>
      </c>
      <c r="G153" s="1">
        <v>6.08</v>
      </c>
      <c r="H153" s="14">
        <f t="shared" si="2"/>
        <v>-6.78</v>
      </c>
      <c r="I153" s="19" t="s">
        <v>144</v>
      </c>
      <c r="J153" s="17"/>
      <c r="K153" s="17"/>
      <c r="L153" s="18"/>
      <c r="M153" s="3" t="s">
        <v>315</v>
      </c>
    </row>
    <row r="154" spans="1:28">
      <c r="A154" s="81" t="s">
        <v>316</v>
      </c>
      <c r="B154">
        <v>-3.91271097733304</v>
      </c>
      <c r="C154" s="71"/>
      <c r="D154" s="12">
        <v>0.66417698790166113</v>
      </c>
      <c r="E154" s="10">
        <v>3</v>
      </c>
      <c r="F154" s="13">
        <v>175.8</v>
      </c>
      <c r="G154" s="1">
        <v>4.62</v>
      </c>
      <c r="H154" s="14">
        <f t="shared" si="2"/>
        <v>-5.6280000000000001</v>
      </c>
      <c r="I154" s="20" t="s">
        <v>362</v>
      </c>
      <c r="J154" s="21"/>
      <c r="K154" s="21"/>
      <c r="L154" s="22"/>
      <c r="M154" s="3" t="s">
        <v>317</v>
      </c>
    </row>
    <row r="155" spans="1:28">
      <c r="A155" s="82" t="s">
        <v>318</v>
      </c>
      <c r="B155">
        <v>-3.88876372932044</v>
      </c>
      <c r="C155" s="71"/>
      <c r="D155" s="12">
        <v>0.57716593661781801</v>
      </c>
      <c r="E155" s="10">
        <v>3</v>
      </c>
      <c r="F155" s="10">
        <v>349.84</v>
      </c>
      <c r="G155" s="1">
        <v>3.09</v>
      </c>
      <c r="H155" s="14">
        <f t="shared" si="2"/>
        <v>-5.8384</v>
      </c>
      <c r="I155" s="23" t="s">
        <v>361</v>
      </c>
      <c r="J155" s="7"/>
      <c r="K155" s="7"/>
      <c r="L155" s="24"/>
      <c r="M155" s="3" t="s">
        <v>319</v>
      </c>
    </row>
    <row r="156" spans="1:28">
      <c r="A156" s="83" t="s">
        <v>320</v>
      </c>
      <c r="B156">
        <v>-2.8223347873815099</v>
      </c>
      <c r="C156" s="71"/>
      <c r="D156" s="12">
        <v>0.70324590282883903</v>
      </c>
      <c r="E156" s="10">
        <v>3</v>
      </c>
      <c r="F156" s="10">
        <v>204</v>
      </c>
      <c r="G156" s="1">
        <v>0.88</v>
      </c>
      <c r="H156" s="14">
        <f t="shared" si="2"/>
        <v>-2.17</v>
      </c>
      <c r="I156" s="23"/>
      <c r="J156" s="7"/>
      <c r="K156" s="7"/>
      <c r="L156" s="24"/>
      <c r="M156" s="3" t="s">
        <v>321</v>
      </c>
    </row>
    <row r="157" spans="1:28">
      <c r="A157" s="82" t="s">
        <v>322</v>
      </c>
      <c r="B157">
        <v>-4.5577653741234503</v>
      </c>
      <c r="C157" s="71"/>
      <c r="D157" s="12">
        <v>0.7237903588794764</v>
      </c>
      <c r="E157" s="10">
        <v>7</v>
      </c>
      <c r="F157" s="10">
        <v>97.8</v>
      </c>
      <c r="G157" s="1">
        <v>6</v>
      </c>
      <c r="H157" s="14">
        <f t="shared" si="2"/>
        <v>-6.2279999999999998</v>
      </c>
      <c r="I157" s="23"/>
      <c r="J157" s="7"/>
      <c r="K157" s="7"/>
      <c r="L157" s="24"/>
      <c r="M157" s="3" t="s">
        <v>323</v>
      </c>
    </row>
    <row r="158" spans="1:28">
      <c r="A158" s="82" t="s">
        <v>324</v>
      </c>
      <c r="B158">
        <v>-5.1787080476296099</v>
      </c>
      <c r="C158" s="71"/>
      <c r="D158" s="12">
        <v>0.84033450922624497</v>
      </c>
      <c r="E158" s="10">
        <v>5</v>
      </c>
      <c r="F158" s="10">
        <v>262</v>
      </c>
      <c r="G158" s="1">
        <v>7.26</v>
      </c>
      <c r="H158" s="14">
        <f t="shared" si="2"/>
        <v>-9.129999999999999</v>
      </c>
      <c r="I158" s="23"/>
      <c r="J158" s="7"/>
      <c r="K158" s="7"/>
      <c r="L158" s="24"/>
      <c r="M158" s="3" t="s">
        <v>325</v>
      </c>
    </row>
    <row r="159" spans="1:28">
      <c r="A159" s="82" t="s">
        <v>326</v>
      </c>
      <c r="B159">
        <v>-4.1512052882256398</v>
      </c>
      <c r="C159" s="71"/>
      <c r="D159" s="12">
        <v>0.70969645885144073</v>
      </c>
      <c r="E159" s="10">
        <v>11</v>
      </c>
      <c r="F159" s="10">
        <v>149.6</v>
      </c>
      <c r="G159" s="1">
        <v>6.45</v>
      </c>
      <c r="H159" s="14">
        <f t="shared" si="2"/>
        <v>-7.1959999999999997</v>
      </c>
      <c r="I159" s="23"/>
      <c r="J159" s="7"/>
      <c r="K159" s="7"/>
      <c r="L159" s="24"/>
      <c r="M159" s="3" t="s">
        <v>327</v>
      </c>
    </row>
    <row r="160" spans="1:28" s="62" customFormat="1">
      <c r="A160" s="81" t="s">
        <v>328</v>
      </c>
      <c r="B160">
        <v>-3.2903420985774199</v>
      </c>
      <c r="C160" s="71"/>
      <c r="D160" s="12">
        <v>0.49644864464459931</v>
      </c>
      <c r="E160" s="10">
        <v>4</v>
      </c>
      <c r="F160" s="10">
        <v>304.5</v>
      </c>
      <c r="G160" s="1">
        <v>2.69</v>
      </c>
      <c r="H160" s="14">
        <f t="shared" si="2"/>
        <v>-4.9849999999999994</v>
      </c>
      <c r="I160" s="35"/>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43" t="s">
        <v>360</v>
      </c>
      <c r="B194" s="115" t="s">
        <v>359</v>
      </c>
      <c r="C194" s="116" t="s">
        <v>358</v>
      </c>
      <c r="D194" s="115" t="s">
        <v>357</v>
      </c>
      <c r="E194" s="44"/>
      <c r="F194" s="44"/>
      <c r="G194" s="44"/>
      <c r="H194" s="44"/>
      <c r="I194" s="44"/>
      <c r="J194" s="44"/>
      <c r="K194" s="44"/>
      <c r="L194" s="44"/>
      <c r="M194" s="48"/>
      <c r="N194" s="44"/>
      <c r="O194" s="44"/>
      <c r="P194" s="44"/>
      <c r="Q194" s="45"/>
    </row>
  </sheetData>
  <hyperlinks>
    <hyperlink ref="C194" r:id="rId1" xr:uid="{9E27B49A-376F-4E8B-B16D-C13057E2AF5E}"/>
    <hyperlink ref="B194" r:id="rId2" xr:uid="{07D02E62-E0BD-4D19-969F-B24AA301449D}"/>
    <hyperlink ref="D194" r:id="rId3" xr:uid="{DE4E729A-5221-43C5-9FD0-4904C8DEACE5}"/>
  </hyperlinks>
  <pageMargins left="0" right="0" top="0" bottom="0" header="0.3" footer="0.3"/>
  <pageSetup scale="54" orientation="landscape" r:id="rId4"/>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BF999-1390-4916-9C85-70654EF7D00B}">
  <dimension ref="A1:AB194"/>
  <sheetViews>
    <sheetView workbookViewId="0">
      <selection activeCell="B4" sqref="B4:C9"/>
    </sheetView>
  </sheetViews>
  <sheetFormatPr baseColWidth="10" defaultColWidth="9.1640625" defaultRowHeight="15"/>
  <cols>
    <col min="1" max="1" width="18.83203125" customWidth="1"/>
    <col min="2" max="3" width="11.33203125" customWidth="1"/>
    <col min="4" max="4" width="7.6640625" customWidth="1"/>
    <col min="5" max="5" width="7.83203125" customWidth="1"/>
    <col min="6" max="6" width="10.1640625" customWidth="1"/>
    <col min="7" max="7" width="11.5" customWidth="1"/>
    <col min="9" max="9" width="13.1640625" customWidth="1"/>
    <col min="10" max="10" width="9.83203125" customWidth="1"/>
    <col min="11" max="11" width="15.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118"/>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t="s">
        <v>32</v>
      </c>
      <c r="C14" t="s">
        <v>11</v>
      </c>
    </row>
    <row r="15" spans="1:25" s="90" customFormat="1">
      <c r="A15" s="89" t="s">
        <v>12</v>
      </c>
    </row>
    <row r="16" spans="1:25">
      <c r="B16" s="117"/>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s="120">
        <v>-2.1320000000000001</v>
      </c>
      <c r="C23" s="73" t="s">
        <v>30</v>
      </c>
      <c r="D23" s="12">
        <v>0.17592262140645501</v>
      </c>
      <c r="E23" s="10">
        <v>11</v>
      </c>
      <c r="F23" s="10">
        <v>258.5</v>
      </c>
      <c r="G23" s="6">
        <v>-0.86</v>
      </c>
      <c r="H23" s="14">
        <f t="shared" ref="H23:H86" si="0">0.5-G23-0.01*(F23-25)</f>
        <v>-0.97500000000000009</v>
      </c>
      <c r="I23" s="53" t="s">
        <v>31</v>
      </c>
      <c r="J23" s="54"/>
      <c r="K23" s="14"/>
      <c r="L23" s="14"/>
      <c r="M23" s="11" t="s">
        <v>33</v>
      </c>
    </row>
    <row r="24" spans="1:28">
      <c r="A24" s="82" t="s">
        <v>35</v>
      </c>
      <c r="B24" s="120">
        <v>-2.8319999999999999</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s="120">
        <v>-3.8769999999999998</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s="120">
        <v>-4.1120000000000001</v>
      </c>
      <c r="C26" s="73" t="s">
        <v>46</v>
      </c>
      <c r="D26" s="12">
        <v>0.16999222507469616</v>
      </c>
      <c r="E26" s="10">
        <v>3</v>
      </c>
      <c r="F26" s="10">
        <v>234</v>
      </c>
      <c r="G26" s="6">
        <v>3.19</v>
      </c>
      <c r="H26" s="14">
        <f t="shared" si="0"/>
        <v>-4.7799999999999994</v>
      </c>
      <c r="I26" s="15" t="s">
        <v>47</v>
      </c>
      <c r="J26" s="29"/>
      <c r="K26" s="14"/>
      <c r="L26" s="14"/>
      <c r="M26" s="11" t="s">
        <v>48</v>
      </c>
    </row>
    <row r="27" spans="1:28">
      <c r="A27" s="82" t="s">
        <v>50</v>
      </c>
      <c r="B27" s="120">
        <v>-6.5468999999999999</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s="120">
        <v>-6.4779999999999998</v>
      </c>
      <c r="C28" s="71"/>
      <c r="D28" s="12">
        <v>0.18412396392404196</v>
      </c>
      <c r="E28" s="10">
        <v>3</v>
      </c>
      <c r="F28" s="10">
        <v>224.00000000000003</v>
      </c>
      <c r="G28" s="6">
        <v>5.51</v>
      </c>
      <c r="H28" s="14">
        <f t="shared" si="0"/>
        <v>-7</v>
      </c>
      <c r="I28" s="15" t="s">
        <v>56</v>
      </c>
      <c r="J28" s="29"/>
      <c r="K28" s="14"/>
      <c r="L28" s="14"/>
      <c r="M28" s="11" t="s">
        <v>57</v>
      </c>
    </row>
    <row r="29" spans="1:28">
      <c r="A29" s="81" t="s">
        <v>59</v>
      </c>
      <c r="B29" s="120">
        <v>-2.923</v>
      </c>
      <c r="C29" s="71"/>
      <c r="D29" s="12">
        <v>0.14933733874523175</v>
      </c>
      <c r="E29" s="10">
        <v>6</v>
      </c>
      <c r="F29" s="10">
        <v>172.5</v>
      </c>
      <c r="G29" s="6">
        <v>1.78</v>
      </c>
      <c r="H29" s="14">
        <f t="shared" si="0"/>
        <v>-2.7549999999999999</v>
      </c>
      <c r="I29" s="15" t="s">
        <v>60</v>
      </c>
      <c r="J29" s="31"/>
      <c r="K29" s="14"/>
      <c r="L29" s="14"/>
      <c r="M29" s="11" t="s">
        <v>61</v>
      </c>
    </row>
    <row r="30" spans="1:28">
      <c r="A30" s="81" t="s">
        <v>63</v>
      </c>
      <c r="B30" s="120">
        <v>-1.7850000000000001</v>
      </c>
      <c r="C30" s="71"/>
      <c r="D30" s="12">
        <v>0.14842266063120066</v>
      </c>
      <c r="E30" s="10">
        <v>4</v>
      </c>
      <c r="F30" s="10">
        <v>207.50000000000003</v>
      </c>
      <c r="G30" s="6">
        <v>1.86</v>
      </c>
      <c r="H30" s="14">
        <f t="shared" si="0"/>
        <v>-3.1850000000000005</v>
      </c>
      <c r="I30" s="30" t="s">
        <v>64</v>
      </c>
      <c r="J30" s="32" t="s">
        <v>420</v>
      </c>
      <c r="K30" s="33" t="s">
        <v>421</v>
      </c>
      <c r="L30" s="34"/>
      <c r="M30" s="11" t="s">
        <v>65</v>
      </c>
    </row>
    <row r="31" spans="1:28">
      <c r="A31" s="83" t="s">
        <v>66</v>
      </c>
      <c r="B31" s="120">
        <v>-3.3490000000000002</v>
      </c>
      <c r="C31" s="71"/>
      <c r="D31" s="12">
        <v>0.1617973106900604</v>
      </c>
      <c r="E31" s="10">
        <v>10</v>
      </c>
      <c r="F31" s="10">
        <v>166.5</v>
      </c>
      <c r="G31" s="6">
        <v>0.79</v>
      </c>
      <c r="H31" s="14">
        <f t="shared" si="0"/>
        <v>-1.7050000000000001</v>
      </c>
      <c r="J31" s="14"/>
      <c r="K31" s="14"/>
      <c r="L31" s="14"/>
      <c r="M31" s="11" t="s">
        <v>67</v>
      </c>
    </row>
    <row r="32" spans="1:28">
      <c r="A32" s="82" t="s">
        <v>68</v>
      </c>
      <c r="B32" s="120">
        <v>-5.5742000000000003</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s="120">
        <v>-4.407</v>
      </c>
      <c r="C33" s="72"/>
      <c r="D33" s="4">
        <v>0.12912520605069597</v>
      </c>
      <c r="E33" s="2">
        <v>3</v>
      </c>
      <c r="F33" s="13">
        <v>192.7</v>
      </c>
      <c r="G33" s="6">
        <v>2.63</v>
      </c>
      <c r="H33" s="14">
        <f t="shared" si="0"/>
        <v>-3.8069999999999995</v>
      </c>
      <c r="I33" s="20" t="s">
        <v>422</v>
      </c>
      <c r="J33" s="21"/>
      <c r="K33" s="21"/>
      <c r="L33" s="22"/>
      <c r="M33" s="11" t="s">
        <v>72</v>
      </c>
    </row>
    <row r="34" spans="1:13">
      <c r="A34" s="81" t="s">
        <v>74</v>
      </c>
      <c r="B34" s="120">
        <v>-6.3475000000000001</v>
      </c>
      <c r="C34" s="71"/>
      <c r="D34" s="12">
        <v>0.14911462098310888</v>
      </c>
      <c r="E34" s="10">
        <v>6</v>
      </c>
      <c r="F34" s="10">
        <v>167</v>
      </c>
      <c r="G34" s="6">
        <v>6.32</v>
      </c>
      <c r="H34" s="14">
        <f t="shared" si="0"/>
        <v>-7.24</v>
      </c>
      <c r="I34" s="23" t="s">
        <v>423</v>
      </c>
      <c r="J34" s="7"/>
      <c r="K34" s="7"/>
      <c r="L34" s="24"/>
      <c r="M34" s="11" t="s">
        <v>75</v>
      </c>
    </row>
    <row r="35" spans="1:13">
      <c r="A35" s="82" t="s">
        <v>77</v>
      </c>
      <c r="B35" s="120">
        <v>-2.57</v>
      </c>
      <c r="C35" s="71"/>
      <c r="D35" s="12">
        <v>0.15809078703524676</v>
      </c>
      <c r="E35" s="10">
        <v>15</v>
      </c>
      <c r="F35" s="10">
        <v>191.5</v>
      </c>
      <c r="G35" s="6">
        <v>3.39</v>
      </c>
      <c r="H35" s="14">
        <f t="shared" si="0"/>
        <v>-4.5549999999999997</v>
      </c>
      <c r="I35" s="23" t="s">
        <v>424</v>
      </c>
      <c r="J35" s="7"/>
      <c r="K35" s="7"/>
      <c r="L35" s="24"/>
      <c r="M35" s="11" t="s">
        <v>78</v>
      </c>
    </row>
    <row r="36" spans="1:13">
      <c r="A36" s="83" t="s">
        <v>80</v>
      </c>
      <c r="B36" s="120">
        <v>-4.944</v>
      </c>
      <c r="C36" s="71"/>
      <c r="D36" s="12">
        <v>0.1911503089068218</v>
      </c>
      <c r="E36" s="10">
        <v>3</v>
      </c>
      <c r="F36" s="10">
        <v>246.2</v>
      </c>
      <c r="G36" s="6">
        <v>3.32</v>
      </c>
      <c r="H36" s="14">
        <f t="shared" si="0"/>
        <v>-5.032</v>
      </c>
      <c r="I36" s="23" t="s">
        <v>425</v>
      </c>
      <c r="J36" s="7"/>
      <c r="K36" s="7"/>
      <c r="L36" s="24"/>
      <c r="M36" s="11" t="s">
        <v>81</v>
      </c>
    </row>
    <row r="37" spans="1:13">
      <c r="A37" s="83" t="s">
        <v>73</v>
      </c>
      <c r="B37" s="120">
        <v>-4.3959999999999999</v>
      </c>
      <c r="C37" s="71"/>
      <c r="D37" s="12">
        <v>0.19050575600734274</v>
      </c>
      <c r="E37" s="10">
        <v>4</v>
      </c>
      <c r="F37" s="10">
        <v>304</v>
      </c>
      <c r="G37" s="6">
        <v>1.74</v>
      </c>
      <c r="H37" s="14">
        <f t="shared" si="0"/>
        <v>-4.03</v>
      </c>
      <c r="I37" s="25"/>
      <c r="J37" s="7"/>
      <c r="K37" s="7"/>
      <c r="L37" s="24"/>
      <c r="M37" s="11" t="s">
        <v>83</v>
      </c>
    </row>
    <row r="38" spans="1:13">
      <c r="A38" s="81" t="s">
        <v>76</v>
      </c>
      <c r="B38" s="120">
        <v>-2.617</v>
      </c>
      <c r="C38" s="71"/>
      <c r="D38" s="12">
        <v>0.13682393527498057</v>
      </c>
      <c r="E38" s="10">
        <v>7</v>
      </c>
      <c r="F38" s="10">
        <v>187</v>
      </c>
      <c r="G38" s="6">
        <v>-0.87</v>
      </c>
      <c r="H38" s="14">
        <f t="shared" si="0"/>
        <v>-0.25</v>
      </c>
      <c r="I38" s="25" t="s">
        <v>426</v>
      </c>
      <c r="J38" s="7"/>
      <c r="K38" s="7"/>
      <c r="L38" s="24"/>
      <c r="M38" s="66" t="s">
        <v>85</v>
      </c>
    </row>
    <row r="39" spans="1:13">
      <c r="A39" s="81" t="s">
        <v>87</v>
      </c>
      <c r="B39" s="120">
        <v>-2.9249999999999998</v>
      </c>
      <c r="C39" s="71"/>
      <c r="D39" s="12">
        <v>0.20462356367492032</v>
      </c>
      <c r="E39" s="10">
        <v>4</v>
      </c>
      <c r="F39" s="10">
        <v>221.5</v>
      </c>
      <c r="G39" s="6">
        <v>0.71</v>
      </c>
      <c r="H39" s="14">
        <f t="shared" si="0"/>
        <v>-2.1749999999999998</v>
      </c>
      <c r="I39" s="25" t="s">
        <v>427</v>
      </c>
      <c r="J39" s="7"/>
      <c r="K39" s="7"/>
      <c r="L39" s="24"/>
      <c r="M39" s="11" t="s">
        <v>88</v>
      </c>
    </row>
    <row r="40" spans="1:13">
      <c r="A40" s="81" t="s">
        <v>90</v>
      </c>
      <c r="B40" s="120">
        <v>-5.1920000000000002</v>
      </c>
      <c r="C40" s="71"/>
      <c r="D40" s="12">
        <v>0.18274602564465547</v>
      </c>
      <c r="E40" s="10">
        <v>6</v>
      </c>
      <c r="F40" s="10">
        <v>157.83333333333334</v>
      </c>
      <c r="G40" s="6">
        <v>3.51</v>
      </c>
      <c r="H40" s="14">
        <f t="shared" si="0"/>
        <v>-4.3383333333333329</v>
      </c>
      <c r="I40" s="25"/>
      <c r="J40" s="39"/>
      <c r="K40" s="39"/>
      <c r="L40" s="40"/>
      <c r="M40" s="11" t="s">
        <v>91</v>
      </c>
    </row>
    <row r="41" spans="1:13">
      <c r="A41" s="84" t="s">
        <v>93</v>
      </c>
      <c r="B41" s="120">
        <v>-2.6619999999999999</v>
      </c>
      <c r="C41" s="72"/>
      <c r="D41" s="4">
        <v>0.12610247911779729</v>
      </c>
      <c r="E41" s="2">
        <v>8</v>
      </c>
      <c r="F41" s="10">
        <v>140</v>
      </c>
      <c r="G41" s="6">
        <v>0.35</v>
      </c>
      <c r="H41" s="14">
        <f t="shared" si="0"/>
        <v>-1</v>
      </c>
      <c r="I41" s="25"/>
      <c r="J41" s="39"/>
      <c r="K41" s="39"/>
      <c r="L41" s="40"/>
      <c r="M41" s="11" t="s">
        <v>94</v>
      </c>
    </row>
    <row r="42" spans="1:13">
      <c r="A42" s="82" t="s">
        <v>96</v>
      </c>
      <c r="B42" s="120">
        <v>-2.77</v>
      </c>
      <c r="C42" s="71"/>
      <c r="D42" s="12">
        <v>0.14493441954543959</v>
      </c>
      <c r="E42" s="10">
        <v>7</v>
      </c>
      <c r="F42" s="10">
        <v>127.93333333333334</v>
      </c>
      <c r="G42" s="6">
        <v>1.74</v>
      </c>
      <c r="H42" s="14">
        <f t="shared" si="0"/>
        <v>-2.2693333333333334</v>
      </c>
      <c r="I42" s="25"/>
      <c r="J42" s="39"/>
      <c r="K42" s="39"/>
      <c r="L42" s="40"/>
      <c r="M42" s="11" t="s">
        <v>97</v>
      </c>
    </row>
    <row r="43" spans="1:13">
      <c r="A43" s="82" t="s">
        <v>79</v>
      </c>
      <c r="B43" s="120">
        <v>-4.9770000000000003</v>
      </c>
      <c r="C43" s="71"/>
      <c r="D43" s="12">
        <v>0.14861388626870758</v>
      </c>
      <c r="E43" s="10">
        <v>7</v>
      </c>
      <c r="F43" s="10">
        <v>176</v>
      </c>
      <c r="G43" s="6">
        <v>4.4800000000000004</v>
      </c>
      <c r="H43" s="14">
        <f t="shared" si="0"/>
        <v>-5.49</v>
      </c>
      <c r="I43" s="25"/>
      <c r="J43" s="39"/>
      <c r="K43" s="39"/>
      <c r="L43" s="40"/>
      <c r="M43" s="11" t="s">
        <v>99</v>
      </c>
    </row>
    <row r="44" spans="1:13">
      <c r="A44" s="85" t="s">
        <v>101</v>
      </c>
      <c r="B44" s="120">
        <v>-4.2270000000000003</v>
      </c>
      <c r="C44" s="72"/>
      <c r="D44" s="4">
        <v>0.1280711495400205</v>
      </c>
      <c r="E44" s="2">
        <v>3</v>
      </c>
      <c r="F44" s="10">
        <v>159.69999999999999</v>
      </c>
      <c r="G44" s="6">
        <v>3.46</v>
      </c>
      <c r="H44" s="14">
        <f t="shared" si="0"/>
        <v>-4.3070000000000004</v>
      </c>
      <c r="I44" s="25"/>
      <c r="J44" s="39"/>
      <c r="K44" s="39"/>
      <c r="L44" s="40"/>
      <c r="M44" s="11" t="s">
        <v>102</v>
      </c>
    </row>
    <row r="45" spans="1:13">
      <c r="A45" s="84" t="s">
        <v>104</v>
      </c>
      <c r="B45" s="120">
        <v>-2.1760000000000002</v>
      </c>
      <c r="C45" s="72"/>
      <c r="D45" s="4">
        <v>0.21683500301481054</v>
      </c>
      <c r="E45" s="2">
        <v>8</v>
      </c>
      <c r="F45" s="10">
        <v>142</v>
      </c>
      <c r="G45" s="6">
        <v>0.6</v>
      </c>
      <c r="H45" s="14">
        <f t="shared" si="0"/>
        <v>-1.27</v>
      </c>
      <c r="I45" s="25"/>
      <c r="J45" s="39"/>
      <c r="K45" s="39"/>
      <c r="L45" s="40"/>
      <c r="M45" s="11" t="s">
        <v>105</v>
      </c>
    </row>
    <row r="46" spans="1:13">
      <c r="A46" s="82" t="s">
        <v>107</v>
      </c>
      <c r="B46" s="120">
        <v>-2.9990000000000001</v>
      </c>
      <c r="C46" s="71"/>
      <c r="D46" s="12">
        <v>0.18255878892749886</v>
      </c>
      <c r="E46" s="10">
        <v>20</v>
      </c>
      <c r="F46" s="10">
        <v>267</v>
      </c>
      <c r="G46" s="6">
        <v>1.58</v>
      </c>
      <c r="H46" s="14">
        <f t="shared" si="0"/>
        <v>-3.5</v>
      </c>
      <c r="I46" s="25"/>
      <c r="J46" s="39"/>
      <c r="K46" s="39"/>
      <c r="L46" s="40"/>
      <c r="M46" s="11" t="s">
        <v>108</v>
      </c>
    </row>
    <row r="47" spans="1:13">
      <c r="A47" s="81" t="s">
        <v>110</v>
      </c>
      <c r="B47" s="120">
        <v>-5.1406000000000001</v>
      </c>
      <c r="C47" s="71"/>
      <c r="D47" s="12">
        <v>0.16704647063532602</v>
      </c>
      <c r="E47" s="10">
        <v>6</v>
      </c>
      <c r="F47" s="10">
        <v>110.00000000000001</v>
      </c>
      <c r="G47" s="6">
        <v>3.36</v>
      </c>
      <c r="H47" s="14">
        <f t="shared" si="0"/>
        <v>-3.71</v>
      </c>
      <c r="I47" s="25"/>
      <c r="J47" s="39"/>
      <c r="K47" s="39"/>
      <c r="L47" s="40"/>
      <c r="M47" s="11" t="s">
        <v>111</v>
      </c>
    </row>
    <row r="48" spans="1:13">
      <c r="A48" s="82" t="s">
        <v>82</v>
      </c>
      <c r="B48" s="120">
        <v>-4.0430000000000001</v>
      </c>
      <c r="C48" s="71"/>
      <c r="D48" s="12">
        <v>0.17164501312359953</v>
      </c>
      <c r="E48" s="10">
        <v>7</v>
      </c>
      <c r="F48" s="10">
        <v>182</v>
      </c>
      <c r="G48" s="6">
        <v>2.67</v>
      </c>
      <c r="H48" s="14">
        <f t="shared" si="0"/>
        <v>-3.74</v>
      </c>
      <c r="I48" s="25"/>
      <c r="J48" s="39"/>
      <c r="K48" s="39"/>
      <c r="L48" s="40"/>
      <c r="M48" s="11" t="s">
        <v>113</v>
      </c>
    </row>
    <row r="49" spans="1:13">
      <c r="A49" s="84" t="s">
        <v>115</v>
      </c>
      <c r="B49" s="120">
        <v>-5.2763999999999998</v>
      </c>
      <c r="C49" s="72"/>
      <c r="D49" s="4">
        <v>0.12558353028546052</v>
      </c>
      <c r="E49" s="2">
        <v>4</v>
      </c>
      <c r="F49" s="10">
        <v>222.00000000000003</v>
      </c>
      <c r="G49" s="6">
        <v>2.56</v>
      </c>
      <c r="H49" s="14">
        <f t="shared" si="0"/>
        <v>-4.03</v>
      </c>
      <c r="I49" s="25"/>
      <c r="J49" s="39"/>
      <c r="K49" s="39"/>
      <c r="L49" s="40"/>
      <c r="M49" s="11" t="s">
        <v>116</v>
      </c>
    </row>
    <row r="50" spans="1:13">
      <c r="A50" s="82" t="s">
        <v>118</v>
      </c>
      <c r="B50" s="120">
        <v>-4.5609999999999999</v>
      </c>
      <c r="C50" s="71"/>
      <c r="D50" s="12">
        <v>0.1568133990664792</v>
      </c>
      <c r="E50" s="10">
        <v>6</v>
      </c>
      <c r="F50" s="10">
        <v>151</v>
      </c>
      <c r="G50" s="6">
        <v>3.27</v>
      </c>
      <c r="H50" s="14">
        <f t="shared" si="0"/>
        <v>-4.03</v>
      </c>
      <c r="I50" s="25"/>
      <c r="J50" s="39"/>
      <c r="K50" s="39"/>
      <c r="L50" s="40"/>
      <c r="M50" s="11" t="s">
        <v>119</v>
      </c>
    </row>
    <row r="51" spans="1:13">
      <c r="A51" s="85" t="s">
        <v>84</v>
      </c>
      <c r="B51" s="120">
        <v>-4.6040000000000001</v>
      </c>
      <c r="C51" s="72"/>
      <c r="D51" s="4">
        <v>0.12789394574374285</v>
      </c>
      <c r="E51" s="2">
        <v>5</v>
      </c>
      <c r="F51" s="10">
        <v>330</v>
      </c>
      <c r="G51" s="6">
        <v>2.87</v>
      </c>
      <c r="H51" s="14">
        <f t="shared" si="0"/>
        <v>-5.42</v>
      </c>
      <c r="I51" s="25"/>
      <c r="J51" s="39"/>
      <c r="K51" s="39"/>
      <c r="L51" s="40"/>
      <c r="M51" s="11" t="s">
        <v>120</v>
      </c>
    </row>
    <row r="52" spans="1:13">
      <c r="A52" s="82" t="s">
        <v>121</v>
      </c>
      <c r="B52" s="120">
        <v>-4.5179999999999998</v>
      </c>
      <c r="C52" s="71"/>
      <c r="D52" s="12">
        <v>0.18012800124370357</v>
      </c>
      <c r="E52" s="10">
        <v>3</v>
      </c>
      <c r="F52" s="10">
        <v>100</v>
      </c>
      <c r="G52" s="6">
        <v>3.53</v>
      </c>
      <c r="H52" s="14">
        <f t="shared" si="0"/>
        <v>-3.78</v>
      </c>
      <c r="I52" s="23"/>
      <c r="J52" s="7"/>
      <c r="K52" s="7"/>
      <c r="L52" s="24"/>
      <c r="M52" s="11" t="s">
        <v>122</v>
      </c>
    </row>
    <row r="53" spans="1:13">
      <c r="A53" s="81" t="s">
        <v>123</v>
      </c>
      <c r="B53" s="120">
        <v>-3.806</v>
      </c>
      <c r="C53" s="71"/>
      <c r="D53" s="12">
        <v>0.18062104750721683</v>
      </c>
      <c r="E53" s="10">
        <v>16</v>
      </c>
      <c r="F53" s="10">
        <v>262.5</v>
      </c>
      <c r="G53" s="6">
        <v>1.9</v>
      </c>
      <c r="H53" s="14">
        <f t="shared" si="0"/>
        <v>-3.7749999999999999</v>
      </c>
      <c r="I53" s="23"/>
      <c r="J53" s="7"/>
      <c r="K53" s="7"/>
      <c r="L53" s="24"/>
      <c r="M53" s="11" t="s">
        <v>124</v>
      </c>
    </row>
    <row r="54" spans="1:13">
      <c r="A54" s="84" t="s">
        <v>125</v>
      </c>
      <c r="B54" s="120">
        <v>-4.327</v>
      </c>
      <c r="C54" s="72"/>
      <c r="D54" s="4">
        <v>0.22156244268660033</v>
      </c>
      <c r="E54" s="2">
        <v>4</v>
      </c>
      <c r="F54" s="10">
        <v>328.85</v>
      </c>
      <c r="G54" s="6">
        <v>1.87</v>
      </c>
      <c r="H54" s="14">
        <f t="shared" si="0"/>
        <v>-4.4085000000000001</v>
      </c>
      <c r="I54" s="23"/>
      <c r="J54" s="7"/>
      <c r="K54" s="7"/>
      <c r="L54" s="24"/>
      <c r="M54" s="11" t="s">
        <v>126</v>
      </c>
    </row>
    <row r="55" spans="1:13">
      <c r="A55" s="82" t="s">
        <v>127</v>
      </c>
      <c r="B55" s="120">
        <v>-5.6585999999999999</v>
      </c>
      <c r="C55" s="71"/>
      <c r="D55" s="12">
        <v>0.18450811780713378</v>
      </c>
      <c r="E55" s="10">
        <v>33</v>
      </c>
      <c r="F55" s="10">
        <v>167.5</v>
      </c>
      <c r="G55" s="6">
        <v>4.3600000000000003</v>
      </c>
      <c r="H55" s="14">
        <f t="shared" si="0"/>
        <v>-5.2850000000000001</v>
      </c>
      <c r="I55" s="23"/>
      <c r="J55" s="7"/>
      <c r="K55" s="7"/>
      <c r="L55" s="24"/>
      <c r="M55" s="11" t="s">
        <v>128</v>
      </c>
    </row>
    <row r="56" spans="1:13">
      <c r="A56" s="82" t="s">
        <v>86</v>
      </c>
      <c r="B56" s="120">
        <v>-5.0761000000000003</v>
      </c>
      <c r="C56" s="71"/>
      <c r="D56" s="12">
        <v>0.15609203233531485</v>
      </c>
      <c r="E56" s="10">
        <v>3</v>
      </c>
      <c r="F56" s="10">
        <v>223</v>
      </c>
      <c r="G56" s="6">
        <v>2.99</v>
      </c>
      <c r="H56" s="14">
        <f t="shared" si="0"/>
        <v>-4.4700000000000006</v>
      </c>
      <c r="I56" s="23"/>
      <c r="J56" s="7"/>
      <c r="K56" s="7"/>
      <c r="L56" s="24"/>
      <c r="M56" s="11" t="s">
        <v>129</v>
      </c>
    </row>
    <row r="57" spans="1:13">
      <c r="A57" s="82" t="s">
        <v>89</v>
      </c>
      <c r="B57" s="120">
        <v>-3.9689999999999999</v>
      </c>
      <c r="C57" s="71"/>
      <c r="D57" s="12">
        <v>0.20872343532408041</v>
      </c>
      <c r="E57" s="10">
        <v>3</v>
      </c>
      <c r="F57" s="10">
        <v>210.5</v>
      </c>
      <c r="G57" s="6">
        <v>2.72</v>
      </c>
      <c r="H57" s="14">
        <f t="shared" si="0"/>
        <v>-4.0750000000000002</v>
      </c>
      <c r="I57" s="26"/>
      <c r="J57" s="27"/>
      <c r="K57" s="27"/>
      <c r="L57" s="28"/>
      <c r="M57" s="11" t="s">
        <v>130</v>
      </c>
    </row>
    <row r="58" spans="1:13">
      <c r="A58" s="84" t="s">
        <v>131</v>
      </c>
      <c r="B58" s="120">
        <v>-4.0229999999999997</v>
      </c>
      <c r="C58" s="72"/>
      <c r="D58" s="4">
        <v>0.1297319013416561</v>
      </c>
      <c r="E58" s="2">
        <v>3</v>
      </c>
      <c r="F58" s="10">
        <v>209.75</v>
      </c>
      <c r="G58" s="6">
        <v>3.37</v>
      </c>
      <c r="H58" s="14">
        <f t="shared" si="0"/>
        <v>-4.7175000000000002</v>
      </c>
      <c r="J58" s="14"/>
      <c r="K58" s="14"/>
      <c r="L58" s="14"/>
      <c r="M58" s="11" t="s">
        <v>132</v>
      </c>
    </row>
    <row r="59" spans="1:13">
      <c r="A59" s="81" t="s">
        <v>92</v>
      </c>
      <c r="B59" s="120">
        <v>-4.5369999999999999</v>
      </c>
      <c r="C59" s="71"/>
      <c r="D59" s="12">
        <v>0.14124198841117766</v>
      </c>
      <c r="E59" s="10">
        <v>3</v>
      </c>
      <c r="F59" s="10">
        <v>53.5</v>
      </c>
      <c r="G59" s="6">
        <v>3.43</v>
      </c>
      <c r="H59" s="14">
        <f t="shared" si="0"/>
        <v>-3.2150000000000003</v>
      </c>
      <c r="I59" s="70" t="s">
        <v>133</v>
      </c>
      <c r="J59" s="75">
        <v>2220</v>
      </c>
      <c r="K59" s="34"/>
      <c r="L59" s="14"/>
      <c r="M59" s="11" t="s">
        <v>134</v>
      </c>
    </row>
    <row r="60" spans="1:13">
      <c r="A60" s="81" t="s">
        <v>135</v>
      </c>
      <c r="B60" s="120">
        <v>-1.3869999999999996</v>
      </c>
      <c r="C60" s="71"/>
      <c r="D60" s="12">
        <v>0.17069281866408892</v>
      </c>
      <c r="E60" s="10">
        <v>6</v>
      </c>
      <c r="F60" s="10">
        <v>270</v>
      </c>
      <c r="G60" s="6">
        <v>0.05</v>
      </c>
      <c r="H60" s="14">
        <f t="shared" si="0"/>
        <v>-2</v>
      </c>
      <c r="I60" s="70" t="s">
        <v>136</v>
      </c>
      <c r="J60" s="75">
        <v>554</v>
      </c>
      <c r="K60" s="34"/>
      <c r="L60" s="14"/>
      <c r="M60" s="11" t="s">
        <v>137</v>
      </c>
    </row>
    <row r="61" spans="1:13">
      <c r="A61" s="82" t="s">
        <v>138</v>
      </c>
      <c r="B61" s="120">
        <v>-2.5920000000000001</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s="120">
        <v>-5.3277000000000001</v>
      </c>
      <c r="C62" s="71"/>
      <c r="D62" s="12">
        <v>0.18021422622763517</v>
      </c>
      <c r="E62" s="10">
        <v>5</v>
      </c>
      <c r="F62" s="10">
        <v>214.5</v>
      </c>
      <c r="G62" s="6">
        <v>3.61</v>
      </c>
      <c r="H62" s="14">
        <f t="shared" si="0"/>
        <v>-5.0049999999999999</v>
      </c>
      <c r="I62" s="14"/>
      <c r="J62" s="14"/>
      <c r="K62" s="14"/>
      <c r="L62" s="14"/>
      <c r="M62" s="11" t="s">
        <v>142</v>
      </c>
    </row>
    <row r="63" spans="1:13">
      <c r="A63" s="82" t="s">
        <v>143</v>
      </c>
      <c r="B63" s="120">
        <v>-4.851</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s="120">
        <v>-3.9319999999999999</v>
      </c>
      <c r="C64" s="71"/>
      <c r="D64" s="12">
        <v>0.17</v>
      </c>
      <c r="E64" s="10">
        <v>3</v>
      </c>
      <c r="F64" s="10">
        <v>189</v>
      </c>
      <c r="G64" s="6">
        <v>1.34</v>
      </c>
      <c r="H64" s="14">
        <f t="shared" si="0"/>
        <v>-2.4800000000000004</v>
      </c>
      <c r="I64" s="144" t="s">
        <v>428</v>
      </c>
      <c r="J64" s="145" t="s">
        <v>429</v>
      </c>
      <c r="K64" s="21"/>
      <c r="L64" s="22"/>
      <c r="M64" s="11" t="s">
        <v>148</v>
      </c>
    </row>
    <row r="65" spans="1:13">
      <c r="A65" s="82" t="s">
        <v>149</v>
      </c>
      <c r="B65" s="120">
        <v>-4.1779999999999999</v>
      </c>
      <c r="C65" s="71"/>
      <c r="D65" s="12">
        <v>0.19794493160510693</v>
      </c>
      <c r="E65" s="10">
        <v>4</v>
      </c>
      <c r="F65" s="10">
        <v>243.5</v>
      </c>
      <c r="G65" s="6">
        <v>1.34</v>
      </c>
      <c r="H65" s="14">
        <f t="shared" si="0"/>
        <v>-3.0250000000000004</v>
      </c>
      <c r="I65" s="23" t="s">
        <v>430</v>
      </c>
      <c r="J65" s="7" t="s">
        <v>431</v>
      </c>
      <c r="K65" s="7" t="s">
        <v>432</v>
      </c>
      <c r="L65" s="24" t="s">
        <v>433</v>
      </c>
      <c r="M65" s="11" t="s">
        <v>151</v>
      </c>
    </row>
    <row r="66" spans="1:13">
      <c r="A66" s="81" t="s">
        <v>95</v>
      </c>
      <c r="B66" s="120">
        <v>-2.8980000000000001</v>
      </c>
      <c r="C66" s="71"/>
      <c r="D66" s="12">
        <v>0.21056099074293383</v>
      </c>
      <c r="E66" s="10">
        <v>3</v>
      </c>
      <c r="F66" s="10">
        <v>36.5</v>
      </c>
      <c r="G66" s="6">
        <v>2.74</v>
      </c>
      <c r="H66" s="14">
        <f t="shared" si="0"/>
        <v>-2.3550000000000004</v>
      </c>
      <c r="I66" s="23" t="s">
        <v>434</v>
      </c>
      <c r="J66" s="7" t="s">
        <v>435</v>
      </c>
      <c r="K66" s="7" t="s">
        <v>436</v>
      </c>
      <c r="L66" s="24" t="s">
        <v>437</v>
      </c>
      <c r="M66" s="11" t="s">
        <v>152</v>
      </c>
    </row>
    <row r="67" spans="1:13">
      <c r="A67" s="83" t="s">
        <v>153</v>
      </c>
      <c r="B67" s="120">
        <v>-4.5979999999999999</v>
      </c>
      <c r="C67" s="71"/>
      <c r="D67" s="12">
        <v>0.21092434073951916</v>
      </c>
      <c r="E67" s="10">
        <v>10</v>
      </c>
      <c r="F67" s="10">
        <v>186</v>
      </c>
      <c r="G67" s="6">
        <v>3.4</v>
      </c>
      <c r="H67" s="14">
        <f t="shared" si="0"/>
        <v>-4.51</v>
      </c>
      <c r="I67" s="23" t="s">
        <v>438</v>
      </c>
      <c r="J67" s="7" t="s">
        <v>439</v>
      </c>
      <c r="K67" s="7" t="s">
        <v>440</v>
      </c>
      <c r="L67" s="24" t="s">
        <v>441</v>
      </c>
      <c r="M67" s="11" t="s">
        <v>154</v>
      </c>
    </row>
    <row r="68" spans="1:13">
      <c r="A68" s="81" t="s">
        <v>98</v>
      </c>
      <c r="B68" s="120">
        <v>-3.9860000000000002</v>
      </c>
      <c r="C68" s="71"/>
      <c r="D68" s="12">
        <v>0.18695478693957188</v>
      </c>
      <c r="E68" s="10">
        <v>3</v>
      </c>
      <c r="F68" s="10">
        <v>252.99999999999997</v>
      </c>
      <c r="G68" s="6">
        <v>2.35</v>
      </c>
      <c r="H68" s="14">
        <f t="shared" si="0"/>
        <v>-4.13</v>
      </c>
      <c r="I68" s="23" t="s">
        <v>442</v>
      </c>
      <c r="J68" s="7" t="s">
        <v>443</v>
      </c>
      <c r="K68" s="7" t="s">
        <v>444</v>
      </c>
      <c r="L68" s="24" t="s">
        <v>445</v>
      </c>
      <c r="M68" s="11" t="s">
        <v>155</v>
      </c>
    </row>
    <row r="69" spans="1:13">
      <c r="A69" s="83" t="s">
        <v>156</v>
      </c>
      <c r="B69" s="120">
        <v>-4.7450000000000001</v>
      </c>
      <c r="C69" s="71"/>
      <c r="D69" s="12">
        <v>0.20491085989689112</v>
      </c>
      <c r="E69" s="10">
        <v>23</v>
      </c>
      <c r="F69" s="10">
        <v>111.00000000000001</v>
      </c>
      <c r="G69" s="6">
        <v>3.68</v>
      </c>
      <c r="H69" s="14">
        <f t="shared" si="0"/>
        <v>-4.04</v>
      </c>
      <c r="I69" s="23" t="s">
        <v>446</v>
      </c>
      <c r="J69" s="7" t="s">
        <v>447</v>
      </c>
      <c r="K69" s="7" t="s">
        <v>448</v>
      </c>
      <c r="L69" s="24" t="s">
        <v>449</v>
      </c>
      <c r="M69" s="11" t="s">
        <v>157</v>
      </c>
    </row>
    <row r="70" spans="1:13">
      <c r="A70" s="81" t="s">
        <v>158</v>
      </c>
      <c r="B70" s="120">
        <v>-2.8010000000000002</v>
      </c>
      <c r="C70" s="71"/>
      <c r="D70" s="12">
        <v>0.15545016183846921</v>
      </c>
      <c r="E70" s="10">
        <v>6</v>
      </c>
      <c r="F70" s="10">
        <v>250</v>
      </c>
      <c r="G70" s="6">
        <v>-0.04</v>
      </c>
      <c r="H70" s="14">
        <f t="shared" si="0"/>
        <v>-1.71</v>
      </c>
      <c r="I70" s="23" t="s">
        <v>450</v>
      </c>
      <c r="J70" s="7" t="s">
        <v>451</v>
      </c>
      <c r="K70" s="7" t="s">
        <v>452</v>
      </c>
      <c r="L70" s="24" t="s">
        <v>453</v>
      </c>
      <c r="M70" s="11" t="s">
        <v>159</v>
      </c>
    </row>
    <row r="71" spans="1:13">
      <c r="A71" s="82" t="s">
        <v>160</v>
      </c>
      <c r="B71" s="120">
        <v>-2.35</v>
      </c>
      <c r="C71" s="71"/>
      <c r="D71" s="12">
        <v>0.13261436390895148</v>
      </c>
      <c r="E71" s="10">
        <v>3</v>
      </c>
      <c r="F71" s="10">
        <v>250</v>
      </c>
      <c r="G71" s="6">
        <v>-1.97</v>
      </c>
      <c r="H71" s="14">
        <f t="shared" si="0"/>
        <v>0.21999999999999975</v>
      </c>
      <c r="I71" s="23" t="s">
        <v>454</v>
      </c>
      <c r="J71" s="7" t="s">
        <v>455</v>
      </c>
      <c r="K71" s="7" t="s">
        <v>456</v>
      </c>
      <c r="L71" s="24" t="s">
        <v>457</v>
      </c>
      <c r="M71" s="11" t="s">
        <v>161</v>
      </c>
    </row>
    <row r="72" spans="1:13">
      <c r="A72" s="82" t="s">
        <v>162</v>
      </c>
      <c r="B72" s="120">
        <v>-3.1779999999999999</v>
      </c>
      <c r="C72" s="71"/>
      <c r="D72" s="12">
        <v>0.21159815676624968</v>
      </c>
      <c r="E72" s="10">
        <v>9</v>
      </c>
      <c r="F72" s="10">
        <v>208.5</v>
      </c>
      <c r="G72" s="6">
        <v>2.08</v>
      </c>
      <c r="H72" s="14">
        <f t="shared" si="0"/>
        <v>-3.415</v>
      </c>
      <c r="I72" s="23" t="s">
        <v>458</v>
      </c>
      <c r="J72" s="7" t="s">
        <v>459</v>
      </c>
      <c r="K72" s="7" t="s">
        <v>460</v>
      </c>
      <c r="L72" s="24" t="s">
        <v>461</v>
      </c>
      <c r="M72" s="11" t="s">
        <v>163</v>
      </c>
    </row>
    <row r="73" spans="1:13">
      <c r="A73" s="82" t="s">
        <v>164</v>
      </c>
      <c r="B73" s="120">
        <v>-4.9379999999999997</v>
      </c>
      <c r="C73" s="71"/>
      <c r="D73" s="12">
        <v>0.1900151243705871</v>
      </c>
      <c r="E73" s="10">
        <v>15</v>
      </c>
      <c r="F73" s="10">
        <v>220.00000000000003</v>
      </c>
      <c r="G73" s="6">
        <v>2.69</v>
      </c>
      <c r="H73" s="14">
        <f t="shared" si="0"/>
        <v>-4.1400000000000006</v>
      </c>
      <c r="I73" s="23" t="s">
        <v>462</v>
      </c>
      <c r="J73" s="7" t="s">
        <v>463</v>
      </c>
      <c r="K73" s="7" t="s">
        <v>464</v>
      </c>
      <c r="L73" s="24" t="s">
        <v>465</v>
      </c>
      <c r="M73" s="11" t="s">
        <v>165</v>
      </c>
    </row>
    <row r="74" spans="1:13">
      <c r="A74" s="82" t="s">
        <v>166</v>
      </c>
      <c r="B74" s="120">
        <v>-5.2693000000000003</v>
      </c>
      <c r="C74" s="71"/>
      <c r="D74" s="12">
        <v>0.16978183023026608</v>
      </c>
      <c r="E74" s="10">
        <v>10</v>
      </c>
      <c r="F74" s="10">
        <v>151</v>
      </c>
      <c r="G74" s="6">
        <v>4.43</v>
      </c>
      <c r="H74" s="14">
        <f t="shared" si="0"/>
        <v>-5.1899999999999995</v>
      </c>
      <c r="I74" s="23" t="s">
        <v>466</v>
      </c>
      <c r="J74" s="7" t="s">
        <v>467</v>
      </c>
      <c r="K74" s="7" t="s">
        <v>468</v>
      </c>
      <c r="L74" s="24" t="s">
        <v>469</v>
      </c>
      <c r="M74" s="11" t="s">
        <v>167</v>
      </c>
    </row>
    <row r="75" spans="1:13">
      <c r="A75" s="83" t="s">
        <v>100</v>
      </c>
      <c r="B75" s="120">
        <v>-5.2035</v>
      </c>
      <c r="C75" s="71"/>
      <c r="D75" s="12">
        <v>0.19416214604145643</v>
      </c>
      <c r="E75" s="10">
        <v>7</v>
      </c>
      <c r="F75" s="10">
        <v>154.5</v>
      </c>
      <c r="G75" s="6">
        <v>4.22</v>
      </c>
      <c r="H75" s="14">
        <f t="shared" si="0"/>
        <v>-5.0149999999999997</v>
      </c>
      <c r="I75" s="23" t="s">
        <v>470</v>
      </c>
      <c r="J75" s="7" t="s">
        <v>471</v>
      </c>
      <c r="K75" s="7" t="s">
        <v>472</v>
      </c>
      <c r="L75" s="24" t="s">
        <v>473</v>
      </c>
      <c r="M75" s="11" t="s">
        <v>168</v>
      </c>
    </row>
    <row r="76" spans="1:13">
      <c r="A76" s="82" t="s">
        <v>169</v>
      </c>
      <c r="B76" s="120">
        <v>-4.3780000000000001</v>
      </c>
      <c r="C76" s="71"/>
      <c r="D76" s="12">
        <v>0.16048013551961601</v>
      </c>
      <c r="E76" s="10">
        <v>5</v>
      </c>
      <c r="F76" s="10">
        <v>167.75</v>
      </c>
      <c r="G76" s="6">
        <v>2.87</v>
      </c>
      <c r="H76" s="14">
        <f t="shared" si="0"/>
        <v>-3.7975000000000003</v>
      </c>
      <c r="I76" s="23" t="s">
        <v>474</v>
      </c>
      <c r="J76" s="7" t="s">
        <v>475</v>
      </c>
      <c r="K76" s="7" t="s">
        <v>476</v>
      </c>
      <c r="L76" s="24" t="s">
        <v>477</v>
      </c>
      <c r="M76" s="11" t="s">
        <v>170</v>
      </c>
    </row>
    <row r="77" spans="1:13">
      <c r="A77" s="84" t="s">
        <v>171</v>
      </c>
      <c r="B77" s="120">
        <v>-5.2872000000000003</v>
      </c>
      <c r="C77" s="72"/>
      <c r="D77" s="4">
        <v>0.22239504833634874</v>
      </c>
      <c r="E77" s="2">
        <v>21</v>
      </c>
      <c r="F77" s="10">
        <v>159</v>
      </c>
      <c r="G77" s="6">
        <v>3.93</v>
      </c>
      <c r="H77" s="14">
        <f t="shared" si="0"/>
        <v>-4.7700000000000005</v>
      </c>
      <c r="I77" s="23" t="s">
        <v>478</v>
      </c>
      <c r="J77" s="7" t="s">
        <v>479</v>
      </c>
      <c r="K77" s="7" t="s">
        <v>480</v>
      </c>
      <c r="L77" s="24" t="s">
        <v>481</v>
      </c>
      <c r="M77" s="11" t="s">
        <v>172</v>
      </c>
    </row>
    <row r="78" spans="1:13">
      <c r="A78" s="82" t="s">
        <v>173</v>
      </c>
      <c r="B78" s="120">
        <v>-3.8639999999999999</v>
      </c>
      <c r="C78" s="71"/>
      <c r="D78" s="12">
        <v>0.21209434799218393</v>
      </c>
      <c r="E78" s="10">
        <v>5</v>
      </c>
      <c r="F78" s="10">
        <v>213.49999999999997</v>
      </c>
      <c r="G78" s="6">
        <v>3.04</v>
      </c>
      <c r="H78" s="14">
        <f t="shared" si="0"/>
        <v>-4.4249999999999998</v>
      </c>
      <c r="I78" s="23" t="s">
        <v>482</v>
      </c>
      <c r="J78" s="7" t="s">
        <v>483</v>
      </c>
      <c r="K78" s="7" t="s">
        <v>484</v>
      </c>
      <c r="L78" s="24" t="s">
        <v>485</v>
      </c>
      <c r="M78" s="11" t="s">
        <v>174</v>
      </c>
    </row>
    <row r="79" spans="1:13">
      <c r="A79" s="82" t="s">
        <v>175</v>
      </c>
      <c r="B79" s="120">
        <v>-4.67</v>
      </c>
      <c r="C79" s="71"/>
      <c r="D79" s="12">
        <v>0.1407224156406931</v>
      </c>
      <c r="E79" s="10">
        <v>11</v>
      </c>
      <c r="F79" s="10">
        <v>146</v>
      </c>
      <c r="G79" s="6">
        <v>4.21</v>
      </c>
      <c r="H79" s="14">
        <f t="shared" si="0"/>
        <v>-4.92</v>
      </c>
      <c r="I79" s="23" t="s">
        <v>486</v>
      </c>
      <c r="J79" s="7" t="s">
        <v>487</v>
      </c>
      <c r="K79" s="7" t="s">
        <v>488</v>
      </c>
      <c r="L79" s="24" t="s">
        <v>489</v>
      </c>
      <c r="M79" s="11" t="s">
        <v>176</v>
      </c>
    </row>
    <row r="80" spans="1:13">
      <c r="A80" s="82" t="s">
        <v>177</v>
      </c>
      <c r="B80" s="120">
        <v>-4.9050000000000002</v>
      </c>
      <c r="C80" s="71"/>
      <c r="D80" s="12">
        <v>0.21748916450754371</v>
      </c>
      <c r="E80" s="10">
        <v>5</v>
      </c>
      <c r="F80" s="10">
        <v>92.333333333333329</v>
      </c>
      <c r="G80" s="6">
        <v>4.21</v>
      </c>
      <c r="H80" s="14">
        <f t="shared" si="0"/>
        <v>-4.3833333333333329</v>
      </c>
      <c r="I80" s="23" t="s">
        <v>490</v>
      </c>
      <c r="J80" s="7" t="s">
        <v>491</v>
      </c>
      <c r="K80" s="7" t="s">
        <v>492</v>
      </c>
      <c r="L80" s="24" t="s">
        <v>493</v>
      </c>
      <c r="M80" s="11" t="s">
        <v>178</v>
      </c>
    </row>
    <row r="81" spans="1:13">
      <c r="A81" s="81" t="s">
        <v>179</v>
      </c>
      <c r="B81" s="120">
        <v>-4.5069999999999997</v>
      </c>
      <c r="C81" s="71"/>
      <c r="D81" s="12">
        <v>0.20531013145176411</v>
      </c>
      <c r="E81" s="10">
        <v>8</v>
      </c>
      <c r="F81" s="10">
        <v>256</v>
      </c>
      <c r="G81" s="6">
        <v>2.71</v>
      </c>
      <c r="H81" s="14">
        <f t="shared" si="0"/>
        <v>-4.5199999999999996</v>
      </c>
      <c r="I81" s="23" t="s">
        <v>494</v>
      </c>
      <c r="J81" s="7" t="s">
        <v>495</v>
      </c>
      <c r="K81" s="7" t="s">
        <v>496</v>
      </c>
      <c r="L81" s="24" t="s">
        <v>497</v>
      </c>
      <c r="M81" s="11" t="s">
        <v>180</v>
      </c>
    </row>
    <row r="82" spans="1:13">
      <c r="A82" s="81" t="s">
        <v>181</v>
      </c>
      <c r="B82" s="120">
        <v>-5.0137999999999998</v>
      </c>
      <c r="C82" s="71"/>
      <c r="D82" s="12">
        <v>0.21176785142223761</v>
      </c>
      <c r="E82" s="10">
        <v>3</v>
      </c>
      <c r="F82" s="10">
        <v>80</v>
      </c>
      <c r="G82" s="6">
        <v>3.37</v>
      </c>
      <c r="H82" s="14">
        <f t="shared" si="0"/>
        <v>-3.42</v>
      </c>
      <c r="I82" s="23" t="s">
        <v>498</v>
      </c>
      <c r="J82" s="7" t="s">
        <v>499</v>
      </c>
      <c r="K82" s="7" t="s">
        <v>500</v>
      </c>
      <c r="L82" s="24" t="s">
        <v>501</v>
      </c>
      <c r="M82" s="11" t="s">
        <v>182</v>
      </c>
    </row>
    <row r="83" spans="1:13">
      <c r="A83" s="81" t="s">
        <v>183</v>
      </c>
      <c r="B83" s="120">
        <v>-4.0110000000000001</v>
      </c>
      <c r="C83" s="71"/>
      <c r="D83" s="12">
        <v>0.16217657762412213</v>
      </c>
      <c r="E83" s="10">
        <v>17</v>
      </c>
      <c r="F83" s="10">
        <v>153</v>
      </c>
      <c r="G83" s="6">
        <v>3.04</v>
      </c>
      <c r="H83" s="14">
        <f t="shared" si="0"/>
        <v>-3.8200000000000003</v>
      </c>
      <c r="I83" s="23" t="s">
        <v>502</v>
      </c>
      <c r="J83" s="7" t="s">
        <v>503</v>
      </c>
      <c r="K83" s="7" t="s">
        <v>504</v>
      </c>
      <c r="L83" s="24"/>
      <c r="M83" s="11" t="s">
        <v>184</v>
      </c>
    </row>
    <row r="84" spans="1:13">
      <c r="A84" s="82" t="s">
        <v>185</v>
      </c>
      <c r="B84" s="120">
        <v>-5.1911000000000005</v>
      </c>
      <c r="C84" s="71"/>
      <c r="D84" s="12">
        <v>0.20448827496623867</v>
      </c>
      <c r="E84" s="10">
        <v>3</v>
      </c>
      <c r="F84" s="10">
        <v>349.84</v>
      </c>
      <c r="G84" s="6">
        <v>4.75</v>
      </c>
      <c r="H84" s="14">
        <f t="shared" si="0"/>
        <v>-7.4984000000000002</v>
      </c>
      <c r="I84" s="23" t="s">
        <v>505</v>
      </c>
      <c r="J84" s="7" t="s">
        <v>506</v>
      </c>
      <c r="K84" s="7" t="s">
        <v>507</v>
      </c>
      <c r="L84" s="24"/>
      <c r="M84" s="11" t="s">
        <v>186</v>
      </c>
    </row>
    <row r="85" spans="1:13">
      <c r="A85" s="82" t="s">
        <v>187</v>
      </c>
      <c r="B85" s="120">
        <v>-3.9369999999999998</v>
      </c>
      <c r="C85" s="71"/>
      <c r="D85" s="12">
        <v>0.14358294446577732</v>
      </c>
      <c r="E85" s="10">
        <v>6</v>
      </c>
      <c r="F85" s="10">
        <v>248</v>
      </c>
      <c r="G85" s="6">
        <v>2.65</v>
      </c>
      <c r="H85" s="14">
        <f t="shared" si="0"/>
        <v>-4.38</v>
      </c>
      <c r="I85" s="23" t="s">
        <v>508</v>
      </c>
      <c r="J85" s="7" t="s">
        <v>509</v>
      </c>
      <c r="K85" s="7" t="s">
        <v>510</v>
      </c>
      <c r="L85" s="24"/>
      <c r="M85" s="11" t="s">
        <v>188</v>
      </c>
    </row>
    <row r="86" spans="1:13">
      <c r="A86" s="82" t="s">
        <v>189</v>
      </c>
      <c r="B86" s="120">
        <v>-3.4129999999999998</v>
      </c>
      <c r="C86" s="71"/>
      <c r="D86" s="12">
        <v>0.15384096988991314</v>
      </c>
      <c r="E86" s="10">
        <v>11</v>
      </c>
      <c r="F86" s="10">
        <v>173</v>
      </c>
      <c r="G86" s="6">
        <v>2.1800000000000002</v>
      </c>
      <c r="H86" s="14">
        <f t="shared" si="0"/>
        <v>-3.16</v>
      </c>
      <c r="I86" s="23" t="s">
        <v>511</v>
      </c>
      <c r="J86" s="7" t="s">
        <v>512</v>
      </c>
      <c r="K86" s="7" t="s">
        <v>513</v>
      </c>
      <c r="L86" s="24"/>
      <c r="M86" s="11" t="s">
        <v>190</v>
      </c>
    </row>
    <row r="87" spans="1:13">
      <c r="A87" s="82" t="s">
        <v>191</v>
      </c>
      <c r="B87" s="120">
        <v>-4.1500000000000004</v>
      </c>
      <c r="C87" s="71"/>
      <c r="D87" s="12">
        <v>0.14176528631434945</v>
      </c>
      <c r="E87" s="10">
        <v>5</v>
      </c>
      <c r="F87" s="10">
        <v>143.75</v>
      </c>
      <c r="G87" s="6">
        <v>2.76</v>
      </c>
      <c r="H87" s="14">
        <f t="shared" ref="H87:H122" si="1">0.5-G87-0.01*(F87-25)</f>
        <v>-3.4474999999999998</v>
      </c>
      <c r="I87" s="23" t="s">
        <v>514</v>
      </c>
      <c r="J87" s="7" t="s">
        <v>515</v>
      </c>
      <c r="K87" s="7" t="s">
        <v>516</v>
      </c>
      <c r="L87" s="24"/>
      <c r="M87" s="11" t="s">
        <v>192</v>
      </c>
    </row>
    <row r="88" spans="1:13">
      <c r="A88" s="82" t="s">
        <v>193</v>
      </c>
      <c r="B88" s="120">
        <v>-2.8679999999999999</v>
      </c>
      <c r="C88" s="71"/>
      <c r="D88" s="12">
        <v>0.16213928191469343</v>
      </c>
      <c r="E88" s="10">
        <v>19</v>
      </c>
      <c r="F88" s="10">
        <v>220.5</v>
      </c>
      <c r="G88" s="6">
        <v>1.27</v>
      </c>
      <c r="H88" s="14">
        <f t="shared" si="1"/>
        <v>-2.7250000000000001</v>
      </c>
      <c r="I88" s="23" t="s">
        <v>517</v>
      </c>
      <c r="J88" s="7" t="s">
        <v>518</v>
      </c>
      <c r="K88" s="7" t="s">
        <v>519</v>
      </c>
      <c r="L88" s="24"/>
      <c r="M88" s="11" t="s">
        <v>194</v>
      </c>
    </row>
    <row r="89" spans="1:13">
      <c r="A89" s="82" t="s">
        <v>195</v>
      </c>
      <c r="B89" s="120">
        <v>-4.5430000000000001</v>
      </c>
      <c r="C89" s="71"/>
      <c r="D89" s="12">
        <v>0.16127920198135692</v>
      </c>
      <c r="E89" s="10">
        <v>5</v>
      </c>
      <c r="F89" s="10">
        <v>214</v>
      </c>
      <c r="G89" s="6">
        <v>3.83</v>
      </c>
      <c r="H89" s="14">
        <f t="shared" si="1"/>
        <v>-5.2200000000000006</v>
      </c>
      <c r="I89" s="23" t="s">
        <v>520</v>
      </c>
      <c r="J89" s="7" t="s">
        <v>521</v>
      </c>
      <c r="K89" s="7" t="s">
        <v>522</v>
      </c>
      <c r="L89" s="24"/>
      <c r="M89" s="11" t="s">
        <v>196</v>
      </c>
    </row>
    <row r="90" spans="1:13">
      <c r="A90" s="83" t="s">
        <v>197</v>
      </c>
      <c r="B90" s="120">
        <v>-4.51</v>
      </c>
      <c r="C90" s="71"/>
      <c r="D90" s="12">
        <v>0.13869006117838048</v>
      </c>
      <c r="E90" s="10">
        <v>3</v>
      </c>
      <c r="F90" s="10">
        <v>176</v>
      </c>
      <c r="G90" s="6">
        <v>2.88</v>
      </c>
      <c r="H90" s="14">
        <f t="shared" si="1"/>
        <v>-3.8899999999999997</v>
      </c>
      <c r="I90" s="23" t="s">
        <v>523</v>
      </c>
      <c r="J90" s="7" t="s">
        <v>524</v>
      </c>
      <c r="K90" s="7" t="s">
        <v>525</v>
      </c>
      <c r="L90" s="24"/>
      <c r="M90" s="11" t="s">
        <v>198</v>
      </c>
    </row>
    <row r="91" spans="1:13">
      <c r="A91" s="85" t="s">
        <v>199</v>
      </c>
      <c r="B91" s="120">
        <v>-2.754</v>
      </c>
      <c r="C91" s="72"/>
      <c r="D91" s="4">
        <v>0.1259834086188602</v>
      </c>
      <c r="E91" s="2">
        <v>14</v>
      </c>
      <c r="F91" s="10">
        <v>253.5</v>
      </c>
      <c r="G91" s="6">
        <v>1.54</v>
      </c>
      <c r="H91" s="14">
        <f t="shared" si="1"/>
        <v>-3.3250000000000002</v>
      </c>
      <c r="I91" s="23" t="s">
        <v>526</v>
      </c>
      <c r="J91" s="7" t="s">
        <v>527</v>
      </c>
      <c r="K91" s="7" t="s">
        <v>528</v>
      </c>
      <c r="L91" s="24"/>
      <c r="M91" s="11" t="s">
        <v>200</v>
      </c>
    </row>
    <row r="92" spans="1:13">
      <c r="A92" s="82" t="s">
        <v>201</v>
      </c>
      <c r="B92" s="120">
        <v>-4.2590000000000003</v>
      </c>
      <c r="C92" s="71"/>
      <c r="D92" s="12">
        <v>0.16504944177542516</v>
      </c>
      <c r="E92" s="10">
        <v>5</v>
      </c>
      <c r="F92" s="10">
        <v>205.50000000000003</v>
      </c>
      <c r="G92" s="6">
        <v>2.4500000000000002</v>
      </c>
      <c r="H92" s="14">
        <f t="shared" si="1"/>
        <v>-3.7550000000000008</v>
      </c>
      <c r="I92" s="23" t="s">
        <v>529</v>
      </c>
      <c r="J92" s="7" t="s">
        <v>530</v>
      </c>
      <c r="K92" s="7" t="s">
        <v>531</v>
      </c>
      <c r="L92" s="24"/>
      <c r="M92" s="11" t="s">
        <v>202</v>
      </c>
    </row>
    <row r="93" spans="1:13">
      <c r="A93" s="83" t="s">
        <v>203</v>
      </c>
      <c r="B93" s="120">
        <v>-4.7780000000000005</v>
      </c>
      <c r="C93" s="71"/>
      <c r="D93" s="12">
        <v>0.19426266518058349</v>
      </c>
      <c r="E93" s="10">
        <v>3</v>
      </c>
      <c r="F93" s="10">
        <v>96</v>
      </c>
      <c r="G93" s="6">
        <v>3.49</v>
      </c>
      <c r="H93" s="14">
        <f t="shared" si="1"/>
        <v>-3.7</v>
      </c>
      <c r="I93" s="23" t="s">
        <v>532</v>
      </c>
      <c r="J93" s="7" t="s">
        <v>533</v>
      </c>
      <c r="K93" s="7" t="s">
        <v>534</v>
      </c>
      <c r="L93" s="24"/>
      <c r="M93" s="11" t="s">
        <v>204</v>
      </c>
    </row>
    <row r="94" spans="1:13">
      <c r="A94" s="82" t="s">
        <v>205</v>
      </c>
      <c r="B94" s="120">
        <v>-4.8319999999999999</v>
      </c>
      <c r="C94" s="71"/>
      <c r="D94" s="12">
        <v>0.18894337149737056</v>
      </c>
      <c r="E94" s="10">
        <v>12</v>
      </c>
      <c r="F94" s="10">
        <v>147.25</v>
      </c>
      <c r="G94" s="6">
        <v>3.86</v>
      </c>
      <c r="H94" s="14">
        <f t="shared" si="1"/>
        <v>-4.5824999999999996</v>
      </c>
      <c r="I94" s="23" t="s">
        <v>535</v>
      </c>
      <c r="J94" s="7" t="s">
        <v>536</v>
      </c>
      <c r="K94" s="7" t="s">
        <v>537</v>
      </c>
      <c r="L94" s="24"/>
      <c r="M94" s="11" t="s">
        <v>206</v>
      </c>
    </row>
    <row r="95" spans="1:13">
      <c r="A95" s="82" t="s">
        <v>207</v>
      </c>
      <c r="B95" s="120">
        <v>-5.4690000000000003</v>
      </c>
      <c r="C95" s="71"/>
      <c r="D95" s="12">
        <v>0.17391407185160324</v>
      </c>
      <c r="E95" s="10">
        <v>6</v>
      </c>
      <c r="F95" s="10">
        <v>97</v>
      </c>
      <c r="G95" s="6">
        <v>3.94</v>
      </c>
      <c r="H95" s="14">
        <f t="shared" si="1"/>
        <v>-4.16</v>
      </c>
      <c r="I95" s="23" t="s">
        <v>538</v>
      </c>
      <c r="J95" s="7" t="s">
        <v>539</v>
      </c>
      <c r="K95" s="7" t="s">
        <v>540</v>
      </c>
      <c r="L95" s="24"/>
      <c r="M95" s="11" t="s">
        <v>208</v>
      </c>
    </row>
    <row r="96" spans="1:13">
      <c r="A96" s="81" t="s">
        <v>209</v>
      </c>
      <c r="B96" s="120">
        <v>-3.0310000000000001</v>
      </c>
      <c r="C96" s="71"/>
      <c r="D96" s="12">
        <v>0.13764369691033657</v>
      </c>
      <c r="E96" s="10">
        <v>10</v>
      </c>
      <c r="F96" s="10">
        <v>134.5</v>
      </c>
      <c r="G96" s="6">
        <v>2.04</v>
      </c>
      <c r="H96" s="14">
        <f t="shared" si="1"/>
        <v>-2.6349999999999998</v>
      </c>
      <c r="I96" s="23" t="s">
        <v>541</v>
      </c>
      <c r="J96" s="7" t="s">
        <v>542</v>
      </c>
      <c r="K96" s="7" t="s">
        <v>543</v>
      </c>
      <c r="L96" s="24"/>
      <c r="M96" s="11" t="s">
        <v>210</v>
      </c>
    </row>
    <row r="97" spans="1:13">
      <c r="A97" s="82" t="s">
        <v>211</v>
      </c>
      <c r="B97" s="120">
        <v>-3.7730000000000001</v>
      </c>
      <c r="C97" s="71"/>
      <c r="D97" s="12">
        <v>0.16245746888591447</v>
      </c>
      <c r="E97" s="10">
        <v>7</v>
      </c>
      <c r="F97" s="10">
        <v>139</v>
      </c>
      <c r="G97" s="6">
        <v>2.66</v>
      </c>
      <c r="H97" s="14">
        <f t="shared" si="1"/>
        <v>-3.3000000000000003</v>
      </c>
      <c r="I97" s="23" t="s">
        <v>544</v>
      </c>
      <c r="J97" s="7" t="s">
        <v>545</v>
      </c>
      <c r="K97" s="7" t="s">
        <v>546</v>
      </c>
      <c r="L97" s="24"/>
      <c r="M97" s="11" t="s">
        <v>212</v>
      </c>
    </row>
    <row r="98" spans="1:13">
      <c r="A98" s="82" t="s">
        <v>213</v>
      </c>
      <c r="B98" s="120">
        <v>-2.641</v>
      </c>
      <c r="C98" s="71"/>
      <c r="D98" s="12">
        <v>0.15322122505052199</v>
      </c>
      <c r="E98" s="10">
        <v>9</v>
      </c>
      <c r="F98" s="10">
        <v>170</v>
      </c>
      <c r="G98" s="6">
        <v>1.91</v>
      </c>
      <c r="H98" s="14">
        <f t="shared" si="1"/>
        <v>-2.86</v>
      </c>
      <c r="I98" s="23" t="s">
        <v>547</v>
      </c>
      <c r="J98" s="7" t="s">
        <v>548</v>
      </c>
      <c r="K98" s="7" t="s">
        <v>549</v>
      </c>
      <c r="L98" s="24"/>
      <c r="M98" s="11" t="s">
        <v>214</v>
      </c>
    </row>
    <row r="99" spans="1:13">
      <c r="A99" s="81" t="s">
        <v>215</v>
      </c>
      <c r="B99" s="120">
        <v>-4.1150000000000002</v>
      </c>
      <c r="C99" s="71"/>
      <c r="D99" s="12">
        <v>0.15273607916541068</v>
      </c>
      <c r="E99" s="10">
        <v>10</v>
      </c>
      <c r="F99" s="10">
        <v>326</v>
      </c>
      <c r="G99" s="6">
        <v>2.44</v>
      </c>
      <c r="H99" s="14">
        <f t="shared" si="1"/>
        <v>-4.95</v>
      </c>
      <c r="I99" s="23" t="s">
        <v>550</v>
      </c>
      <c r="J99" s="7" t="s">
        <v>551</v>
      </c>
      <c r="K99" s="7" t="s">
        <v>552</v>
      </c>
      <c r="L99" s="24"/>
      <c r="M99" s="11" t="s">
        <v>216</v>
      </c>
    </row>
    <row r="100" spans="1:13">
      <c r="A100" s="82" t="s">
        <v>217</v>
      </c>
      <c r="B100" s="120">
        <v>-3.6030000000000002</v>
      </c>
      <c r="C100" s="71"/>
      <c r="D100" s="12">
        <v>0.18404701512102448</v>
      </c>
      <c r="E100" s="10">
        <v>5</v>
      </c>
      <c r="F100" s="10">
        <v>232.50000000000003</v>
      </c>
      <c r="G100" s="6">
        <v>1.8</v>
      </c>
      <c r="H100" s="14">
        <f t="shared" si="1"/>
        <v>-3.375</v>
      </c>
      <c r="I100" s="23" t="s">
        <v>553</v>
      </c>
      <c r="J100" s="7" t="s">
        <v>554</v>
      </c>
      <c r="K100" s="7" t="s">
        <v>555</v>
      </c>
      <c r="L100" s="24"/>
      <c r="M100" s="11" t="s">
        <v>218</v>
      </c>
    </row>
    <row r="101" spans="1:13">
      <c r="A101" s="82" t="s">
        <v>219</v>
      </c>
      <c r="B101" s="120">
        <v>-2.89</v>
      </c>
      <c r="C101" s="71"/>
      <c r="D101" s="12">
        <v>0.13604063752604376</v>
      </c>
      <c r="E101" s="10">
        <v>4</v>
      </c>
      <c r="F101" s="10">
        <v>281.5</v>
      </c>
      <c r="G101" s="6">
        <v>0.54</v>
      </c>
      <c r="H101" s="14">
        <f t="shared" si="1"/>
        <v>-2.605</v>
      </c>
      <c r="I101" s="23" t="s">
        <v>556</v>
      </c>
      <c r="J101" s="7" t="s">
        <v>557</v>
      </c>
      <c r="K101" s="7" t="s">
        <v>558</v>
      </c>
      <c r="L101" s="24"/>
      <c r="M101" s="11" t="s">
        <v>220</v>
      </c>
    </row>
    <row r="102" spans="1:13">
      <c r="A102" s="82" t="s">
        <v>221</v>
      </c>
      <c r="B102" s="120">
        <v>-3.57</v>
      </c>
      <c r="C102" s="71"/>
      <c r="D102" s="12">
        <v>0.19798964803022484</v>
      </c>
      <c r="E102" s="10">
        <v>4</v>
      </c>
      <c r="F102" s="10">
        <v>197.1</v>
      </c>
      <c r="G102" s="6">
        <v>2.2000000000000002</v>
      </c>
      <c r="H102" s="14">
        <f t="shared" si="1"/>
        <v>-3.4210000000000003</v>
      </c>
      <c r="I102" s="23" t="s">
        <v>559</v>
      </c>
      <c r="J102" s="7" t="s">
        <v>560</v>
      </c>
      <c r="K102" s="7" t="s">
        <v>561</v>
      </c>
      <c r="L102" s="24"/>
      <c r="M102" s="11" t="s">
        <v>222</v>
      </c>
    </row>
    <row r="103" spans="1:13">
      <c r="A103" s="83" t="s">
        <v>223</v>
      </c>
      <c r="B103" s="120">
        <v>-5.0457000000000001</v>
      </c>
      <c r="C103" s="71"/>
      <c r="D103" s="12">
        <v>0.13486720020739137</v>
      </c>
      <c r="E103" s="10">
        <v>4</v>
      </c>
      <c r="F103" s="10">
        <v>33</v>
      </c>
      <c r="G103" s="6">
        <v>4.24</v>
      </c>
      <c r="H103" s="14">
        <f t="shared" si="1"/>
        <v>-3.8200000000000003</v>
      </c>
      <c r="I103" s="23" t="s">
        <v>562</v>
      </c>
      <c r="J103" s="7" t="s">
        <v>563</v>
      </c>
      <c r="K103" s="7" t="s">
        <v>564</v>
      </c>
      <c r="L103" s="24"/>
      <c r="M103" s="11" t="s">
        <v>224</v>
      </c>
    </row>
    <row r="104" spans="1:13">
      <c r="A104" s="82" t="s">
        <v>225</v>
      </c>
      <c r="B104" s="120">
        <v>-4.9079999999999995</v>
      </c>
      <c r="C104" s="71"/>
      <c r="D104" s="12">
        <v>0.18801274760604275</v>
      </c>
      <c r="E104" s="10">
        <v>11</v>
      </c>
      <c r="F104" s="10">
        <v>60</v>
      </c>
      <c r="G104" s="6">
        <v>4.24</v>
      </c>
      <c r="H104" s="14">
        <f t="shared" si="1"/>
        <v>-4.09</v>
      </c>
      <c r="I104" s="23" t="s">
        <v>565</v>
      </c>
      <c r="J104" s="7" t="s">
        <v>566</v>
      </c>
      <c r="K104" s="7" t="s">
        <v>567</v>
      </c>
      <c r="L104" s="24"/>
      <c r="M104" s="11" t="s">
        <v>226</v>
      </c>
    </row>
    <row r="105" spans="1:13">
      <c r="A105" s="82" t="s">
        <v>227</v>
      </c>
      <c r="B105" s="120">
        <v>-5.0579000000000001</v>
      </c>
      <c r="C105" s="71"/>
      <c r="D105" s="12">
        <v>0.1664014074224209</v>
      </c>
      <c r="E105" s="10">
        <v>4</v>
      </c>
      <c r="F105" s="10">
        <v>130.5</v>
      </c>
      <c r="G105" s="6">
        <v>5.22</v>
      </c>
      <c r="H105" s="14">
        <f t="shared" si="1"/>
        <v>-5.7749999999999995</v>
      </c>
      <c r="I105" s="23" t="s">
        <v>568</v>
      </c>
      <c r="J105" s="7" t="s">
        <v>569</v>
      </c>
      <c r="K105" s="7" t="s">
        <v>570</v>
      </c>
      <c r="L105" s="24"/>
      <c r="M105" s="11" t="s">
        <v>228</v>
      </c>
    </row>
    <row r="106" spans="1:13">
      <c r="A106" s="83" t="s">
        <v>103</v>
      </c>
      <c r="B106" s="120">
        <v>-3.4049999999999998</v>
      </c>
      <c r="C106" s="71"/>
      <c r="D106" s="12">
        <v>0.17506472136100007</v>
      </c>
      <c r="E106" s="10">
        <v>7</v>
      </c>
      <c r="F106" s="10">
        <v>254</v>
      </c>
      <c r="G106" s="6">
        <v>2.97</v>
      </c>
      <c r="H106" s="14">
        <f t="shared" si="1"/>
        <v>-4.76</v>
      </c>
      <c r="I106" s="23" t="s">
        <v>571</v>
      </c>
      <c r="J106" s="7" t="s">
        <v>572</v>
      </c>
      <c r="K106" s="7" t="s">
        <v>573</v>
      </c>
      <c r="L106" s="24"/>
      <c r="M106" s="11" t="s">
        <v>229</v>
      </c>
    </row>
    <row r="107" spans="1:13">
      <c r="A107" s="83" t="s">
        <v>230</v>
      </c>
      <c r="B107" s="120">
        <v>-5.8037000000000001</v>
      </c>
      <c r="C107" s="71"/>
      <c r="D107" s="12">
        <v>0.1605416460069265</v>
      </c>
      <c r="E107" s="10">
        <v>5</v>
      </c>
      <c r="F107" s="10">
        <v>121</v>
      </c>
      <c r="G107" s="6">
        <v>5.91</v>
      </c>
      <c r="H107" s="14">
        <f t="shared" si="1"/>
        <v>-6.37</v>
      </c>
      <c r="I107" s="23" t="s">
        <v>574</v>
      </c>
      <c r="J107" s="7" t="s">
        <v>575</v>
      </c>
      <c r="K107" s="7" t="s">
        <v>576</v>
      </c>
      <c r="L107" s="24"/>
      <c r="M107" s="11" t="s">
        <v>231</v>
      </c>
    </row>
    <row r="108" spans="1:13">
      <c r="A108" s="82" t="s">
        <v>232</v>
      </c>
      <c r="B108" s="120">
        <v>-4.298</v>
      </c>
      <c r="C108" s="71"/>
      <c r="D108" s="12">
        <v>0.15756984748208766</v>
      </c>
      <c r="E108" s="10">
        <v>5</v>
      </c>
      <c r="F108" s="10">
        <v>206.99999999999997</v>
      </c>
      <c r="G108" s="6">
        <v>2.56</v>
      </c>
      <c r="H108" s="14">
        <f t="shared" si="1"/>
        <v>-3.88</v>
      </c>
      <c r="I108" s="23" t="s">
        <v>577</v>
      </c>
      <c r="J108" s="7" t="s">
        <v>578</v>
      </c>
      <c r="K108" s="7" t="s">
        <v>579</v>
      </c>
      <c r="L108" s="24"/>
      <c r="M108" s="11" t="s">
        <v>233</v>
      </c>
    </row>
    <row r="109" spans="1:13">
      <c r="A109" s="81" t="s">
        <v>234</v>
      </c>
      <c r="B109" s="120">
        <v>-5.3319000000000001</v>
      </c>
      <c r="C109" s="71"/>
      <c r="D109" s="12">
        <v>0.16160362353179636</v>
      </c>
      <c r="E109" s="10">
        <v>6</v>
      </c>
      <c r="F109" s="10">
        <v>134.5</v>
      </c>
      <c r="G109" s="6">
        <v>4.8499999999999996</v>
      </c>
      <c r="H109" s="14">
        <f t="shared" si="1"/>
        <v>-5.4449999999999994</v>
      </c>
      <c r="I109" s="23" t="s">
        <v>580</v>
      </c>
      <c r="J109" s="7" t="s">
        <v>581</v>
      </c>
      <c r="K109" s="7" t="s">
        <v>582</v>
      </c>
      <c r="L109" s="24"/>
      <c r="M109" s="11" t="s">
        <v>235</v>
      </c>
    </row>
    <row r="110" spans="1:13">
      <c r="A110" s="81" t="s">
        <v>236</v>
      </c>
      <c r="B110" s="120">
        <v>-3.9260000000000002</v>
      </c>
      <c r="C110" s="71"/>
      <c r="D110" s="12">
        <v>0.18685765827673947</v>
      </c>
      <c r="E110" s="10">
        <v>6</v>
      </c>
      <c r="F110" s="10">
        <v>275</v>
      </c>
      <c r="G110" s="6">
        <v>2.09</v>
      </c>
      <c r="H110" s="14">
        <f t="shared" si="1"/>
        <v>-4.09</v>
      </c>
      <c r="I110" s="23" t="s">
        <v>583</v>
      </c>
      <c r="J110" s="7" t="s">
        <v>584</v>
      </c>
      <c r="K110" s="7" t="s">
        <v>585</v>
      </c>
      <c r="L110" s="24"/>
      <c r="M110" s="11" t="s">
        <v>237</v>
      </c>
    </row>
    <row r="111" spans="1:13">
      <c r="A111" s="82" t="s">
        <v>238</v>
      </c>
      <c r="B111" s="120">
        <v>-4.6520000000000001</v>
      </c>
      <c r="C111" s="71"/>
      <c r="D111" s="12">
        <v>0.13950112944748669</v>
      </c>
      <c r="E111" s="10">
        <v>9</v>
      </c>
      <c r="F111" s="10">
        <v>220.00000000000003</v>
      </c>
      <c r="G111" s="6">
        <v>1.8</v>
      </c>
      <c r="H111" s="14">
        <f t="shared" si="1"/>
        <v>-3.2500000000000004</v>
      </c>
      <c r="I111" s="23" t="s">
        <v>586</v>
      </c>
      <c r="J111" s="7" t="s">
        <v>587</v>
      </c>
      <c r="K111" s="7" t="s">
        <v>588</v>
      </c>
      <c r="L111" s="24"/>
      <c r="M111" s="11" t="s">
        <v>239</v>
      </c>
    </row>
    <row r="112" spans="1:13">
      <c r="A112" s="85" t="s">
        <v>240</v>
      </c>
      <c r="B112" s="120">
        <v>-3.1059999999999999</v>
      </c>
      <c r="C112" s="72"/>
      <c r="D112" s="4">
        <v>0.22014005046870977</v>
      </c>
      <c r="E112" s="2">
        <v>9</v>
      </c>
      <c r="F112" s="10">
        <v>202</v>
      </c>
      <c r="G112" s="6">
        <v>1.53</v>
      </c>
      <c r="H112" s="14">
        <f t="shared" si="1"/>
        <v>-2.8</v>
      </c>
      <c r="I112" s="23" t="s">
        <v>589</v>
      </c>
      <c r="J112" s="7" t="s">
        <v>590</v>
      </c>
      <c r="K112" s="7" t="s">
        <v>591</v>
      </c>
      <c r="L112" s="24"/>
      <c r="M112" s="11" t="s">
        <v>241</v>
      </c>
    </row>
    <row r="113" spans="1:28">
      <c r="A113" s="82" t="s">
        <v>242</v>
      </c>
      <c r="B113" s="120">
        <v>-2.7519999999999998</v>
      </c>
      <c r="C113" s="71"/>
      <c r="D113" s="12">
        <v>0.14014083879485537</v>
      </c>
      <c r="E113" s="10">
        <v>3</v>
      </c>
      <c r="F113" s="10">
        <v>243.00000000000003</v>
      </c>
      <c r="G113" s="6">
        <v>1.48</v>
      </c>
      <c r="H113" s="14">
        <f t="shared" si="1"/>
        <v>-3.16</v>
      </c>
      <c r="I113" s="23" t="s">
        <v>592</v>
      </c>
      <c r="J113" s="7" t="s">
        <v>593</v>
      </c>
      <c r="K113" s="7" t="s">
        <v>594</v>
      </c>
      <c r="L113" s="24"/>
      <c r="M113" s="11" t="s">
        <v>243</v>
      </c>
    </row>
    <row r="114" spans="1:28">
      <c r="A114" s="83" t="s">
        <v>244</v>
      </c>
      <c r="B114" s="120">
        <v>-3.2839999999999998</v>
      </c>
      <c r="C114" s="71"/>
      <c r="D114" s="12">
        <v>0.13726989684757951</v>
      </c>
      <c r="E114" s="10">
        <v>3</v>
      </c>
      <c r="F114" s="10">
        <v>191</v>
      </c>
      <c r="G114" s="6">
        <v>1.67</v>
      </c>
      <c r="H114" s="14">
        <f t="shared" si="1"/>
        <v>-2.83</v>
      </c>
      <c r="I114" s="23" t="s">
        <v>595</v>
      </c>
      <c r="J114" s="7" t="s">
        <v>596</v>
      </c>
      <c r="K114" s="7" t="s">
        <v>597</v>
      </c>
      <c r="L114" s="24"/>
      <c r="M114" s="11" t="s">
        <v>245</v>
      </c>
    </row>
    <row r="115" spans="1:28">
      <c r="A115" s="82" t="s">
        <v>246</v>
      </c>
      <c r="B115" s="120">
        <v>-5.4633000000000003</v>
      </c>
      <c r="C115" s="71"/>
      <c r="D115" s="12">
        <v>0.21357402153711522</v>
      </c>
      <c r="E115" s="10">
        <v>7</v>
      </c>
      <c r="F115" s="10">
        <v>183.5</v>
      </c>
      <c r="G115" s="6">
        <v>4.37</v>
      </c>
      <c r="H115" s="14">
        <f t="shared" si="1"/>
        <v>-5.4550000000000001</v>
      </c>
      <c r="I115" s="23"/>
      <c r="J115" s="7"/>
      <c r="K115" s="7"/>
      <c r="L115" s="24"/>
      <c r="M115" s="11" t="s">
        <v>247</v>
      </c>
    </row>
    <row r="116" spans="1:28">
      <c r="A116" s="82" t="s">
        <v>248</v>
      </c>
      <c r="B116" s="120">
        <v>-4.1619999999999999</v>
      </c>
      <c r="C116" s="71"/>
      <c r="D116" s="12">
        <v>0.10564411177747912</v>
      </c>
      <c r="E116" s="10">
        <v>3</v>
      </c>
      <c r="F116" s="10">
        <v>149</v>
      </c>
      <c r="G116" s="6">
        <v>2.62</v>
      </c>
      <c r="H116" s="14">
        <f t="shared" si="1"/>
        <v>-3.3600000000000003</v>
      </c>
      <c r="I116" s="23"/>
      <c r="J116" s="7"/>
      <c r="K116" s="7"/>
      <c r="L116" s="24"/>
      <c r="M116" s="11" t="s">
        <v>249</v>
      </c>
    </row>
    <row r="117" spans="1:28">
      <c r="A117" s="81" t="s">
        <v>250</v>
      </c>
      <c r="B117" s="120">
        <v>-2.657</v>
      </c>
      <c r="C117" s="71"/>
      <c r="D117" s="12">
        <v>0.14623917640453388</v>
      </c>
      <c r="E117" s="10">
        <v>8</v>
      </c>
      <c r="F117" s="10">
        <v>165</v>
      </c>
      <c r="G117" s="6">
        <v>-0.37</v>
      </c>
      <c r="H117" s="14">
        <f t="shared" si="1"/>
        <v>-0.53000000000000014</v>
      </c>
      <c r="I117" s="23"/>
      <c r="J117" s="7"/>
      <c r="K117" s="7"/>
      <c r="L117" s="24"/>
      <c r="M117" s="11" t="s">
        <v>251</v>
      </c>
    </row>
    <row r="118" spans="1:28">
      <c r="A118" s="82" t="s">
        <v>252</v>
      </c>
      <c r="B118" s="120">
        <v>-3.109</v>
      </c>
      <c r="C118" s="71"/>
      <c r="D118" s="12">
        <v>0.16291639539032501</v>
      </c>
      <c r="E118" s="10">
        <v>10</v>
      </c>
      <c r="F118" s="10">
        <v>225</v>
      </c>
      <c r="G118" s="6">
        <v>0.81</v>
      </c>
      <c r="H118" s="14">
        <f t="shared" si="1"/>
        <v>-2.31</v>
      </c>
      <c r="I118" s="23"/>
      <c r="J118" s="7"/>
      <c r="K118" s="7"/>
      <c r="L118" s="24"/>
      <c r="M118" s="11" t="s">
        <v>253</v>
      </c>
    </row>
    <row r="119" spans="1:28">
      <c r="A119" s="82" t="s">
        <v>254</v>
      </c>
      <c r="B119" s="120">
        <v>-3.4049999999999998</v>
      </c>
      <c r="C119" s="71"/>
      <c r="D119" s="12">
        <v>0.21166647357477791</v>
      </c>
      <c r="E119" s="10">
        <v>5</v>
      </c>
      <c r="F119" s="10">
        <v>270</v>
      </c>
      <c r="G119" s="6">
        <v>0.62</v>
      </c>
      <c r="H119" s="14">
        <f t="shared" si="1"/>
        <v>-2.5700000000000003</v>
      </c>
      <c r="I119" s="23"/>
      <c r="J119" s="7"/>
      <c r="K119" s="7"/>
      <c r="L119" s="24"/>
      <c r="M119" s="11" t="s">
        <v>255</v>
      </c>
    </row>
    <row r="120" spans="1:28">
      <c r="A120" s="81" t="s">
        <v>256</v>
      </c>
      <c r="B120" s="120">
        <v>-3.992</v>
      </c>
      <c r="C120" s="71"/>
      <c r="D120" s="12">
        <v>0.14175650298978676</v>
      </c>
      <c r="E120" s="10">
        <v>9</v>
      </c>
      <c r="F120" s="10">
        <v>312.66666666666669</v>
      </c>
      <c r="G120" s="6">
        <v>0.83</v>
      </c>
      <c r="H120" s="14">
        <f t="shared" si="1"/>
        <v>-3.206666666666667</v>
      </c>
      <c r="I120" s="23"/>
      <c r="J120" s="7"/>
      <c r="K120" s="7"/>
      <c r="L120" s="24"/>
      <c r="M120" s="11" t="s">
        <v>257</v>
      </c>
    </row>
    <row r="121" spans="1:28">
      <c r="A121" s="82" t="s">
        <v>258</v>
      </c>
      <c r="B121" s="120">
        <v>-5.5800999999999998</v>
      </c>
      <c r="C121" s="71"/>
      <c r="D121" s="12">
        <v>0.2034688635346244</v>
      </c>
      <c r="E121" s="10">
        <v>11</v>
      </c>
      <c r="F121" s="10">
        <v>161</v>
      </c>
      <c r="G121" s="6">
        <v>3.61</v>
      </c>
      <c r="H121" s="14">
        <f t="shared" si="1"/>
        <v>-4.47</v>
      </c>
      <c r="I121" s="23"/>
      <c r="J121" s="7"/>
      <c r="K121" s="7"/>
      <c r="L121" s="24"/>
      <c r="M121" s="11" t="s">
        <v>259</v>
      </c>
    </row>
    <row r="122" spans="1:28">
      <c r="A122" s="81" t="s">
        <v>109</v>
      </c>
      <c r="B122" s="120">
        <v>-3.0590000000000002</v>
      </c>
      <c r="C122" s="71"/>
      <c r="D122" s="12">
        <v>0.20579636821699754</v>
      </c>
      <c r="E122" s="10">
        <v>3</v>
      </c>
      <c r="F122" s="10">
        <v>300</v>
      </c>
      <c r="G122" s="6">
        <v>-1.06</v>
      </c>
      <c r="H122" s="14">
        <f t="shared" si="1"/>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s="120">
        <v>-3.327</v>
      </c>
      <c r="C129" s="73" t="s">
        <v>30</v>
      </c>
      <c r="D129" s="12">
        <v>0.50033555401430185</v>
      </c>
      <c r="E129" s="10">
        <v>3</v>
      </c>
      <c r="F129" s="10">
        <v>180</v>
      </c>
      <c r="G129" s="1">
        <v>1.91</v>
      </c>
      <c r="H129" s="14">
        <f t="shared" ref="H129:H160" si="2">0.5-G129-0.01*(F129-25)</f>
        <v>-2.96</v>
      </c>
      <c r="I129" s="53" t="s">
        <v>31</v>
      </c>
      <c r="J129" s="54"/>
      <c r="K129" s="14"/>
      <c r="L129" s="14"/>
      <c r="M129" s="3" t="s">
        <v>269</v>
      </c>
    </row>
    <row r="130" spans="1:13">
      <c r="A130" s="82" t="s">
        <v>270</v>
      </c>
      <c r="B130" s="120">
        <v>-7.2130000000000001</v>
      </c>
      <c r="C130" s="73" t="s">
        <v>36</v>
      </c>
      <c r="D130" s="12">
        <v>0.5</v>
      </c>
      <c r="E130" s="6">
        <v>5</v>
      </c>
      <c r="F130" s="10">
        <v>156</v>
      </c>
      <c r="G130" s="1">
        <v>6.94</v>
      </c>
      <c r="H130" s="14">
        <f t="shared" si="2"/>
        <v>-7.75</v>
      </c>
      <c r="I130" s="53" t="s">
        <v>37</v>
      </c>
      <c r="J130" s="54"/>
      <c r="K130" s="14"/>
      <c r="L130" s="14"/>
      <c r="M130" s="3" t="s">
        <v>271</v>
      </c>
    </row>
    <row r="131" spans="1:13">
      <c r="A131" s="83" t="s">
        <v>272</v>
      </c>
      <c r="B131" s="120">
        <v>-5.1681999999999997</v>
      </c>
      <c r="C131" s="73" t="s">
        <v>41</v>
      </c>
      <c r="D131" s="12">
        <v>0.6530957900260097</v>
      </c>
      <c r="E131" s="10">
        <v>3</v>
      </c>
      <c r="F131" s="10">
        <v>208</v>
      </c>
      <c r="G131" s="1">
        <v>5.18</v>
      </c>
      <c r="H131" s="14">
        <f t="shared" si="2"/>
        <v>-6.51</v>
      </c>
      <c r="I131" s="53" t="s">
        <v>42</v>
      </c>
      <c r="J131" s="54"/>
      <c r="K131" s="14"/>
      <c r="L131" s="14"/>
      <c r="M131" s="3" t="s">
        <v>273</v>
      </c>
    </row>
    <row r="132" spans="1:13">
      <c r="A132" s="82" t="s">
        <v>274</v>
      </c>
      <c r="B132" s="120">
        <v>-2.8809999999999998</v>
      </c>
      <c r="C132" s="73" t="s">
        <v>46</v>
      </c>
      <c r="D132" s="12">
        <v>0.59285217963150294</v>
      </c>
      <c r="E132" s="10">
        <v>3</v>
      </c>
      <c r="F132" s="10">
        <v>100</v>
      </c>
      <c r="G132" s="1">
        <v>2.37</v>
      </c>
      <c r="H132" s="14">
        <f t="shared" si="2"/>
        <v>-2.62</v>
      </c>
      <c r="I132" s="15" t="s">
        <v>47</v>
      </c>
      <c r="J132" s="29"/>
      <c r="K132" s="14"/>
      <c r="L132" s="14"/>
      <c r="M132" s="3" t="s">
        <v>275</v>
      </c>
    </row>
    <row r="133" spans="1:13">
      <c r="A133" s="82" t="s">
        <v>276</v>
      </c>
      <c r="B133" s="120">
        <v>-5.6311999999999998</v>
      </c>
      <c r="C133" s="73" t="s">
        <v>51</v>
      </c>
      <c r="D133" s="12">
        <v>0.51067901383936642</v>
      </c>
      <c r="E133" s="10">
        <v>5</v>
      </c>
      <c r="F133" s="10">
        <v>217</v>
      </c>
      <c r="G133" s="1">
        <v>3.19</v>
      </c>
      <c r="H133" s="14">
        <f t="shared" si="2"/>
        <v>-4.6099999999999994</v>
      </c>
      <c r="I133" s="15" t="s">
        <v>52</v>
      </c>
      <c r="J133" s="29"/>
      <c r="K133" s="14"/>
      <c r="L133" s="14"/>
      <c r="M133" s="3" t="s">
        <v>277</v>
      </c>
    </row>
    <row r="134" spans="1:13">
      <c r="A134" s="82" t="s">
        <v>278</v>
      </c>
      <c r="B134" s="120">
        <v>-5.3377999999999997</v>
      </c>
      <c r="C134" s="71"/>
      <c r="D134" s="12">
        <v>0.83065522865171437</v>
      </c>
      <c r="E134" s="10">
        <v>3</v>
      </c>
      <c r="F134" s="10">
        <v>209.50000000000003</v>
      </c>
      <c r="G134" s="1">
        <v>4.41</v>
      </c>
      <c r="H134" s="14">
        <f t="shared" si="2"/>
        <v>-5.7550000000000008</v>
      </c>
      <c r="I134" s="15" t="s">
        <v>56</v>
      </c>
      <c r="J134" s="29"/>
      <c r="K134" s="14"/>
      <c r="L134" s="14"/>
      <c r="M134" s="3" t="s">
        <v>279</v>
      </c>
    </row>
    <row r="135" spans="1:13">
      <c r="A135" s="82" t="s">
        <v>280</v>
      </c>
      <c r="B135" s="120">
        <v>-6.1414999999999997</v>
      </c>
      <c r="C135" s="71"/>
      <c r="D135" s="12">
        <v>0.51097181417141646</v>
      </c>
      <c r="E135" s="10">
        <v>6</v>
      </c>
      <c r="F135" s="10">
        <v>97.5</v>
      </c>
      <c r="G135" s="1">
        <v>5.19</v>
      </c>
      <c r="H135" s="14">
        <f t="shared" si="2"/>
        <v>-5.415</v>
      </c>
      <c r="I135" s="15" t="s">
        <v>60</v>
      </c>
      <c r="J135" s="31"/>
      <c r="K135" s="14"/>
      <c r="L135" s="14"/>
      <c r="M135" s="3" t="s">
        <v>281</v>
      </c>
    </row>
    <row r="136" spans="1:13">
      <c r="A136" s="81" t="s">
        <v>282</v>
      </c>
      <c r="B136" s="120">
        <v>-8.1509999999999998</v>
      </c>
      <c r="C136" s="71"/>
      <c r="D136" s="12">
        <v>0.92735432696895004</v>
      </c>
      <c r="E136" s="10">
        <v>5</v>
      </c>
      <c r="F136" s="10">
        <v>211</v>
      </c>
      <c r="G136" s="1">
        <v>7.49</v>
      </c>
      <c r="H136" s="14">
        <f t="shared" si="2"/>
        <v>-8.85</v>
      </c>
      <c r="I136" s="30" t="s">
        <v>64</v>
      </c>
      <c r="J136" s="32" t="s">
        <v>420</v>
      </c>
      <c r="K136" s="33" t="s">
        <v>421</v>
      </c>
      <c r="L136" s="34"/>
      <c r="M136" s="3" t="s">
        <v>283</v>
      </c>
    </row>
    <row r="137" spans="1:13">
      <c r="A137" s="82" t="s">
        <v>112</v>
      </c>
      <c r="B137" s="120">
        <v>-5.1292</v>
      </c>
      <c r="C137" s="71"/>
      <c r="D137" s="12">
        <v>0.68239272333923895</v>
      </c>
      <c r="E137" s="10">
        <v>3</v>
      </c>
      <c r="F137" s="10">
        <v>177</v>
      </c>
      <c r="G137" s="1">
        <v>3.37</v>
      </c>
      <c r="H137" s="14">
        <f t="shared" si="2"/>
        <v>-4.3900000000000006</v>
      </c>
      <c r="J137" s="14"/>
      <c r="K137" s="14"/>
      <c r="L137" s="14"/>
      <c r="M137" s="3" t="s">
        <v>284</v>
      </c>
    </row>
    <row r="138" spans="1:13">
      <c r="A138" s="82" t="s">
        <v>285</v>
      </c>
      <c r="B138" s="120">
        <v>-5.8148</v>
      </c>
      <c r="C138" s="71"/>
      <c r="D138" s="12">
        <v>0.520951861602862</v>
      </c>
      <c r="E138" s="10">
        <v>10</v>
      </c>
      <c r="F138" s="10">
        <v>228.6</v>
      </c>
      <c r="G138" s="1">
        <v>4.22</v>
      </c>
      <c r="H138" s="14">
        <f t="shared" si="2"/>
        <v>-5.7560000000000002</v>
      </c>
      <c r="I138" s="16" t="s">
        <v>286</v>
      </c>
      <c r="J138" s="17"/>
      <c r="K138" s="17"/>
      <c r="L138" s="18"/>
      <c r="M138" s="3" t="s">
        <v>287</v>
      </c>
    </row>
    <row r="139" spans="1:13">
      <c r="A139" s="81" t="s">
        <v>288</v>
      </c>
      <c r="B139" s="120">
        <v>-1.8570000000000002</v>
      </c>
      <c r="C139" s="71"/>
      <c r="D139" s="12">
        <v>0.53906642829149898</v>
      </c>
      <c r="E139" s="10">
        <v>3</v>
      </c>
      <c r="F139" s="10">
        <v>161.5</v>
      </c>
      <c r="G139" s="1">
        <v>-0.21</v>
      </c>
      <c r="H139" s="14">
        <f t="shared" si="2"/>
        <v>-0.65500000000000003</v>
      </c>
      <c r="I139" s="20" t="s">
        <v>598</v>
      </c>
      <c r="J139" s="21"/>
      <c r="K139" s="21"/>
      <c r="L139" s="22"/>
      <c r="M139" s="3" t="s">
        <v>289</v>
      </c>
    </row>
    <row r="140" spans="1:13">
      <c r="A140" s="81" t="s">
        <v>290</v>
      </c>
      <c r="B140" s="120">
        <v>-4.6280000000000001</v>
      </c>
      <c r="C140" s="71"/>
      <c r="D140" s="12">
        <v>0.56233984781338708</v>
      </c>
      <c r="E140" s="10">
        <v>11</v>
      </c>
      <c r="F140" s="10">
        <v>213.49999999999997</v>
      </c>
      <c r="G140" s="1">
        <v>3.04</v>
      </c>
      <c r="H140" s="14">
        <f t="shared" si="2"/>
        <v>-4.4249999999999998</v>
      </c>
      <c r="I140" s="23"/>
      <c r="J140" s="7"/>
      <c r="K140" s="7"/>
      <c r="L140" s="24"/>
      <c r="M140" s="3" t="s">
        <v>291</v>
      </c>
    </row>
    <row r="141" spans="1:13">
      <c r="A141" s="83" t="s">
        <v>292</v>
      </c>
      <c r="B141" s="120">
        <v>-3.3479999999999999</v>
      </c>
      <c r="C141" s="71"/>
      <c r="D141" s="12">
        <v>0.54710381306524825</v>
      </c>
      <c r="E141" s="10">
        <v>4</v>
      </c>
      <c r="F141" s="10">
        <v>168.5</v>
      </c>
      <c r="G141" s="1">
        <v>3.35</v>
      </c>
      <c r="H141" s="14">
        <f t="shared" si="2"/>
        <v>-4.2850000000000001</v>
      </c>
      <c r="I141" s="23"/>
      <c r="J141" s="7"/>
      <c r="K141" s="7"/>
      <c r="L141" s="24"/>
      <c r="M141" s="3" t="s">
        <v>293</v>
      </c>
    </row>
    <row r="142" spans="1:13">
      <c r="A142" s="81" t="s">
        <v>114</v>
      </c>
      <c r="B142" s="120">
        <v>-2.8420000000000001</v>
      </c>
      <c r="C142" s="71"/>
      <c r="D142" s="12">
        <v>0.54612637818466869</v>
      </c>
      <c r="E142" s="10">
        <v>3</v>
      </c>
      <c r="F142" s="13">
        <v>124.1</v>
      </c>
      <c r="G142" s="1">
        <v>2.81</v>
      </c>
      <c r="H142" s="14">
        <f t="shared" si="2"/>
        <v>-3.3010000000000002</v>
      </c>
      <c r="I142" s="25"/>
      <c r="J142" s="7"/>
      <c r="K142" s="7"/>
      <c r="L142" s="24"/>
      <c r="M142" s="3" t="s">
        <v>294</v>
      </c>
    </row>
    <row r="143" spans="1:13">
      <c r="A143" s="81" t="s">
        <v>295</v>
      </c>
      <c r="B143" s="120">
        <v>-5.6984000000000004</v>
      </c>
      <c r="C143" s="71"/>
      <c r="D143" s="12">
        <v>0.51160213896594608</v>
      </c>
      <c r="E143" s="10">
        <v>4</v>
      </c>
      <c r="F143" s="10">
        <v>165</v>
      </c>
      <c r="G143" s="1">
        <v>4.8899999999999997</v>
      </c>
      <c r="H143" s="14">
        <f t="shared" si="2"/>
        <v>-5.79</v>
      </c>
      <c r="I143" s="25"/>
      <c r="J143" s="7"/>
      <c r="K143" s="7"/>
      <c r="L143" s="24"/>
      <c r="M143" s="3" t="s">
        <v>296</v>
      </c>
    </row>
    <row r="144" spans="1:13">
      <c r="A144" s="81" t="s">
        <v>117</v>
      </c>
      <c r="B144" s="120">
        <v>-5.7572999999999999</v>
      </c>
      <c r="C144" s="71"/>
      <c r="D144" s="12">
        <v>0.65141515533308314</v>
      </c>
      <c r="E144" s="10">
        <v>4</v>
      </c>
      <c r="F144" s="10">
        <v>161.1</v>
      </c>
      <c r="G144" s="1">
        <v>4.76</v>
      </c>
      <c r="H144" s="14">
        <f t="shared" si="2"/>
        <v>-5.6209999999999996</v>
      </c>
      <c r="I144" s="25"/>
      <c r="J144" s="7"/>
      <c r="K144" s="7"/>
      <c r="L144" s="24"/>
      <c r="M144" s="3" t="s">
        <v>297</v>
      </c>
    </row>
    <row r="145" spans="1:28">
      <c r="A145" s="83" t="s">
        <v>298</v>
      </c>
      <c r="B145" s="120">
        <v>-5.0872999999999999</v>
      </c>
      <c r="C145" s="71"/>
      <c r="D145" s="12">
        <v>0.65883215509381909</v>
      </c>
      <c r="E145" s="10">
        <v>3</v>
      </c>
      <c r="F145" s="10">
        <v>155</v>
      </c>
      <c r="G145" s="1">
        <v>3.74</v>
      </c>
      <c r="H145" s="14">
        <f t="shared" si="2"/>
        <v>-4.54</v>
      </c>
      <c r="I145" s="25"/>
      <c r="J145" s="7"/>
      <c r="K145" s="7"/>
      <c r="L145" s="24"/>
      <c r="M145" s="3" t="s">
        <v>299</v>
      </c>
    </row>
    <row r="146" spans="1:28">
      <c r="A146" s="82" t="s">
        <v>300</v>
      </c>
      <c r="B146" s="120">
        <v>-4.9960000000000004</v>
      </c>
      <c r="C146" s="71"/>
      <c r="D146" s="12">
        <v>0.61400477095750339</v>
      </c>
      <c r="E146" s="10">
        <v>3</v>
      </c>
      <c r="F146" s="10">
        <v>165.4</v>
      </c>
      <c r="G146" s="1">
        <v>5.58</v>
      </c>
      <c r="H146" s="14">
        <f t="shared" si="2"/>
        <v>-6.484</v>
      </c>
      <c r="I146" s="25"/>
      <c r="J146" s="7"/>
      <c r="K146" s="7"/>
      <c r="L146" s="24"/>
      <c r="M146" s="3" t="s">
        <v>301</v>
      </c>
    </row>
    <row r="147" spans="1:28">
      <c r="A147" s="82" t="s">
        <v>302</v>
      </c>
      <c r="B147" s="120">
        <v>-6.2343999999999999</v>
      </c>
      <c r="C147" s="71"/>
      <c r="D147" s="12">
        <v>0.50406532001413251</v>
      </c>
      <c r="E147" s="10">
        <v>6</v>
      </c>
      <c r="F147" s="10">
        <v>161</v>
      </c>
      <c r="G147" s="1">
        <v>6.45</v>
      </c>
      <c r="H147" s="14">
        <f t="shared" si="2"/>
        <v>-7.3100000000000005</v>
      </c>
      <c r="I147" s="26"/>
      <c r="J147" s="27"/>
      <c r="K147" s="27"/>
      <c r="L147" s="28"/>
      <c r="M147" s="3" t="s">
        <v>303</v>
      </c>
    </row>
    <row r="148" spans="1:28">
      <c r="A148" s="82" t="s">
        <v>304</v>
      </c>
      <c r="B148" s="120">
        <v>-6.0798199999999998</v>
      </c>
      <c r="C148" s="71"/>
      <c r="D148" s="12">
        <v>0.75493366325441691</v>
      </c>
      <c r="E148" s="10">
        <v>4</v>
      </c>
      <c r="F148" s="10">
        <v>193.5</v>
      </c>
      <c r="G148" s="1">
        <v>5.41</v>
      </c>
      <c r="H148" s="14">
        <f t="shared" si="2"/>
        <v>-6.5950000000000006</v>
      </c>
      <c r="J148" s="14"/>
      <c r="K148" s="14"/>
      <c r="L148" s="14"/>
      <c r="M148" s="3" t="s">
        <v>305</v>
      </c>
    </row>
    <row r="149" spans="1:28">
      <c r="A149" s="82" t="s">
        <v>306</v>
      </c>
      <c r="B149" s="120">
        <v>-4.8879999999999999</v>
      </c>
      <c r="C149" s="71"/>
      <c r="D149" s="12">
        <v>0.50089358058597189</v>
      </c>
      <c r="E149" s="10">
        <v>3</v>
      </c>
      <c r="F149" s="10">
        <v>156</v>
      </c>
      <c r="G149" s="1">
        <v>2.9</v>
      </c>
      <c r="H149" s="14">
        <f t="shared" si="2"/>
        <v>-3.71</v>
      </c>
      <c r="I149" s="70" t="s">
        <v>133</v>
      </c>
      <c r="J149" s="75">
        <v>2220</v>
      </c>
      <c r="K149" s="34"/>
      <c r="L149" s="14"/>
      <c r="M149" s="3" t="s">
        <v>307</v>
      </c>
    </row>
    <row r="150" spans="1:28">
      <c r="A150" s="83" t="s">
        <v>308</v>
      </c>
      <c r="B150" s="120">
        <v>-5.3417000000000003</v>
      </c>
      <c r="C150" s="71"/>
      <c r="D150" s="12">
        <v>0.6587984329866341</v>
      </c>
      <c r="E150" s="10">
        <v>4</v>
      </c>
      <c r="F150" s="10">
        <v>183.5</v>
      </c>
      <c r="G150" s="1">
        <v>3.16</v>
      </c>
      <c r="H150" s="14">
        <f t="shared" si="2"/>
        <v>-4.2450000000000001</v>
      </c>
      <c r="I150" s="70" t="s">
        <v>136</v>
      </c>
      <c r="J150" s="75">
        <v>554</v>
      </c>
      <c r="K150" s="34"/>
      <c r="L150" s="14"/>
      <c r="M150" s="3" t="s">
        <v>309</v>
      </c>
    </row>
    <row r="151" spans="1:28">
      <c r="A151" s="83" t="s">
        <v>310</v>
      </c>
      <c r="B151" s="120">
        <v>-4.0679999999999996</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s="120">
        <v>-3.8370000000000002</v>
      </c>
      <c r="C152" s="71"/>
      <c r="D152" s="12">
        <v>0.57115657899345518</v>
      </c>
      <c r="E152" s="10">
        <v>7</v>
      </c>
      <c r="F152" s="10">
        <v>177</v>
      </c>
      <c r="G152" s="1">
        <v>3.17</v>
      </c>
      <c r="H152" s="14">
        <f t="shared" si="2"/>
        <v>-4.1899999999999995</v>
      </c>
      <c r="I152" s="14"/>
      <c r="J152" s="14"/>
      <c r="K152" s="14"/>
      <c r="L152" s="14"/>
      <c r="M152" s="3" t="s">
        <v>313</v>
      </c>
    </row>
    <row r="153" spans="1:28">
      <c r="A153" s="81" t="s">
        <v>314</v>
      </c>
      <c r="B153" s="120">
        <v>-6.5823999999999998</v>
      </c>
      <c r="C153" s="71"/>
      <c r="D153" s="12">
        <v>0.55807775121880254</v>
      </c>
      <c r="E153" s="10">
        <v>6</v>
      </c>
      <c r="F153" s="10">
        <v>145</v>
      </c>
      <c r="G153" s="1">
        <v>6.08</v>
      </c>
      <c r="H153" s="14">
        <f t="shared" si="2"/>
        <v>-6.78</v>
      </c>
      <c r="I153" s="19" t="s">
        <v>144</v>
      </c>
      <c r="J153" s="17"/>
      <c r="K153" s="17"/>
      <c r="L153" s="18"/>
      <c r="M153" s="3" t="s">
        <v>315</v>
      </c>
    </row>
    <row r="154" spans="1:28">
      <c r="A154" s="81" t="s">
        <v>316</v>
      </c>
      <c r="B154" s="120">
        <v>-5.4531999999999998</v>
      </c>
      <c r="C154" s="71"/>
      <c r="D154" s="12">
        <v>0.66417698790166113</v>
      </c>
      <c r="E154" s="10">
        <v>3</v>
      </c>
      <c r="F154" s="13">
        <v>175.8</v>
      </c>
      <c r="G154" s="1">
        <v>4.62</v>
      </c>
      <c r="H154" s="14">
        <f t="shared" si="2"/>
        <v>-5.6280000000000001</v>
      </c>
      <c r="I154" s="20" t="s">
        <v>598</v>
      </c>
      <c r="J154" s="21"/>
      <c r="K154" s="21"/>
      <c r="L154" s="22"/>
      <c r="M154" s="3" t="s">
        <v>317</v>
      </c>
    </row>
    <row r="155" spans="1:28">
      <c r="A155" s="82" t="s">
        <v>318</v>
      </c>
      <c r="B155" s="120">
        <v>-5.0827</v>
      </c>
      <c r="C155" s="71"/>
      <c r="D155" s="12">
        <v>0.57716593661781801</v>
      </c>
      <c r="E155" s="10">
        <v>3</v>
      </c>
      <c r="F155" s="10">
        <v>349.84</v>
      </c>
      <c r="G155" s="1">
        <v>3.09</v>
      </c>
      <c r="H155" s="14">
        <f t="shared" si="2"/>
        <v>-5.8384</v>
      </c>
      <c r="I155" s="23"/>
      <c r="J155" s="7"/>
      <c r="K155" s="7"/>
      <c r="L155" s="24"/>
      <c r="M155" s="3" t="s">
        <v>319</v>
      </c>
    </row>
    <row r="156" spans="1:28">
      <c r="A156" s="83" t="s">
        <v>320</v>
      </c>
      <c r="B156" s="120">
        <v>-3.48</v>
      </c>
      <c r="C156" s="71"/>
      <c r="D156" s="12">
        <v>0.70324590282883903</v>
      </c>
      <c r="E156" s="10">
        <v>3</v>
      </c>
      <c r="F156" s="10">
        <v>204</v>
      </c>
      <c r="G156" s="1">
        <v>0.88</v>
      </c>
      <c r="H156" s="14">
        <f t="shared" si="2"/>
        <v>-2.17</v>
      </c>
      <c r="I156" s="23"/>
      <c r="J156" s="7"/>
      <c r="K156" s="7"/>
      <c r="L156" s="24"/>
      <c r="M156" s="3" t="s">
        <v>321</v>
      </c>
    </row>
    <row r="157" spans="1:28">
      <c r="A157" s="82" t="s">
        <v>322</v>
      </c>
      <c r="B157" s="120">
        <v>-6.5091999999999999</v>
      </c>
      <c r="C157" s="71"/>
      <c r="D157" s="12">
        <v>0.7237903588794764</v>
      </c>
      <c r="E157" s="10">
        <v>7</v>
      </c>
      <c r="F157" s="10">
        <v>97.8</v>
      </c>
      <c r="G157" s="1">
        <v>6</v>
      </c>
      <c r="H157" s="14">
        <f t="shared" si="2"/>
        <v>-6.2279999999999998</v>
      </c>
      <c r="I157" s="23"/>
      <c r="J157" s="7"/>
      <c r="K157" s="7"/>
      <c r="L157" s="24"/>
      <c r="M157" s="3" t="s">
        <v>323</v>
      </c>
    </row>
    <row r="158" spans="1:28">
      <c r="A158" s="82" t="s">
        <v>324</v>
      </c>
      <c r="B158" s="120">
        <v>-6.4496000000000002</v>
      </c>
      <c r="C158" s="71"/>
      <c r="D158" s="12">
        <v>0.84033450922624497</v>
      </c>
      <c r="E158" s="10">
        <v>5</v>
      </c>
      <c r="F158" s="10">
        <v>262</v>
      </c>
      <c r="G158" s="1">
        <v>7.26</v>
      </c>
      <c r="H158" s="14">
        <f t="shared" si="2"/>
        <v>-9.129999999999999</v>
      </c>
      <c r="I158" s="23"/>
      <c r="J158" s="7"/>
      <c r="K158" s="7"/>
      <c r="L158" s="24"/>
      <c r="M158" s="3" t="s">
        <v>325</v>
      </c>
    </row>
    <row r="159" spans="1:28">
      <c r="A159" s="82" t="s">
        <v>326</v>
      </c>
      <c r="B159" s="120">
        <v>-6.18</v>
      </c>
      <c r="C159" s="71"/>
      <c r="D159" s="12">
        <v>0.70969645885144073</v>
      </c>
      <c r="E159" s="10">
        <v>11</v>
      </c>
      <c r="F159" s="10">
        <v>149.6</v>
      </c>
      <c r="G159" s="1">
        <v>6.45</v>
      </c>
      <c r="H159" s="14">
        <f t="shared" si="2"/>
        <v>-7.1959999999999997</v>
      </c>
      <c r="I159" s="23"/>
      <c r="J159" s="7"/>
      <c r="K159" s="7"/>
      <c r="L159" s="24"/>
      <c r="M159" s="3" t="s">
        <v>327</v>
      </c>
    </row>
    <row r="160" spans="1:28" s="62" customFormat="1">
      <c r="A160" s="81" t="s">
        <v>328</v>
      </c>
      <c r="B160" s="120">
        <v>-3.5030000000000001</v>
      </c>
      <c r="C160" s="71"/>
      <c r="D160" s="12">
        <v>0.49644864464459931</v>
      </c>
      <c r="E160" s="10">
        <v>4</v>
      </c>
      <c r="F160" s="10">
        <v>304.5</v>
      </c>
      <c r="G160" s="1">
        <v>2.69</v>
      </c>
      <c r="H160" s="14">
        <f t="shared" si="2"/>
        <v>-4.9849999999999994</v>
      </c>
      <c r="I160" s="35"/>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43" t="s">
        <v>599</v>
      </c>
      <c r="B194" s="44"/>
      <c r="C194" s="44"/>
      <c r="D194" s="44"/>
      <c r="E194" s="44"/>
      <c r="F194" s="44"/>
      <c r="G194" s="44"/>
      <c r="H194" s="44"/>
      <c r="I194" s="44"/>
      <c r="J194" s="44"/>
      <c r="K194" s="44"/>
      <c r="L194" s="44"/>
      <c r="M194" s="48"/>
      <c r="N194" s="44"/>
      <c r="O194" s="44"/>
      <c r="P194" s="44"/>
      <c r="Q194" s="45"/>
    </row>
  </sheetData>
  <pageMargins left="0" right="0" top="0" bottom="0" header="0.3" footer="0.3"/>
  <pageSetup scale="54"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7CBB8B-7C5A-4D47-B82E-6267C29EF0F1}">
  <dimension ref="A1:AB194"/>
  <sheetViews>
    <sheetView workbookViewId="0">
      <selection activeCell="B4" sqref="B4:B9"/>
    </sheetView>
  </sheetViews>
  <sheetFormatPr baseColWidth="10" defaultColWidth="9.1640625" defaultRowHeight="15"/>
  <cols>
    <col min="1" max="1" width="18.83203125" customWidth="1"/>
    <col min="2" max="3" width="11.33203125" customWidth="1"/>
    <col min="4" max="4" width="7.6640625" customWidth="1"/>
    <col min="5" max="5" width="7.83203125" customWidth="1"/>
    <col min="6" max="6" width="10.1640625" customWidth="1"/>
    <col min="7" max="7" width="11.5" customWidth="1"/>
    <col min="9" max="9" width="13.1640625" customWidth="1"/>
    <col min="10" max="10" width="9.83203125" customWidth="1"/>
    <col min="11" max="11" width="15.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118"/>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t="s">
        <v>32</v>
      </c>
      <c r="C14" t="s">
        <v>11</v>
      </c>
    </row>
    <row r="15" spans="1:25" s="90" customFormat="1">
      <c r="A15" s="89" t="s">
        <v>12</v>
      </c>
    </row>
    <row r="16" spans="1:25">
      <c r="B16" s="117"/>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s="120">
        <v>-2.286</v>
      </c>
      <c r="C23" s="73" t="s">
        <v>30</v>
      </c>
      <c r="D23" s="12">
        <v>0.17592262140645501</v>
      </c>
      <c r="E23" s="10">
        <v>11</v>
      </c>
      <c r="F23" s="10">
        <v>258.5</v>
      </c>
      <c r="G23" s="6">
        <v>-0.86</v>
      </c>
      <c r="H23" s="14">
        <f t="shared" ref="H23:H86" si="0">0.5-G23-0.01*(F23-25)</f>
        <v>-0.97500000000000009</v>
      </c>
      <c r="I23" s="53" t="s">
        <v>31</v>
      </c>
      <c r="J23" s="54"/>
      <c r="K23" s="14"/>
      <c r="L23" s="14"/>
      <c r="M23" s="11" t="s">
        <v>33</v>
      </c>
    </row>
    <row r="24" spans="1:28">
      <c r="A24" s="82" t="s">
        <v>35</v>
      </c>
      <c r="B24" s="120">
        <v>-2.8780000000000001</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s="120">
        <v>-3.948</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s="120">
        <v>-3.746</v>
      </c>
      <c r="C26" s="73" t="s">
        <v>46</v>
      </c>
      <c r="D26" s="12">
        <v>0.16999222507469616</v>
      </c>
      <c r="E26" s="10">
        <v>3</v>
      </c>
      <c r="F26" s="10">
        <v>234</v>
      </c>
      <c r="G26" s="6">
        <v>3.19</v>
      </c>
      <c r="H26" s="14">
        <f t="shared" si="0"/>
        <v>-4.7799999999999994</v>
      </c>
      <c r="I26" s="15" t="s">
        <v>47</v>
      </c>
      <c r="J26" s="29"/>
      <c r="K26" s="14"/>
      <c r="L26" s="14"/>
      <c r="M26" s="11" t="s">
        <v>48</v>
      </c>
    </row>
    <row r="27" spans="1:28">
      <c r="A27" s="82" t="s">
        <v>50</v>
      </c>
      <c r="B27" s="120">
        <v>-6.0986599999999997</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s="120">
        <v>-6.4127999999999998</v>
      </c>
      <c r="C28" s="71"/>
      <c r="D28" s="12">
        <v>0.18412396392404196</v>
      </c>
      <c r="E28" s="10">
        <v>3</v>
      </c>
      <c r="F28" s="10">
        <v>224.00000000000003</v>
      </c>
      <c r="G28" s="6">
        <v>5.51</v>
      </c>
      <c r="H28" s="14">
        <f t="shared" si="0"/>
        <v>-7</v>
      </c>
      <c r="I28" s="15" t="s">
        <v>56</v>
      </c>
      <c r="J28" s="29"/>
      <c r="K28" s="14"/>
      <c r="L28" s="14"/>
      <c r="M28" s="11" t="s">
        <v>57</v>
      </c>
    </row>
    <row r="29" spans="1:28">
      <c r="A29" s="81" t="s">
        <v>59</v>
      </c>
      <c r="B29" s="120">
        <v>-4.8949999999999996</v>
      </c>
      <c r="C29" s="71"/>
      <c r="D29" s="12">
        <v>0.14933733874523175</v>
      </c>
      <c r="E29" s="10">
        <v>6</v>
      </c>
      <c r="F29" s="10">
        <v>172.5</v>
      </c>
      <c r="G29" s="6">
        <v>1.78</v>
      </c>
      <c r="H29" s="14">
        <f t="shared" si="0"/>
        <v>-2.7549999999999999</v>
      </c>
      <c r="I29" s="15" t="s">
        <v>60</v>
      </c>
      <c r="J29" s="31"/>
      <c r="K29" s="14"/>
      <c r="L29" s="14"/>
      <c r="M29" s="11" t="s">
        <v>61</v>
      </c>
    </row>
    <row r="30" spans="1:28">
      <c r="A30" s="81" t="s">
        <v>63</v>
      </c>
      <c r="B30" s="120">
        <v>-1.9800000000000004</v>
      </c>
      <c r="C30" s="71"/>
      <c r="D30" s="12">
        <v>0.14842266063120066</v>
      </c>
      <c r="E30" s="10">
        <v>4</v>
      </c>
      <c r="F30" s="10">
        <v>207.50000000000003</v>
      </c>
      <c r="G30" s="6">
        <v>1.86</v>
      </c>
      <c r="H30" s="14">
        <f t="shared" si="0"/>
        <v>-3.1850000000000005</v>
      </c>
      <c r="I30" s="30" t="s">
        <v>64</v>
      </c>
      <c r="J30" s="32" t="s">
        <v>420</v>
      </c>
      <c r="K30" s="33" t="s">
        <v>421</v>
      </c>
      <c r="L30" s="34"/>
      <c r="M30" s="11" t="s">
        <v>65</v>
      </c>
    </row>
    <row r="31" spans="1:28">
      <c r="A31" s="83" t="s">
        <v>66</v>
      </c>
      <c r="B31" s="120">
        <v>-2.887</v>
      </c>
      <c r="C31" s="71"/>
      <c r="D31" s="12">
        <v>0.1617973106900604</v>
      </c>
      <c r="E31" s="10">
        <v>10</v>
      </c>
      <c r="F31" s="10">
        <v>166.5</v>
      </c>
      <c r="G31" s="6">
        <v>0.79</v>
      </c>
      <c r="H31" s="14">
        <f t="shared" si="0"/>
        <v>-1.7050000000000001</v>
      </c>
      <c r="J31" s="14"/>
      <c r="K31" s="14"/>
      <c r="L31" s="14"/>
      <c r="M31" s="11" t="s">
        <v>67</v>
      </c>
    </row>
    <row r="32" spans="1:28">
      <c r="A32" s="82" t="s">
        <v>68</v>
      </c>
      <c r="B32" s="120">
        <v>-4.6150000000000002</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s="120">
        <v>-4.0609999999999999</v>
      </c>
      <c r="C33" s="72"/>
      <c r="D33" s="4">
        <v>0.12912520605069597</v>
      </c>
      <c r="E33" s="2">
        <v>3</v>
      </c>
      <c r="F33" s="13">
        <v>192.7</v>
      </c>
      <c r="G33" s="6">
        <v>2.63</v>
      </c>
      <c r="H33" s="14">
        <f t="shared" si="0"/>
        <v>-3.8069999999999995</v>
      </c>
      <c r="I33" s="20" t="s">
        <v>422</v>
      </c>
      <c r="J33" s="21"/>
      <c r="K33" s="21"/>
      <c r="L33" s="22"/>
      <c r="M33" s="11" t="s">
        <v>72</v>
      </c>
    </row>
    <row r="34" spans="1:13">
      <c r="A34" s="81" t="s">
        <v>74</v>
      </c>
      <c r="B34" s="120">
        <v>-6.7994000000000003</v>
      </c>
      <c r="C34" s="71"/>
      <c r="D34" s="12">
        <v>0.14911462098310888</v>
      </c>
      <c r="E34" s="10">
        <v>6</v>
      </c>
      <c r="F34" s="10">
        <v>167</v>
      </c>
      <c r="G34" s="6">
        <v>6.32</v>
      </c>
      <c r="H34" s="14">
        <f t="shared" si="0"/>
        <v>-7.24</v>
      </c>
      <c r="I34" s="23" t="s">
        <v>423</v>
      </c>
      <c r="J34" s="7"/>
      <c r="K34" s="7"/>
      <c r="L34" s="24"/>
      <c r="M34" s="11" t="s">
        <v>75</v>
      </c>
    </row>
    <row r="35" spans="1:13">
      <c r="A35" s="82" t="s">
        <v>77</v>
      </c>
      <c r="B35" s="120">
        <v>-2.306</v>
      </c>
      <c r="C35" s="71"/>
      <c r="D35" s="12">
        <v>0.15809078703524676</v>
      </c>
      <c r="E35" s="10">
        <v>15</v>
      </c>
      <c r="F35" s="10">
        <v>191.5</v>
      </c>
      <c r="G35" s="6">
        <v>3.39</v>
      </c>
      <c r="H35" s="14">
        <f t="shared" si="0"/>
        <v>-4.5549999999999997</v>
      </c>
      <c r="I35" s="23" t="s">
        <v>424</v>
      </c>
      <c r="J35" s="7"/>
      <c r="K35" s="7"/>
      <c r="L35" s="24"/>
      <c r="M35" s="11" t="s">
        <v>78</v>
      </c>
    </row>
    <row r="36" spans="1:13">
      <c r="A36" s="83" t="s">
        <v>80</v>
      </c>
      <c r="B36" s="120">
        <v>-4.74</v>
      </c>
      <c r="C36" s="71"/>
      <c r="D36" s="12">
        <v>0.1911503089068218</v>
      </c>
      <c r="E36" s="10">
        <v>3</v>
      </c>
      <c r="F36" s="10">
        <v>246.2</v>
      </c>
      <c r="G36" s="6">
        <v>3.32</v>
      </c>
      <c r="H36" s="14">
        <f t="shared" si="0"/>
        <v>-5.032</v>
      </c>
      <c r="I36" s="23" t="s">
        <v>425</v>
      </c>
      <c r="J36" s="7"/>
      <c r="K36" s="7"/>
      <c r="L36" s="24"/>
      <c r="M36" s="11" t="s">
        <v>81</v>
      </c>
    </row>
    <row r="37" spans="1:13">
      <c r="A37" s="83" t="s">
        <v>73</v>
      </c>
      <c r="B37" s="120">
        <v>-4.0120000000000005</v>
      </c>
      <c r="C37" s="71"/>
      <c r="D37" s="12">
        <v>0.19050575600734274</v>
      </c>
      <c r="E37" s="10">
        <v>4</v>
      </c>
      <c r="F37" s="10">
        <v>304</v>
      </c>
      <c r="G37" s="6">
        <v>1.74</v>
      </c>
      <c r="H37" s="14">
        <f t="shared" si="0"/>
        <v>-4.03</v>
      </c>
      <c r="I37" s="25"/>
      <c r="J37" s="7"/>
      <c r="K37" s="7"/>
      <c r="L37" s="24"/>
      <c r="M37" s="11" t="s">
        <v>83</v>
      </c>
    </row>
    <row r="38" spans="1:13">
      <c r="A38" s="81" t="s">
        <v>76</v>
      </c>
      <c r="B38" s="120">
        <v>-3.4860000000000002</v>
      </c>
      <c r="C38" s="71"/>
      <c r="D38" s="12">
        <v>0.13682393527498057</v>
      </c>
      <c r="E38" s="10">
        <v>7</v>
      </c>
      <c r="F38" s="10">
        <v>187</v>
      </c>
      <c r="G38" s="6">
        <v>-0.87</v>
      </c>
      <c r="H38" s="14">
        <f t="shared" si="0"/>
        <v>-0.25</v>
      </c>
      <c r="I38" s="25" t="s">
        <v>426</v>
      </c>
      <c r="J38" s="7"/>
      <c r="K38" s="7"/>
      <c r="L38" s="24"/>
      <c r="M38" s="66" t="s">
        <v>85</v>
      </c>
    </row>
    <row r="39" spans="1:13">
      <c r="A39" s="81" t="s">
        <v>87</v>
      </c>
      <c r="B39" s="120">
        <v>-3.2280000000000002</v>
      </c>
      <c r="C39" s="71"/>
      <c r="D39" s="12">
        <v>0.20462356367492032</v>
      </c>
      <c r="E39" s="10">
        <v>4</v>
      </c>
      <c r="F39" s="10">
        <v>221.5</v>
      </c>
      <c r="G39" s="6">
        <v>0.71</v>
      </c>
      <c r="H39" s="14">
        <f t="shared" si="0"/>
        <v>-2.1749999999999998</v>
      </c>
      <c r="I39" s="25" t="s">
        <v>427</v>
      </c>
      <c r="J39" s="7"/>
      <c r="K39" s="7"/>
      <c r="L39" s="24"/>
      <c r="M39" s="11" t="s">
        <v>88</v>
      </c>
    </row>
    <row r="40" spans="1:13">
      <c r="A40" s="81" t="s">
        <v>90</v>
      </c>
      <c r="B40" s="120">
        <v>-5.1699000000000002</v>
      </c>
      <c r="C40" s="71"/>
      <c r="D40" s="12">
        <v>0.18274602564465547</v>
      </c>
      <c r="E40" s="10">
        <v>6</v>
      </c>
      <c r="F40" s="10">
        <v>157.83333333333334</v>
      </c>
      <c r="G40" s="6">
        <v>3.51</v>
      </c>
      <c r="H40" s="14">
        <f t="shared" si="0"/>
        <v>-4.3383333333333329</v>
      </c>
      <c r="I40" s="25"/>
      <c r="J40" s="39"/>
      <c r="K40" s="39"/>
      <c r="L40" s="40"/>
      <c r="M40" s="11" t="s">
        <v>91</v>
      </c>
    </row>
    <row r="41" spans="1:13">
      <c r="A41" s="84" t="s">
        <v>93</v>
      </c>
      <c r="B41" s="120">
        <v>-3.1419999999999999</v>
      </c>
      <c r="C41" s="72"/>
      <c r="D41" s="4">
        <v>0.12610247911779729</v>
      </c>
      <c r="E41" s="2">
        <v>8</v>
      </c>
      <c r="F41" s="10">
        <v>140</v>
      </c>
      <c r="G41" s="6">
        <v>0.35</v>
      </c>
      <c r="H41" s="14">
        <f t="shared" si="0"/>
        <v>-1</v>
      </c>
      <c r="I41" s="25"/>
      <c r="J41" s="39"/>
      <c r="K41" s="39"/>
      <c r="L41" s="40"/>
      <c r="M41" s="11" t="s">
        <v>94</v>
      </c>
    </row>
    <row r="42" spans="1:13">
      <c r="A42" s="82" t="s">
        <v>96</v>
      </c>
      <c r="B42" s="120">
        <v>-2.5680000000000001</v>
      </c>
      <c r="C42" s="71"/>
      <c r="D42" s="12">
        <v>0.14493441954543959</v>
      </c>
      <c r="E42" s="10">
        <v>7</v>
      </c>
      <c r="F42" s="10">
        <v>127.93333333333334</v>
      </c>
      <c r="G42" s="6">
        <v>1.74</v>
      </c>
      <c r="H42" s="14">
        <f t="shared" si="0"/>
        <v>-2.2693333333333334</v>
      </c>
      <c r="I42" s="25"/>
      <c r="J42" s="39"/>
      <c r="K42" s="39"/>
      <c r="L42" s="40"/>
      <c r="M42" s="11" t="s">
        <v>97</v>
      </c>
    </row>
    <row r="43" spans="1:13">
      <c r="A43" s="82" t="s">
        <v>79</v>
      </c>
      <c r="B43" s="120">
        <v>-5.2138999999999998</v>
      </c>
      <c r="C43" s="71"/>
      <c r="D43" s="12">
        <v>0.14861388626870758</v>
      </c>
      <c r="E43" s="10">
        <v>7</v>
      </c>
      <c r="F43" s="10">
        <v>176</v>
      </c>
      <c r="G43" s="6">
        <v>4.4800000000000004</v>
      </c>
      <c r="H43" s="14">
        <f t="shared" si="0"/>
        <v>-5.49</v>
      </c>
      <c r="I43" s="25"/>
      <c r="J43" s="39"/>
      <c r="K43" s="39"/>
      <c r="L43" s="40"/>
      <c r="M43" s="11" t="s">
        <v>99</v>
      </c>
    </row>
    <row r="44" spans="1:13">
      <c r="A44" s="85" t="s">
        <v>101</v>
      </c>
      <c r="B44" s="120">
        <v>-5.4065000000000003</v>
      </c>
      <c r="C44" s="72"/>
      <c r="D44" s="4">
        <v>0.1280711495400205</v>
      </c>
      <c r="E44" s="2">
        <v>3</v>
      </c>
      <c r="F44" s="10">
        <v>159.69999999999999</v>
      </c>
      <c r="G44" s="6">
        <v>3.46</v>
      </c>
      <c r="H44" s="14">
        <f t="shared" si="0"/>
        <v>-4.3070000000000004</v>
      </c>
      <c r="I44" s="25"/>
      <c r="J44" s="39"/>
      <c r="K44" s="39"/>
      <c r="L44" s="40"/>
      <c r="M44" s="11" t="s">
        <v>102</v>
      </c>
    </row>
    <row r="45" spans="1:13">
      <c r="A45" s="84" t="s">
        <v>104</v>
      </c>
      <c r="B45" s="120">
        <v>-2.0859999999999999</v>
      </c>
      <c r="C45" s="72"/>
      <c r="D45" s="4">
        <v>0.21683500301481054</v>
      </c>
      <c r="E45" s="2">
        <v>8</v>
      </c>
      <c r="F45" s="10">
        <v>142</v>
      </c>
      <c r="G45" s="6">
        <v>0.6</v>
      </c>
      <c r="H45" s="14">
        <f t="shared" si="0"/>
        <v>-1.27</v>
      </c>
      <c r="I45" s="25"/>
      <c r="J45" s="39"/>
      <c r="K45" s="39"/>
      <c r="L45" s="40"/>
      <c r="M45" s="11" t="s">
        <v>105</v>
      </c>
    </row>
    <row r="46" spans="1:13">
      <c r="A46" s="82" t="s">
        <v>107</v>
      </c>
      <c r="B46" s="120">
        <v>-3.633</v>
      </c>
      <c r="C46" s="71"/>
      <c r="D46" s="12">
        <v>0.18255878892749886</v>
      </c>
      <c r="E46" s="10">
        <v>20</v>
      </c>
      <c r="F46" s="10">
        <v>267</v>
      </c>
      <c r="G46" s="6">
        <v>1.58</v>
      </c>
      <c r="H46" s="14">
        <f t="shared" si="0"/>
        <v>-3.5</v>
      </c>
      <c r="I46" s="25"/>
      <c r="J46" s="39"/>
      <c r="K46" s="39"/>
      <c r="L46" s="40"/>
      <c r="M46" s="11" t="s">
        <v>108</v>
      </c>
    </row>
    <row r="47" spans="1:13">
      <c r="A47" s="81" t="s">
        <v>110</v>
      </c>
      <c r="B47" s="120">
        <v>-4.5389999999999997</v>
      </c>
      <c r="C47" s="71"/>
      <c r="D47" s="12">
        <v>0.16704647063532602</v>
      </c>
      <c r="E47" s="10">
        <v>6</v>
      </c>
      <c r="F47" s="10">
        <v>110.00000000000001</v>
      </c>
      <c r="G47" s="6">
        <v>3.36</v>
      </c>
      <c r="H47" s="14">
        <f t="shared" si="0"/>
        <v>-3.71</v>
      </c>
      <c r="I47" s="25"/>
      <c r="J47" s="39"/>
      <c r="K47" s="39"/>
      <c r="L47" s="40"/>
      <c r="M47" s="11" t="s">
        <v>111</v>
      </c>
    </row>
    <row r="48" spans="1:13">
      <c r="A48" s="82" t="s">
        <v>82</v>
      </c>
      <c r="B48" s="120">
        <v>-4.0220000000000002</v>
      </c>
      <c r="C48" s="71"/>
      <c r="D48" s="12">
        <v>0.17164501312359953</v>
      </c>
      <c r="E48" s="10">
        <v>7</v>
      </c>
      <c r="F48" s="10">
        <v>182</v>
      </c>
      <c r="G48" s="6">
        <v>2.67</v>
      </c>
      <c r="H48" s="14">
        <f t="shared" si="0"/>
        <v>-3.74</v>
      </c>
      <c r="I48" s="25"/>
      <c r="J48" s="39"/>
      <c r="K48" s="39"/>
      <c r="L48" s="40"/>
      <c r="M48" s="11" t="s">
        <v>113</v>
      </c>
    </row>
    <row r="49" spans="1:13">
      <c r="A49" s="84" t="s">
        <v>115</v>
      </c>
      <c r="B49" s="120">
        <v>-5.0556999999999999</v>
      </c>
      <c r="C49" s="72"/>
      <c r="D49" s="4">
        <v>0.12558353028546052</v>
      </c>
      <c r="E49" s="2">
        <v>4</v>
      </c>
      <c r="F49" s="10">
        <v>222.00000000000003</v>
      </c>
      <c r="G49" s="6">
        <v>2.56</v>
      </c>
      <c r="H49" s="14">
        <f t="shared" si="0"/>
        <v>-4.03</v>
      </c>
      <c r="I49" s="25"/>
      <c r="J49" s="39"/>
      <c r="K49" s="39"/>
      <c r="L49" s="40"/>
      <c r="M49" s="11" t="s">
        <v>116</v>
      </c>
    </row>
    <row r="50" spans="1:13">
      <c r="A50" s="82" t="s">
        <v>118</v>
      </c>
      <c r="B50" s="120">
        <v>-3.653</v>
      </c>
      <c r="C50" s="71"/>
      <c r="D50" s="12">
        <v>0.1568133990664792</v>
      </c>
      <c r="E50" s="10">
        <v>6</v>
      </c>
      <c r="F50" s="10">
        <v>151</v>
      </c>
      <c r="G50" s="6">
        <v>3.27</v>
      </c>
      <c r="H50" s="14">
        <f t="shared" si="0"/>
        <v>-4.03</v>
      </c>
      <c r="I50" s="25"/>
      <c r="J50" s="39"/>
      <c r="K50" s="39"/>
      <c r="L50" s="40"/>
      <c r="M50" s="11" t="s">
        <v>119</v>
      </c>
    </row>
    <row r="51" spans="1:13">
      <c r="A51" s="85" t="s">
        <v>84</v>
      </c>
      <c r="B51" s="120">
        <v>-4.5750000000000002</v>
      </c>
      <c r="C51" s="72"/>
      <c r="D51" s="4">
        <v>0.12789394574374285</v>
      </c>
      <c r="E51" s="2">
        <v>5</v>
      </c>
      <c r="F51" s="10">
        <v>330</v>
      </c>
      <c r="G51" s="6">
        <v>2.87</v>
      </c>
      <c r="H51" s="14">
        <f t="shared" si="0"/>
        <v>-5.42</v>
      </c>
      <c r="I51" s="25"/>
      <c r="J51" s="39"/>
      <c r="K51" s="39"/>
      <c r="L51" s="40"/>
      <c r="M51" s="11" t="s">
        <v>120</v>
      </c>
    </row>
    <row r="52" spans="1:13">
      <c r="A52" s="82" t="s">
        <v>121</v>
      </c>
      <c r="B52" s="120">
        <v>-4.4550000000000001</v>
      </c>
      <c r="C52" s="71"/>
      <c r="D52" s="12">
        <v>0.18012800124370357</v>
      </c>
      <c r="E52" s="10">
        <v>3</v>
      </c>
      <c r="F52" s="10">
        <v>100</v>
      </c>
      <c r="G52" s="6">
        <v>3.53</v>
      </c>
      <c r="H52" s="14">
        <f t="shared" si="0"/>
        <v>-3.78</v>
      </c>
      <c r="I52" s="23"/>
      <c r="J52" s="7"/>
      <c r="K52" s="7"/>
      <c r="L52" s="24"/>
      <c r="M52" s="11" t="s">
        <v>122</v>
      </c>
    </row>
    <row r="53" spans="1:13">
      <c r="A53" s="81" t="s">
        <v>123</v>
      </c>
      <c r="B53" s="120">
        <v>-3.794</v>
      </c>
      <c r="C53" s="71"/>
      <c r="D53" s="12">
        <v>0.18062104750721683</v>
      </c>
      <c r="E53" s="10">
        <v>16</v>
      </c>
      <c r="F53" s="10">
        <v>262.5</v>
      </c>
      <c r="G53" s="6">
        <v>1.9</v>
      </c>
      <c r="H53" s="14">
        <f t="shared" si="0"/>
        <v>-3.7749999999999999</v>
      </c>
      <c r="I53" s="23"/>
      <c r="J53" s="7"/>
      <c r="K53" s="7"/>
      <c r="L53" s="24"/>
      <c r="M53" s="11" t="s">
        <v>124</v>
      </c>
    </row>
    <row r="54" spans="1:13">
      <c r="A54" s="84" t="s">
        <v>125</v>
      </c>
      <c r="B54" s="120">
        <v>-4.17</v>
      </c>
      <c r="C54" s="72"/>
      <c r="D54" s="4">
        <v>0.22156244268660033</v>
      </c>
      <c r="E54" s="2">
        <v>4</v>
      </c>
      <c r="F54" s="10">
        <v>328.85</v>
      </c>
      <c r="G54" s="6">
        <v>1.87</v>
      </c>
      <c r="H54" s="14">
        <f t="shared" si="0"/>
        <v>-4.4085000000000001</v>
      </c>
      <c r="I54" s="23"/>
      <c r="J54" s="7"/>
      <c r="K54" s="7"/>
      <c r="L54" s="24"/>
      <c r="M54" s="11" t="s">
        <v>126</v>
      </c>
    </row>
    <row r="55" spans="1:13">
      <c r="A55" s="82" t="s">
        <v>127</v>
      </c>
      <c r="B55" s="120">
        <v>-5.5707000000000004</v>
      </c>
      <c r="C55" s="71"/>
      <c r="D55" s="12">
        <v>0.18450811780713378</v>
      </c>
      <c r="E55" s="10">
        <v>33</v>
      </c>
      <c r="F55" s="10">
        <v>167.5</v>
      </c>
      <c r="G55" s="6">
        <v>4.3600000000000003</v>
      </c>
      <c r="H55" s="14">
        <f t="shared" si="0"/>
        <v>-5.2850000000000001</v>
      </c>
      <c r="I55" s="23"/>
      <c r="J55" s="7"/>
      <c r="K55" s="7"/>
      <c r="L55" s="24"/>
      <c r="M55" s="11" t="s">
        <v>128</v>
      </c>
    </row>
    <row r="56" spans="1:13">
      <c r="A56" s="82" t="s">
        <v>86</v>
      </c>
      <c r="B56" s="120">
        <v>-4.9710000000000001</v>
      </c>
      <c r="C56" s="71"/>
      <c r="D56" s="12">
        <v>0.15609203233531485</v>
      </c>
      <c r="E56" s="10">
        <v>3</v>
      </c>
      <c r="F56" s="10">
        <v>223</v>
      </c>
      <c r="G56" s="6">
        <v>2.99</v>
      </c>
      <c r="H56" s="14">
        <f t="shared" si="0"/>
        <v>-4.4700000000000006</v>
      </c>
      <c r="I56" s="23"/>
      <c r="J56" s="7"/>
      <c r="K56" s="7"/>
      <c r="L56" s="24"/>
      <c r="M56" s="11" t="s">
        <v>129</v>
      </c>
    </row>
    <row r="57" spans="1:13">
      <c r="A57" s="82" t="s">
        <v>89</v>
      </c>
      <c r="B57" s="120">
        <v>-4.3759999999999994</v>
      </c>
      <c r="C57" s="71"/>
      <c r="D57" s="12">
        <v>0.20872343532408041</v>
      </c>
      <c r="E57" s="10">
        <v>3</v>
      </c>
      <c r="F57" s="10">
        <v>210.5</v>
      </c>
      <c r="G57" s="6">
        <v>2.72</v>
      </c>
      <c r="H57" s="14">
        <f t="shared" si="0"/>
        <v>-4.0750000000000002</v>
      </c>
      <c r="I57" s="26"/>
      <c r="J57" s="27"/>
      <c r="K57" s="27"/>
      <c r="L57" s="28"/>
      <c r="M57" s="11" t="s">
        <v>130</v>
      </c>
    </row>
    <row r="58" spans="1:13">
      <c r="A58" s="84" t="s">
        <v>131</v>
      </c>
      <c r="B58" s="120">
        <v>-4.6129999999999995</v>
      </c>
      <c r="C58" s="72"/>
      <c r="D58" s="4">
        <v>0.1297319013416561</v>
      </c>
      <c r="E58" s="2">
        <v>3</v>
      </c>
      <c r="F58" s="10">
        <v>209.75</v>
      </c>
      <c r="G58" s="6">
        <v>3.37</v>
      </c>
      <c r="H58" s="14">
        <f t="shared" si="0"/>
        <v>-4.7175000000000002</v>
      </c>
      <c r="J58" s="14"/>
      <c r="K58" s="14"/>
      <c r="L58" s="14"/>
      <c r="M58" s="11" t="s">
        <v>132</v>
      </c>
    </row>
    <row r="59" spans="1:13">
      <c r="A59" s="81" t="s">
        <v>92</v>
      </c>
      <c r="B59" s="120">
        <v>-4.4640000000000004</v>
      </c>
      <c r="C59" s="71"/>
      <c r="D59" s="12">
        <v>0.14124198841117766</v>
      </c>
      <c r="E59" s="10">
        <v>3</v>
      </c>
      <c r="F59" s="10">
        <v>53.5</v>
      </c>
      <c r="G59" s="6">
        <v>3.43</v>
      </c>
      <c r="H59" s="14">
        <f t="shared" si="0"/>
        <v>-3.2150000000000003</v>
      </c>
      <c r="I59" s="70" t="s">
        <v>133</v>
      </c>
      <c r="J59" s="75">
        <v>704</v>
      </c>
      <c r="K59" s="34"/>
      <c r="L59" s="14"/>
      <c r="M59" s="11" t="s">
        <v>134</v>
      </c>
    </row>
    <row r="60" spans="1:13">
      <c r="A60" s="81" t="s">
        <v>135</v>
      </c>
      <c r="B60" s="120">
        <v>-1.3540000000000001</v>
      </c>
      <c r="C60" s="71"/>
      <c r="D60" s="12">
        <v>0.17069281866408892</v>
      </c>
      <c r="E60" s="10">
        <v>6</v>
      </c>
      <c r="F60" s="10">
        <v>270</v>
      </c>
      <c r="G60" s="6">
        <v>0.05</v>
      </c>
      <c r="H60" s="14">
        <f t="shared" si="0"/>
        <v>-2</v>
      </c>
      <c r="I60" s="70" t="s">
        <v>136</v>
      </c>
      <c r="J60" s="75">
        <v>174</v>
      </c>
      <c r="K60" s="34"/>
      <c r="L60" s="14"/>
      <c r="M60" s="11" t="s">
        <v>137</v>
      </c>
    </row>
    <row r="61" spans="1:13">
      <c r="A61" s="82" t="s">
        <v>138</v>
      </c>
      <c r="B61" s="120">
        <v>-3.1339999999999999</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s="120">
        <v>-5.2164999999999999</v>
      </c>
      <c r="C62" s="71"/>
      <c r="D62" s="12">
        <v>0.18021422622763517</v>
      </c>
      <c r="E62" s="10">
        <v>5</v>
      </c>
      <c r="F62" s="10">
        <v>214.5</v>
      </c>
      <c r="G62" s="6">
        <v>3.61</v>
      </c>
      <c r="H62" s="14">
        <f t="shared" si="0"/>
        <v>-5.0049999999999999</v>
      </c>
      <c r="I62" s="14"/>
      <c r="J62" s="14"/>
      <c r="K62" s="14"/>
      <c r="L62" s="14"/>
      <c r="M62" s="11" t="s">
        <v>142</v>
      </c>
    </row>
    <row r="63" spans="1:13">
      <c r="A63" s="82" t="s">
        <v>143</v>
      </c>
      <c r="B63" s="120">
        <v>-5.2310999999999996</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s="120">
        <v>-3.827</v>
      </c>
      <c r="C64" s="71"/>
      <c r="D64" s="12">
        <v>0.17</v>
      </c>
      <c r="E64" s="10">
        <v>3</v>
      </c>
      <c r="F64" s="10">
        <v>189</v>
      </c>
      <c r="G64" s="6">
        <v>1.34</v>
      </c>
      <c r="H64" s="14">
        <f t="shared" si="0"/>
        <v>-2.4800000000000004</v>
      </c>
      <c r="I64" s="144" t="s">
        <v>428</v>
      </c>
      <c r="J64" s="145" t="s">
        <v>600</v>
      </c>
      <c r="K64" s="21"/>
      <c r="L64" s="22"/>
      <c r="M64" s="11" t="s">
        <v>148</v>
      </c>
    </row>
    <row r="65" spans="1:13">
      <c r="A65" s="82" t="s">
        <v>149</v>
      </c>
      <c r="B65" s="120">
        <v>-4.7050000000000001</v>
      </c>
      <c r="C65" s="71"/>
      <c r="D65" s="12">
        <v>0.19794493160510693</v>
      </c>
      <c r="E65" s="10">
        <v>4</v>
      </c>
      <c r="F65" s="10">
        <v>243.5</v>
      </c>
      <c r="G65" s="6">
        <v>1.34</v>
      </c>
      <c r="H65" s="14">
        <f t="shared" si="0"/>
        <v>-3.0250000000000004</v>
      </c>
      <c r="I65" s="23" t="s">
        <v>430</v>
      </c>
      <c r="J65" s="7" t="s">
        <v>431</v>
      </c>
      <c r="K65" s="7" t="s">
        <v>432</v>
      </c>
      <c r="L65" s="24" t="s">
        <v>437</v>
      </c>
      <c r="M65" s="11" t="s">
        <v>151</v>
      </c>
    </row>
    <row r="66" spans="1:13">
      <c r="A66" s="81" t="s">
        <v>95</v>
      </c>
      <c r="B66" s="120">
        <v>-3.1589999999999998</v>
      </c>
      <c r="C66" s="71"/>
      <c r="D66" s="12">
        <v>0.21056099074293383</v>
      </c>
      <c r="E66" s="10">
        <v>3</v>
      </c>
      <c r="F66" s="10">
        <v>36.5</v>
      </c>
      <c r="G66" s="6">
        <v>2.74</v>
      </c>
      <c r="H66" s="14">
        <f t="shared" si="0"/>
        <v>-2.3550000000000004</v>
      </c>
      <c r="I66" s="23" t="s">
        <v>434</v>
      </c>
      <c r="J66" s="7" t="s">
        <v>435</v>
      </c>
      <c r="K66" s="7" t="s">
        <v>436</v>
      </c>
      <c r="L66" s="24" t="s">
        <v>441</v>
      </c>
      <c r="M66" s="11" t="s">
        <v>152</v>
      </c>
    </row>
    <row r="67" spans="1:13">
      <c r="A67" s="83" t="s">
        <v>153</v>
      </c>
      <c r="B67" s="120">
        <v>-4.6559999999999997</v>
      </c>
      <c r="C67" s="71"/>
      <c r="D67" s="12">
        <v>0.21092434073951916</v>
      </c>
      <c r="E67" s="10">
        <v>10</v>
      </c>
      <c r="F67" s="10">
        <v>186</v>
      </c>
      <c r="G67" s="6">
        <v>3.4</v>
      </c>
      <c r="H67" s="14">
        <f t="shared" si="0"/>
        <v>-4.51</v>
      </c>
      <c r="I67" s="23" t="s">
        <v>438</v>
      </c>
      <c r="J67" s="7" t="s">
        <v>439</v>
      </c>
      <c r="K67" s="7" t="s">
        <v>440</v>
      </c>
      <c r="L67" s="24" t="s">
        <v>445</v>
      </c>
      <c r="M67" s="11" t="s">
        <v>154</v>
      </c>
    </row>
    <row r="68" spans="1:13">
      <c r="A68" s="81" t="s">
        <v>98</v>
      </c>
      <c r="B68" s="120">
        <v>-4.8049999999999997</v>
      </c>
      <c r="C68" s="71"/>
      <c r="D68" s="12">
        <v>0.18695478693957188</v>
      </c>
      <c r="E68" s="10">
        <v>3</v>
      </c>
      <c r="F68" s="10">
        <v>252.99999999999997</v>
      </c>
      <c r="G68" s="6">
        <v>2.35</v>
      </c>
      <c r="H68" s="14">
        <f t="shared" si="0"/>
        <v>-4.13</v>
      </c>
      <c r="I68" s="23" t="s">
        <v>442</v>
      </c>
      <c r="J68" s="7" t="s">
        <v>443</v>
      </c>
      <c r="K68" s="7" t="s">
        <v>444</v>
      </c>
      <c r="L68" s="24" t="s">
        <v>449</v>
      </c>
      <c r="M68" s="11" t="s">
        <v>155</v>
      </c>
    </row>
    <row r="69" spans="1:13">
      <c r="A69" s="83" t="s">
        <v>156</v>
      </c>
      <c r="B69" s="120">
        <v>-4.883</v>
      </c>
      <c r="C69" s="71"/>
      <c r="D69" s="12">
        <v>0.20491085989689112</v>
      </c>
      <c r="E69" s="10">
        <v>23</v>
      </c>
      <c r="F69" s="10">
        <v>111.00000000000001</v>
      </c>
      <c r="G69" s="6">
        <v>3.68</v>
      </c>
      <c r="H69" s="14">
        <f t="shared" si="0"/>
        <v>-4.04</v>
      </c>
      <c r="I69" s="23" t="s">
        <v>446</v>
      </c>
      <c r="J69" s="7" t="s">
        <v>447</v>
      </c>
      <c r="K69" s="7" t="s">
        <v>448</v>
      </c>
      <c r="L69" s="24" t="s">
        <v>453</v>
      </c>
      <c r="M69" s="11" t="s">
        <v>157</v>
      </c>
    </row>
    <row r="70" spans="1:13">
      <c r="A70" s="81" t="s">
        <v>158</v>
      </c>
      <c r="B70" s="120">
        <v>-4.1619999999999999</v>
      </c>
      <c r="C70" s="71"/>
      <c r="D70" s="12">
        <v>0.15545016183846921</v>
      </c>
      <c r="E70" s="10">
        <v>6</v>
      </c>
      <c r="F70" s="10">
        <v>250</v>
      </c>
      <c r="G70" s="6">
        <v>-0.04</v>
      </c>
      <c r="H70" s="14">
        <f t="shared" si="0"/>
        <v>-1.71</v>
      </c>
      <c r="I70" s="23" t="s">
        <v>450</v>
      </c>
      <c r="J70" s="7" t="s">
        <v>451</v>
      </c>
      <c r="K70" s="7" t="s">
        <v>452</v>
      </c>
      <c r="L70" s="24" t="s">
        <v>457</v>
      </c>
      <c r="M70" s="11" t="s">
        <v>159</v>
      </c>
    </row>
    <row r="71" spans="1:13">
      <c r="A71" s="82" t="s">
        <v>160</v>
      </c>
      <c r="B71" s="120">
        <v>-2.0499999999999998</v>
      </c>
      <c r="C71" s="71"/>
      <c r="D71" s="12">
        <v>0.13261436390895148</v>
      </c>
      <c r="E71" s="10">
        <v>3</v>
      </c>
      <c r="F71" s="10">
        <v>250</v>
      </c>
      <c r="G71" s="6">
        <v>-1.97</v>
      </c>
      <c r="H71" s="14">
        <f t="shared" si="0"/>
        <v>0.21999999999999975</v>
      </c>
      <c r="I71" s="23" t="s">
        <v>454</v>
      </c>
      <c r="J71" s="7" t="s">
        <v>455</v>
      </c>
      <c r="K71" s="7" t="s">
        <v>456</v>
      </c>
      <c r="L71" s="24" t="s">
        <v>461</v>
      </c>
      <c r="M71" s="11" t="s">
        <v>161</v>
      </c>
    </row>
    <row r="72" spans="1:13">
      <c r="A72" s="82" t="s">
        <v>162</v>
      </c>
      <c r="B72" s="120">
        <v>-2.968</v>
      </c>
      <c r="C72" s="71"/>
      <c r="D72" s="12">
        <v>0.21159815676624968</v>
      </c>
      <c r="E72" s="10">
        <v>9</v>
      </c>
      <c r="F72" s="10">
        <v>208.5</v>
      </c>
      <c r="G72" s="6">
        <v>2.08</v>
      </c>
      <c r="H72" s="14">
        <f t="shared" si="0"/>
        <v>-3.415</v>
      </c>
      <c r="I72" s="23" t="s">
        <v>458</v>
      </c>
      <c r="J72" s="7" t="s">
        <v>459</v>
      </c>
      <c r="K72" s="7" t="s">
        <v>460</v>
      </c>
      <c r="L72" s="24" t="s">
        <v>465</v>
      </c>
      <c r="M72" s="11" t="s">
        <v>163</v>
      </c>
    </row>
    <row r="73" spans="1:13">
      <c r="A73" s="82" t="s">
        <v>164</v>
      </c>
      <c r="B73" s="120">
        <v>-4.54</v>
      </c>
      <c r="C73" s="71"/>
      <c r="D73" s="12">
        <v>0.1900151243705871</v>
      </c>
      <c r="E73" s="10">
        <v>15</v>
      </c>
      <c r="F73" s="10">
        <v>220.00000000000003</v>
      </c>
      <c r="G73" s="6">
        <v>2.69</v>
      </c>
      <c r="H73" s="14">
        <f t="shared" si="0"/>
        <v>-4.1400000000000006</v>
      </c>
      <c r="I73" s="23" t="s">
        <v>462</v>
      </c>
      <c r="J73" s="7" t="s">
        <v>463</v>
      </c>
      <c r="K73" s="7" t="s">
        <v>464</v>
      </c>
      <c r="L73" s="24" t="s">
        <v>469</v>
      </c>
      <c r="M73" s="11" t="s">
        <v>165</v>
      </c>
    </row>
    <row r="74" spans="1:13">
      <c r="A74" s="82" t="s">
        <v>166</v>
      </c>
      <c r="B74" s="120">
        <v>-5.0766</v>
      </c>
      <c r="C74" s="71"/>
      <c r="D74" s="12">
        <v>0.16978183023026608</v>
      </c>
      <c r="E74" s="10">
        <v>10</v>
      </c>
      <c r="F74" s="10">
        <v>151</v>
      </c>
      <c r="G74" s="6">
        <v>4.43</v>
      </c>
      <c r="H74" s="14">
        <f t="shared" si="0"/>
        <v>-5.1899999999999995</v>
      </c>
      <c r="I74" s="23" t="s">
        <v>466</v>
      </c>
      <c r="J74" s="7" t="s">
        <v>467</v>
      </c>
      <c r="K74" s="7" t="s">
        <v>468</v>
      </c>
      <c r="L74" s="24" t="s">
        <v>473</v>
      </c>
      <c r="M74" s="11" t="s">
        <v>167</v>
      </c>
    </row>
    <row r="75" spans="1:13">
      <c r="A75" s="83" t="s">
        <v>100</v>
      </c>
      <c r="B75" s="120">
        <v>-5.4634</v>
      </c>
      <c r="C75" s="71"/>
      <c r="D75" s="12">
        <v>0.19416214604145643</v>
      </c>
      <c r="E75" s="10">
        <v>7</v>
      </c>
      <c r="F75" s="10">
        <v>154.5</v>
      </c>
      <c r="G75" s="6">
        <v>4.22</v>
      </c>
      <c r="H75" s="14">
        <f t="shared" si="0"/>
        <v>-5.0149999999999997</v>
      </c>
      <c r="I75" s="23" t="s">
        <v>470</v>
      </c>
      <c r="J75" s="7" t="s">
        <v>471</v>
      </c>
      <c r="K75" s="7" t="s">
        <v>472</v>
      </c>
      <c r="L75" s="24" t="s">
        <v>477</v>
      </c>
      <c r="M75" s="11" t="s">
        <v>168</v>
      </c>
    </row>
    <row r="76" spans="1:13">
      <c r="A76" s="82" t="s">
        <v>169</v>
      </c>
      <c r="B76" s="120">
        <v>-4.2069999999999999</v>
      </c>
      <c r="C76" s="71"/>
      <c r="D76" s="12">
        <v>0.16048013551961601</v>
      </c>
      <c r="E76" s="10">
        <v>5</v>
      </c>
      <c r="F76" s="10">
        <v>167.75</v>
      </c>
      <c r="G76" s="6">
        <v>2.87</v>
      </c>
      <c r="H76" s="14">
        <f t="shared" si="0"/>
        <v>-3.7975000000000003</v>
      </c>
      <c r="I76" s="23" t="s">
        <v>474</v>
      </c>
      <c r="J76" s="7" t="s">
        <v>475</v>
      </c>
      <c r="K76" s="7" t="s">
        <v>476</v>
      </c>
      <c r="L76" s="24" t="s">
        <v>481</v>
      </c>
      <c r="M76" s="11" t="s">
        <v>170</v>
      </c>
    </row>
    <row r="77" spans="1:13">
      <c r="A77" s="84" t="s">
        <v>171</v>
      </c>
      <c r="B77" s="120">
        <v>-5.7805999999999997</v>
      </c>
      <c r="C77" s="72"/>
      <c r="D77" s="4">
        <v>0.22239504833634874</v>
      </c>
      <c r="E77" s="2">
        <v>21</v>
      </c>
      <c r="F77" s="10">
        <v>159</v>
      </c>
      <c r="G77" s="6">
        <v>3.93</v>
      </c>
      <c r="H77" s="14">
        <f t="shared" si="0"/>
        <v>-4.7700000000000005</v>
      </c>
      <c r="I77" s="23" t="s">
        <v>478</v>
      </c>
      <c r="J77" s="7" t="s">
        <v>479</v>
      </c>
      <c r="K77" s="7" t="s">
        <v>480</v>
      </c>
      <c r="L77" s="24" t="s">
        <v>485</v>
      </c>
      <c r="M77" s="11" t="s">
        <v>172</v>
      </c>
    </row>
    <row r="78" spans="1:13">
      <c r="A78" s="82" t="s">
        <v>173</v>
      </c>
      <c r="B78" s="120">
        <v>-4.3319999999999999</v>
      </c>
      <c r="C78" s="71"/>
      <c r="D78" s="12">
        <v>0.21209434799218393</v>
      </c>
      <c r="E78" s="10">
        <v>5</v>
      </c>
      <c r="F78" s="10">
        <v>213.49999999999997</v>
      </c>
      <c r="G78" s="6">
        <v>3.04</v>
      </c>
      <c r="H78" s="14">
        <f t="shared" si="0"/>
        <v>-4.4249999999999998</v>
      </c>
      <c r="I78" s="23" t="s">
        <v>482</v>
      </c>
      <c r="J78" s="7" t="s">
        <v>483</v>
      </c>
      <c r="K78" s="7" t="s">
        <v>484</v>
      </c>
      <c r="L78" s="24" t="s">
        <v>489</v>
      </c>
      <c r="M78" s="11" t="s">
        <v>174</v>
      </c>
    </row>
    <row r="79" spans="1:13">
      <c r="A79" s="82" t="s">
        <v>175</v>
      </c>
      <c r="B79" s="120">
        <v>-4.843</v>
      </c>
      <c r="C79" s="71"/>
      <c r="D79" s="12">
        <v>0.1407224156406931</v>
      </c>
      <c r="E79" s="10">
        <v>11</v>
      </c>
      <c r="F79" s="10">
        <v>146</v>
      </c>
      <c r="G79" s="6">
        <v>4.21</v>
      </c>
      <c r="H79" s="14">
        <f t="shared" si="0"/>
        <v>-4.92</v>
      </c>
      <c r="I79" s="23" t="s">
        <v>601</v>
      </c>
      <c r="J79" s="7" t="s">
        <v>487</v>
      </c>
      <c r="K79" s="7" t="s">
        <v>488</v>
      </c>
      <c r="L79" s="24" t="s">
        <v>493</v>
      </c>
      <c r="M79" s="11" t="s">
        <v>176</v>
      </c>
    </row>
    <row r="80" spans="1:13">
      <c r="A80" s="82" t="s">
        <v>177</v>
      </c>
      <c r="B80" s="120">
        <v>-4.8159999999999998</v>
      </c>
      <c r="C80" s="71"/>
      <c r="D80" s="12">
        <v>0.21748916450754371</v>
      </c>
      <c r="E80" s="10">
        <v>5</v>
      </c>
      <c r="F80" s="10">
        <v>92.333333333333329</v>
      </c>
      <c r="G80" s="6">
        <v>4.21</v>
      </c>
      <c r="H80" s="14">
        <f t="shared" si="0"/>
        <v>-4.3833333333333329</v>
      </c>
      <c r="I80" s="23" t="s">
        <v>486</v>
      </c>
      <c r="J80" s="7" t="s">
        <v>491</v>
      </c>
      <c r="K80" s="7" t="s">
        <v>492</v>
      </c>
      <c r="L80" s="24" t="s">
        <v>497</v>
      </c>
      <c r="M80" s="11" t="s">
        <v>178</v>
      </c>
    </row>
    <row r="81" spans="1:13">
      <c r="A81" s="81" t="s">
        <v>179</v>
      </c>
      <c r="B81" s="120">
        <v>-4.3090000000000002</v>
      </c>
      <c r="C81" s="71"/>
      <c r="D81" s="12">
        <v>0.20531013145176411</v>
      </c>
      <c r="E81" s="10">
        <v>8</v>
      </c>
      <c r="F81" s="10">
        <v>256</v>
      </c>
      <c r="G81" s="6">
        <v>2.71</v>
      </c>
      <c r="H81" s="14">
        <f t="shared" si="0"/>
        <v>-4.5199999999999996</v>
      </c>
      <c r="I81" s="23" t="s">
        <v>494</v>
      </c>
      <c r="J81" s="7" t="s">
        <v>495</v>
      </c>
      <c r="K81" s="7" t="s">
        <v>496</v>
      </c>
      <c r="L81" s="24" t="s">
        <v>501</v>
      </c>
      <c r="M81" s="11" t="s">
        <v>180</v>
      </c>
    </row>
    <row r="82" spans="1:13">
      <c r="A82" s="81" t="s">
        <v>181</v>
      </c>
      <c r="B82" s="120">
        <v>-5.0250000000000004</v>
      </c>
      <c r="C82" s="71"/>
      <c r="D82" s="12">
        <v>0.21176785142223761</v>
      </c>
      <c r="E82" s="10">
        <v>3</v>
      </c>
      <c r="F82" s="10">
        <v>80</v>
      </c>
      <c r="G82" s="6">
        <v>3.37</v>
      </c>
      <c r="H82" s="14">
        <f t="shared" si="0"/>
        <v>-3.42</v>
      </c>
      <c r="I82" s="23" t="s">
        <v>498</v>
      </c>
      <c r="J82" s="7" t="s">
        <v>499</v>
      </c>
      <c r="K82" s="7" t="s">
        <v>500</v>
      </c>
      <c r="L82" s="24"/>
      <c r="M82" s="11" t="s">
        <v>182</v>
      </c>
    </row>
    <row r="83" spans="1:13">
      <c r="A83" s="81" t="s">
        <v>183</v>
      </c>
      <c r="B83" s="120">
        <v>-4.141</v>
      </c>
      <c r="C83" s="71"/>
      <c r="D83" s="12">
        <v>0.16217657762412213</v>
      </c>
      <c r="E83" s="10">
        <v>17</v>
      </c>
      <c r="F83" s="10">
        <v>153</v>
      </c>
      <c r="G83" s="6">
        <v>3.04</v>
      </c>
      <c r="H83" s="14">
        <f t="shared" si="0"/>
        <v>-3.8200000000000003</v>
      </c>
      <c r="I83" s="23" t="s">
        <v>502</v>
      </c>
      <c r="J83" s="7" t="s">
        <v>503</v>
      </c>
      <c r="K83" s="7" t="s">
        <v>504</v>
      </c>
      <c r="L83" s="24"/>
      <c r="M83" s="11" t="s">
        <v>184</v>
      </c>
    </row>
    <row r="84" spans="1:13">
      <c r="A84" s="82" t="s">
        <v>185</v>
      </c>
      <c r="B84" s="120">
        <v>-5.3891</v>
      </c>
      <c r="C84" s="71"/>
      <c r="D84" s="12">
        <v>0.20448827496623867</v>
      </c>
      <c r="E84" s="10">
        <v>3</v>
      </c>
      <c r="F84" s="10">
        <v>349.84</v>
      </c>
      <c r="G84" s="6">
        <v>4.75</v>
      </c>
      <c r="H84" s="14">
        <f t="shared" si="0"/>
        <v>-7.4984000000000002</v>
      </c>
      <c r="I84" s="23" t="s">
        <v>505</v>
      </c>
      <c r="J84" s="7" t="s">
        <v>506</v>
      </c>
      <c r="K84" s="7" t="s">
        <v>507</v>
      </c>
      <c r="L84" s="24"/>
      <c r="M84" s="11" t="s">
        <v>186</v>
      </c>
    </row>
    <row r="85" spans="1:13">
      <c r="A85" s="82" t="s">
        <v>187</v>
      </c>
      <c r="B85" s="120">
        <v>-4.0030000000000001</v>
      </c>
      <c r="C85" s="71"/>
      <c r="D85" s="12">
        <v>0.14358294446577732</v>
      </c>
      <c r="E85" s="10">
        <v>6</v>
      </c>
      <c r="F85" s="10">
        <v>248</v>
      </c>
      <c r="G85" s="6">
        <v>2.65</v>
      </c>
      <c r="H85" s="14">
        <f t="shared" si="0"/>
        <v>-4.38</v>
      </c>
      <c r="I85" s="23" t="s">
        <v>508</v>
      </c>
      <c r="J85" s="7" t="s">
        <v>509</v>
      </c>
      <c r="K85" s="7" t="s">
        <v>510</v>
      </c>
      <c r="L85" s="24"/>
      <c r="M85" s="11" t="s">
        <v>188</v>
      </c>
    </row>
    <row r="86" spans="1:13">
      <c r="A86" s="82" t="s">
        <v>189</v>
      </c>
      <c r="B86" s="120">
        <v>-3.327</v>
      </c>
      <c r="C86" s="71"/>
      <c r="D86" s="12">
        <v>0.15384096988991314</v>
      </c>
      <c r="E86" s="10">
        <v>11</v>
      </c>
      <c r="F86" s="10">
        <v>173</v>
      </c>
      <c r="G86" s="6">
        <v>2.1800000000000002</v>
      </c>
      <c r="H86" s="14">
        <f t="shared" si="0"/>
        <v>-3.16</v>
      </c>
      <c r="I86" s="23" t="s">
        <v>602</v>
      </c>
      <c r="J86" s="7" t="s">
        <v>512</v>
      </c>
      <c r="K86" s="7" t="s">
        <v>513</v>
      </c>
      <c r="L86" s="24"/>
      <c r="M86" s="11" t="s">
        <v>190</v>
      </c>
    </row>
    <row r="87" spans="1:13">
      <c r="A87" s="82" t="s">
        <v>191</v>
      </c>
      <c r="B87" s="120">
        <v>-4.1150000000000002</v>
      </c>
      <c r="C87" s="71"/>
      <c r="D87" s="12">
        <v>0.14176528631434945</v>
      </c>
      <c r="E87" s="10">
        <v>5</v>
      </c>
      <c r="F87" s="10">
        <v>143.75</v>
      </c>
      <c r="G87" s="6">
        <v>2.76</v>
      </c>
      <c r="H87" s="14">
        <f t="shared" ref="H87:H122" si="1">0.5-G87-0.01*(F87-25)</f>
        <v>-3.4474999999999998</v>
      </c>
      <c r="I87" s="23" t="s">
        <v>511</v>
      </c>
      <c r="J87" s="7" t="s">
        <v>518</v>
      </c>
      <c r="K87" s="7" t="s">
        <v>516</v>
      </c>
      <c r="L87" s="24"/>
      <c r="M87" s="11" t="s">
        <v>192</v>
      </c>
    </row>
    <row r="88" spans="1:13">
      <c r="A88" s="82" t="s">
        <v>193</v>
      </c>
      <c r="B88" s="120">
        <v>-3.4780000000000002</v>
      </c>
      <c r="C88" s="71"/>
      <c r="D88" s="12">
        <v>0.16213928191469343</v>
      </c>
      <c r="E88" s="10">
        <v>19</v>
      </c>
      <c r="F88" s="10">
        <v>220.5</v>
      </c>
      <c r="G88" s="6">
        <v>1.27</v>
      </c>
      <c r="H88" s="14">
        <f t="shared" si="1"/>
        <v>-2.7250000000000001</v>
      </c>
      <c r="I88" s="23" t="s">
        <v>514</v>
      </c>
      <c r="J88" s="7" t="s">
        <v>521</v>
      </c>
      <c r="K88" s="7" t="s">
        <v>522</v>
      </c>
      <c r="L88" s="24"/>
      <c r="M88" s="11" t="s">
        <v>194</v>
      </c>
    </row>
    <row r="89" spans="1:13">
      <c r="A89" s="82" t="s">
        <v>195</v>
      </c>
      <c r="B89" s="120">
        <v>-4.8209999999999997</v>
      </c>
      <c r="C89" s="71"/>
      <c r="D89" s="12">
        <v>0.16127920198135692</v>
      </c>
      <c r="E89" s="10">
        <v>5</v>
      </c>
      <c r="F89" s="10">
        <v>214</v>
      </c>
      <c r="G89" s="6">
        <v>3.83</v>
      </c>
      <c r="H89" s="14">
        <f t="shared" si="1"/>
        <v>-5.2200000000000006</v>
      </c>
      <c r="I89" s="23" t="s">
        <v>517</v>
      </c>
      <c r="J89" s="7" t="s">
        <v>524</v>
      </c>
      <c r="K89" s="7" t="s">
        <v>525</v>
      </c>
      <c r="L89" s="24"/>
      <c r="M89" s="11" t="s">
        <v>196</v>
      </c>
    </row>
    <row r="90" spans="1:13">
      <c r="A90" s="83" t="s">
        <v>197</v>
      </c>
      <c r="B90" s="120">
        <v>-4.4269999999999996</v>
      </c>
      <c r="C90" s="71"/>
      <c r="D90" s="12">
        <v>0.13869006117838048</v>
      </c>
      <c r="E90" s="10">
        <v>3</v>
      </c>
      <c r="F90" s="10">
        <v>176</v>
      </c>
      <c r="G90" s="6">
        <v>2.88</v>
      </c>
      <c r="H90" s="14">
        <f t="shared" si="1"/>
        <v>-3.8899999999999997</v>
      </c>
      <c r="I90" s="23" t="s">
        <v>520</v>
      </c>
      <c r="J90" s="7" t="s">
        <v>527</v>
      </c>
      <c r="K90" s="7" t="s">
        <v>528</v>
      </c>
      <c r="L90" s="24"/>
      <c r="M90" s="11" t="s">
        <v>198</v>
      </c>
    </row>
    <row r="91" spans="1:13">
      <c r="A91" s="85" t="s">
        <v>199</v>
      </c>
      <c r="B91" s="120">
        <v>-3.2949999999999999</v>
      </c>
      <c r="C91" s="72"/>
      <c r="D91" s="4">
        <v>0.1259834086188602</v>
      </c>
      <c r="E91" s="2">
        <v>14</v>
      </c>
      <c r="F91" s="10">
        <v>253.5</v>
      </c>
      <c r="G91" s="6">
        <v>1.54</v>
      </c>
      <c r="H91" s="14">
        <f t="shared" si="1"/>
        <v>-3.3250000000000002</v>
      </c>
      <c r="I91" s="23" t="s">
        <v>523</v>
      </c>
      <c r="J91" s="7" t="s">
        <v>530</v>
      </c>
      <c r="K91" s="7" t="s">
        <v>531</v>
      </c>
      <c r="L91" s="24"/>
      <c r="M91" s="11" t="s">
        <v>200</v>
      </c>
    </row>
    <row r="92" spans="1:13">
      <c r="A92" s="82" t="s">
        <v>201</v>
      </c>
      <c r="B92" s="120">
        <v>-4.1879999999999997</v>
      </c>
      <c r="C92" s="71"/>
      <c r="D92" s="12">
        <v>0.16504944177542516</v>
      </c>
      <c r="E92" s="10">
        <v>5</v>
      </c>
      <c r="F92" s="10">
        <v>205.50000000000003</v>
      </c>
      <c r="G92" s="6">
        <v>2.4500000000000002</v>
      </c>
      <c r="H92" s="14">
        <f t="shared" si="1"/>
        <v>-3.7550000000000008</v>
      </c>
      <c r="I92" s="23" t="s">
        <v>526</v>
      </c>
      <c r="J92" s="7" t="s">
        <v>533</v>
      </c>
      <c r="K92" s="7" t="s">
        <v>534</v>
      </c>
      <c r="L92" s="24"/>
      <c r="M92" s="11" t="s">
        <v>202</v>
      </c>
    </row>
    <row r="93" spans="1:13">
      <c r="A93" s="83" t="s">
        <v>203</v>
      </c>
      <c r="B93" s="120">
        <v>-5.5282</v>
      </c>
      <c r="C93" s="71"/>
      <c r="D93" s="12">
        <v>0.19426266518058349</v>
      </c>
      <c r="E93" s="10">
        <v>3</v>
      </c>
      <c r="F93" s="10">
        <v>96</v>
      </c>
      <c r="G93" s="6">
        <v>3.49</v>
      </c>
      <c r="H93" s="14">
        <f t="shared" si="1"/>
        <v>-3.7</v>
      </c>
      <c r="I93" s="23" t="s">
        <v>532</v>
      </c>
      <c r="J93" s="7" t="s">
        <v>536</v>
      </c>
      <c r="K93" s="7" t="s">
        <v>537</v>
      </c>
      <c r="L93" s="24"/>
      <c r="M93" s="11" t="s">
        <v>204</v>
      </c>
    </row>
    <row r="94" spans="1:13">
      <c r="A94" s="82" t="s">
        <v>205</v>
      </c>
      <c r="B94" s="120">
        <v>-5.165</v>
      </c>
      <c r="C94" s="71"/>
      <c r="D94" s="12">
        <v>0.18894337149737056</v>
      </c>
      <c r="E94" s="10">
        <v>12</v>
      </c>
      <c r="F94" s="10">
        <v>147.25</v>
      </c>
      <c r="G94" s="6">
        <v>3.86</v>
      </c>
      <c r="H94" s="14">
        <f t="shared" si="1"/>
        <v>-4.5824999999999996</v>
      </c>
      <c r="I94" s="23" t="s">
        <v>603</v>
      </c>
      <c r="J94" s="7" t="s">
        <v>539</v>
      </c>
      <c r="K94" s="7" t="s">
        <v>540</v>
      </c>
      <c r="L94" s="24"/>
      <c r="M94" s="11" t="s">
        <v>206</v>
      </c>
    </row>
    <row r="95" spans="1:13">
      <c r="A95" s="82" t="s">
        <v>207</v>
      </c>
      <c r="B95" s="120">
        <v>-5.2435</v>
      </c>
      <c r="C95" s="71"/>
      <c r="D95" s="12">
        <v>0.17391407185160324</v>
      </c>
      <c r="E95" s="10">
        <v>6</v>
      </c>
      <c r="F95" s="10">
        <v>97</v>
      </c>
      <c r="G95" s="6">
        <v>3.94</v>
      </c>
      <c r="H95" s="14">
        <f t="shared" si="1"/>
        <v>-4.16</v>
      </c>
      <c r="I95" s="23" t="s">
        <v>535</v>
      </c>
      <c r="J95" s="7" t="s">
        <v>542</v>
      </c>
      <c r="K95" s="7" t="s">
        <v>543</v>
      </c>
      <c r="L95" s="24"/>
      <c r="M95" s="11" t="s">
        <v>208</v>
      </c>
    </row>
    <row r="96" spans="1:13">
      <c r="A96" s="81" t="s">
        <v>209</v>
      </c>
      <c r="B96" s="120">
        <v>-3.2949999999999999</v>
      </c>
      <c r="C96" s="71"/>
      <c r="D96" s="12">
        <v>0.13764369691033657</v>
      </c>
      <c r="E96" s="10">
        <v>10</v>
      </c>
      <c r="F96" s="10">
        <v>134.5</v>
      </c>
      <c r="G96" s="6">
        <v>2.04</v>
      </c>
      <c r="H96" s="14">
        <f t="shared" si="1"/>
        <v>-2.6349999999999998</v>
      </c>
      <c r="I96" s="23" t="s">
        <v>538</v>
      </c>
      <c r="J96" s="7" t="s">
        <v>545</v>
      </c>
      <c r="K96" s="7" t="s">
        <v>546</v>
      </c>
      <c r="L96" s="24"/>
      <c r="M96" s="11" t="s">
        <v>210</v>
      </c>
    </row>
    <row r="97" spans="1:13">
      <c r="A97" s="82" t="s">
        <v>211</v>
      </c>
      <c r="B97" s="120">
        <v>-3.1949999999999998</v>
      </c>
      <c r="C97" s="71"/>
      <c r="D97" s="12">
        <v>0.16245746888591447</v>
      </c>
      <c r="E97" s="10">
        <v>7</v>
      </c>
      <c r="F97" s="10">
        <v>139</v>
      </c>
      <c r="G97" s="6">
        <v>2.66</v>
      </c>
      <c r="H97" s="14">
        <f t="shared" si="1"/>
        <v>-3.3000000000000003</v>
      </c>
      <c r="I97" s="23" t="s">
        <v>541</v>
      </c>
      <c r="J97" s="7" t="s">
        <v>548</v>
      </c>
      <c r="K97" s="7" t="s">
        <v>549</v>
      </c>
      <c r="L97" s="24"/>
      <c r="M97" s="11" t="s">
        <v>212</v>
      </c>
    </row>
    <row r="98" spans="1:13">
      <c r="A98" s="82" t="s">
        <v>213</v>
      </c>
      <c r="B98" s="120">
        <v>-2.6840000000000002</v>
      </c>
      <c r="C98" s="71"/>
      <c r="D98" s="12">
        <v>0.15322122505052199</v>
      </c>
      <c r="E98" s="10">
        <v>9</v>
      </c>
      <c r="F98" s="10">
        <v>170</v>
      </c>
      <c r="G98" s="6">
        <v>1.91</v>
      </c>
      <c r="H98" s="14">
        <f t="shared" si="1"/>
        <v>-2.86</v>
      </c>
      <c r="I98" s="23" t="s">
        <v>544</v>
      </c>
      <c r="J98" s="7" t="s">
        <v>551</v>
      </c>
      <c r="K98" s="7" t="s">
        <v>552</v>
      </c>
      <c r="L98" s="24"/>
      <c r="M98" s="11" t="s">
        <v>214</v>
      </c>
    </row>
    <row r="99" spans="1:13">
      <c r="A99" s="81" t="s">
        <v>215</v>
      </c>
      <c r="B99" s="120">
        <v>-4.2699999999999996</v>
      </c>
      <c r="C99" s="71"/>
      <c r="D99" s="12">
        <v>0.15273607916541068</v>
      </c>
      <c r="E99" s="10">
        <v>10</v>
      </c>
      <c r="F99" s="10">
        <v>326</v>
      </c>
      <c r="G99" s="6">
        <v>2.44</v>
      </c>
      <c r="H99" s="14">
        <f t="shared" si="1"/>
        <v>-4.95</v>
      </c>
      <c r="I99" s="23" t="s">
        <v>547</v>
      </c>
      <c r="J99" s="7" t="s">
        <v>554</v>
      </c>
      <c r="K99" s="7" t="s">
        <v>555</v>
      </c>
      <c r="L99" s="24"/>
      <c r="M99" s="11" t="s">
        <v>216</v>
      </c>
    </row>
    <row r="100" spans="1:13">
      <c r="A100" s="82" t="s">
        <v>217</v>
      </c>
      <c r="B100" s="120">
        <v>-3.78</v>
      </c>
      <c r="C100" s="71"/>
      <c r="D100" s="12">
        <v>0.18404701512102448</v>
      </c>
      <c r="E100" s="10">
        <v>5</v>
      </c>
      <c r="F100" s="10">
        <v>232.50000000000003</v>
      </c>
      <c r="G100" s="6">
        <v>1.8</v>
      </c>
      <c r="H100" s="14">
        <f t="shared" si="1"/>
        <v>-3.375</v>
      </c>
      <c r="I100" s="23" t="s">
        <v>550</v>
      </c>
      <c r="J100" s="7" t="s">
        <v>557</v>
      </c>
      <c r="K100" s="7" t="s">
        <v>558</v>
      </c>
      <c r="L100" s="24"/>
      <c r="M100" s="11" t="s">
        <v>218</v>
      </c>
    </row>
    <row r="101" spans="1:13">
      <c r="A101" s="82" t="s">
        <v>219</v>
      </c>
      <c r="B101" s="120">
        <v>-2.4420000000000002</v>
      </c>
      <c r="C101" s="71"/>
      <c r="D101" s="12">
        <v>0.13604063752604376</v>
      </c>
      <c r="E101" s="10">
        <v>4</v>
      </c>
      <c r="F101" s="10">
        <v>281.5</v>
      </c>
      <c r="G101" s="6">
        <v>0.54</v>
      </c>
      <c r="H101" s="14">
        <f t="shared" si="1"/>
        <v>-2.605</v>
      </c>
      <c r="I101" s="23" t="s">
        <v>553</v>
      </c>
      <c r="J101" s="7" t="s">
        <v>560</v>
      </c>
      <c r="K101" s="7" t="s">
        <v>561</v>
      </c>
      <c r="L101" s="24"/>
      <c r="M101" s="11" t="s">
        <v>220</v>
      </c>
    </row>
    <row r="102" spans="1:13">
      <c r="A102" s="82" t="s">
        <v>221</v>
      </c>
      <c r="B102" s="120">
        <v>-3.4430000000000001</v>
      </c>
      <c r="C102" s="71"/>
      <c r="D102" s="12">
        <v>0.19798964803022484</v>
      </c>
      <c r="E102" s="10">
        <v>4</v>
      </c>
      <c r="F102" s="10">
        <v>197.1</v>
      </c>
      <c r="G102" s="6">
        <v>2.2000000000000002</v>
      </c>
      <c r="H102" s="14">
        <f t="shared" si="1"/>
        <v>-3.4210000000000003</v>
      </c>
      <c r="I102" s="23" t="s">
        <v>556</v>
      </c>
      <c r="J102" s="7" t="s">
        <v>563</v>
      </c>
      <c r="K102" s="7" t="s">
        <v>564</v>
      </c>
      <c r="L102" s="24"/>
      <c r="M102" s="11" t="s">
        <v>222</v>
      </c>
    </row>
    <row r="103" spans="1:13">
      <c r="A103" s="83" t="s">
        <v>223</v>
      </c>
      <c r="B103" s="120">
        <v>-4.96</v>
      </c>
      <c r="C103" s="71"/>
      <c r="D103" s="12">
        <v>0.13486720020739137</v>
      </c>
      <c r="E103" s="10">
        <v>4</v>
      </c>
      <c r="F103" s="10">
        <v>33</v>
      </c>
      <c r="G103" s="6">
        <v>4.24</v>
      </c>
      <c r="H103" s="14">
        <f t="shared" si="1"/>
        <v>-3.8200000000000003</v>
      </c>
      <c r="I103" s="23" t="s">
        <v>562</v>
      </c>
      <c r="J103" s="7" t="s">
        <v>566</v>
      </c>
      <c r="K103" s="7" t="s">
        <v>567</v>
      </c>
      <c r="L103" s="24"/>
      <c r="M103" s="11" t="s">
        <v>224</v>
      </c>
    </row>
    <row r="104" spans="1:13">
      <c r="A104" s="82" t="s">
        <v>225</v>
      </c>
      <c r="B104" s="120">
        <v>-4.6509999999999998</v>
      </c>
      <c r="C104" s="71"/>
      <c r="D104" s="12">
        <v>0.18801274760604275</v>
      </c>
      <c r="E104" s="10">
        <v>11</v>
      </c>
      <c r="F104" s="10">
        <v>60</v>
      </c>
      <c r="G104" s="6">
        <v>4.24</v>
      </c>
      <c r="H104" s="14">
        <f t="shared" si="1"/>
        <v>-4.09</v>
      </c>
      <c r="I104" s="23" t="s">
        <v>565</v>
      </c>
      <c r="J104" s="7" t="s">
        <v>569</v>
      </c>
      <c r="K104" s="7" t="s">
        <v>570</v>
      </c>
      <c r="L104" s="24"/>
      <c r="M104" s="11" t="s">
        <v>226</v>
      </c>
    </row>
    <row r="105" spans="1:13">
      <c r="A105" s="82" t="s">
        <v>227</v>
      </c>
      <c r="B105" s="120">
        <v>-5.5876000000000001</v>
      </c>
      <c r="C105" s="71"/>
      <c r="D105" s="12">
        <v>0.1664014074224209</v>
      </c>
      <c r="E105" s="10">
        <v>4</v>
      </c>
      <c r="F105" s="10">
        <v>130.5</v>
      </c>
      <c r="G105" s="6">
        <v>5.22</v>
      </c>
      <c r="H105" s="14">
        <f t="shared" si="1"/>
        <v>-5.7749999999999995</v>
      </c>
      <c r="I105" s="23" t="s">
        <v>568</v>
      </c>
      <c r="J105" s="7" t="s">
        <v>572</v>
      </c>
      <c r="K105" s="7" t="s">
        <v>573</v>
      </c>
      <c r="L105" s="24"/>
      <c r="M105" s="11" t="s">
        <v>228</v>
      </c>
    </row>
    <row r="106" spans="1:13">
      <c r="A106" s="83" t="s">
        <v>103</v>
      </c>
      <c r="B106" s="120">
        <v>-3.161</v>
      </c>
      <c r="C106" s="71"/>
      <c r="D106" s="12">
        <v>0.17506472136100007</v>
      </c>
      <c r="E106" s="10">
        <v>7</v>
      </c>
      <c r="F106" s="10">
        <v>254</v>
      </c>
      <c r="G106" s="6">
        <v>2.97</v>
      </c>
      <c r="H106" s="14">
        <f t="shared" si="1"/>
        <v>-4.76</v>
      </c>
      <c r="I106" s="23" t="s">
        <v>574</v>
      </c>
      <c r="J106" s="7" t="s">
        <v>575</v>
      </c>
      <c r="K106" s="7" t="s">
        <v>576</v>
      </c>
      <c r="L106" s="24"/>
      <c r="M106" s="11" t="s">
        <v>229</v>
      </c>
    </row>
    <row r="107" spans="1:13">
      <c r="A107" s="83" t="s">
        <v>230</v>
      </c>
      <c r="B107" s="120">
        <v>-5.9709199999999996</v>
      </c>
      <c r="C107" s="71"/>
      <c r="D107" s="12">
        <v>0.1605416460069265</v>
      </c>
      <c r="E107" s="10">
        <v>5</v>
      </c>
      <c r="F107" s="10">
        <v>121</v>
      </c>
      <c r="G107" s="6">
        <v>5.91</v>
      </c>
      <c r="H107" s="14">
        <f t="shared" si="1"/>
        <v>-6.37</v>
      </c>
      <c r="I107" s="23" t="s">
        <v>604</v>
      </c>
      <c r="J107" s="7" t="s">
        <v>578</v>
      </c>
      <c r="K107" s="7" t="s">
        <v>579</v>
      </c>
      <c r="L107" s="24"/>
      <c r="M107" s="11" t="s">
        <v>231</v>
      </c>
    </row>
    <row r="108" spans="1:13">
      <c r="A108" s="82" t="s">
        <v>232</v>
      </c>
      <c r="B108" s="120">
        <v>-4.4800000000000004</v>
      </c>
      <c r="C108" s="71"/>
      <c r="D108" s="12">
        <v>0.15756984748208766</v>
      </c>
      <c r="E108" s="10">
        <v>5</v>
      </c>
      <c r="F108" s="10">
        <v>206.99999999999997</v>
      </c>
      <c r="G108" s="6">
        <v>2.56</v>
      </c>
      <c r="H108" s="14">
        <f t="shared" si="1"/>
        <v>-3.88</v>
      </c>
      <c r="I108" s="23" t="s">
        <v>577</v>
      </c>
      <c r="J108" s="7" t="s">
        <v>581</v>
      </c>
      <c r="K108" s="7" t="s">
        <v>582</v>
      </c>
      <c r="L108" s="24"/>
      <c r="M108" s="11" t="s">
        <v>233</v>
      </c>
    </row>
    <row r="109" spans="1:13">
      <c r="A109" s="81" t="s">
        <v>234</v>
      </c>
      <c r="B109" s="120">
        <v>-5.5392999999999999</v>
      </c>
      <c r="C109" s="71"/>
      <c r="D109" s="12">
        <v>0.16160362353179636</v>
      </c>
      <c r="E109" s="10">
        <v>6</v>
      </c>
      <c r="F109" s="10">
        <v>134.5</v>
      </c>
      <c r="G109" s="6">
        <v>4.8499999999999996</v>
      </c>
      <c r="H109" s="14">
        <f t="shared" si="1"/>
        <v>-5.4449999999999994</v>
      </c>
      <c r="I109" s="23" t="s">
        <v>580</v>
      </c>
      <c r="J109" s="7" t="s">
        <v>584</v>
      </c>
      <c r="K109" s="7" t="s">
        <v>585</v>
      </c>
      <c r="L109" s="24"/>
      <c r="M109" s="11" t="s">
        <v>235</v>
      </c>
    </row>
    <row r="110" spans="1:13">
      <c r="A110" s="81" t="s">
        <v>236</v>
      </c>
      <c r="B110" s="120">
        <v>-3.742</v>
      </c>
      <c r="C110" s="71"/>
      <c r="D110" s="12">
        <v>0.18685765827673947</v>
      </c>
      <c r="E110" s="10">
        <v>6</v>
      </c>
      <c r="F110" s="10">
        <v>275</v>
      </c>
      <c r="G110" s="6">
        <v>2.09</v>
      </c>
      <c r="H110" s="14">
        <f t="shared" si="1"/>
        <v>-4.09</v>
      </c>
      <c r="I110" s="23" t="s">
        <v>583</v>
      </c>
      <c r="J110" s="7" t="s">
        <v>587</v>
      </c>
      <c r="K110" s="7" t="s">
        <v>588</v>
      </c>
      <c r="L110" s="24"/>
      <c r="M110" s="11" t="s">
        <v>237</v>
      </c>
    </row>
    <row r="111" spans="1:13">
      <c r="A111" s="82" t="s">
        <v>238</v>
      </c>
      <c r="B111" s="120">
        <v>-4.9990000000000006</v>
      </c>
      <c r="C111" s="71"/>
      <c r="D111" s="12">
        <v>0.13950112944748669</v>
      </c>
      <c r="E111" s="10">
        <v>9</v>
      </c>
      <c r="F111" s="10">
        <v>220.00000000000003</v>
      </c>
      <c r="G111" s="6">
        <v>1.8</v>
      </c>
      <c r="H111" s="14">
        <f t="shared" si="1"/>
        <v>-3.2500000000000004</v>
      </c>
      <c r="I111" s="23" t="s">
        <v>586</v>
      </c>
      <c r="J111" s="7" t="s">
        <v>590</v>
      </c>
      <c r="K111" s="7" t="s">
        <v>591</v>
      </c>
      <c r="L111" s="24"/>
      <c r="M111" s="11" t="s">
        <v>239</v>
      </c>
    </row>
    <row r="112" spans="1:13">
      <c r="A112" s="85" t="s">
        <v>240</v>
      </c>
      <c r="B112" s="120">
        <v>-2.9420000000000002</v>
      </c>
      <c r="C112" s="72"/>
      <c r="D112" s="4">
        <v>0.22014005046870977</v>
      </c>
      <c r="E112" s="2">
        <v>9</v>
      </c>
      <c r="F112" s="10">
        <v>202</v>
      </c>
      <c r="G112" s="6">
        <v>1.53</v>
      </c>
      <c r="H112" s="14">
        <f t="shared" si="1"/>
        <v>-2.8</v>
      </c>
      <c r="I112" s="23" t="s">
        <v>589</v>
      </c>
      <c r="J112" s="7" t="s">
        <v>593</v>
      </c>
      <c r="K112" s="7" t="s">
        <v>594</v>
      </c>
      <c r="L112" s="24"/>
      <c r="M112" s="11" t="s">
        <v>241</v>
      </c>
    </row>
    <row r="113" spans="1:28">
      <c r="A113" s="82" t="s">
        <v>242</v>
      </c>
      <c r="B113" s="120">
        <v>-2.8330000000000002</v>
      </c>
      <c r="C113" s="71"/>
      <c r="D113" s="12">
        <v>0.14014083879485537</v>
      </c>
      <c r="E113" s="10">
        <v>3</v>
      </c>
      <c r="F113" s="10">
        <v>243.00000000000003</v>
      </c>
      <c r="G113" s="6">
        <v>1.48</v>
      </c>
      <c r="H113" s="14">
        <f t="shared" si="1"/>
        <v>-3.16</v>
      </c>
      <c r="I113" s="23" t="s">
        <v>592</v>
      </c>
      <c r="J113" s="7" t="s">
        <v>605</v>
      </c>
      <c r="K113" s="7" t="s">
        <v>597</v>
      </c>
      <c r="L113" s="24"/>
      <c r="M113" s="11" t="s">
        <v>243</v>
      </c>
    </row>
    <row r="114" spans="1:28">
      <c r="A114" s="83" t="s">
        <v>244</v>
      </c>
      <c r="B114" s="120">
        <v>-3.16</v>
      </c>
      <c r="C114" s="71"/>
      <c r="D114" s="12">
        <v>0.13726989684757951</v>
      </c>
      <c r="E114" s="10">
        <v>3</v>
      </c>
      <c r="F114" s="10">
        <v>191</v>
      </c>
      <c r="G114" s="6">
        <v>1.67</v>
      </c>
      <c r="H114" s="14">
        <f t="shared" si="1"/>
        <v>-2.83</v>
      </c>
      <c r="I114" s="23" t="s">
        <v>595</v>
      </c>
      <c r="J114" s="7" t="s">
        <v>596</v>
      </c>
      <c r="K114" s="7" t="s">
        <v>433</v>
      </c>
      <c r="L114" s="24"/>
      <c r="M114" s="11" t="s">
        <v>245</v>
      </c>
    </row>
    <row r="115" spans="1:28">
      <c r="A115" s="82" t="s">
        <v>246</v>
      </c>
      <c r="B115" s="120">
        <v>-5.3855000000000004</v>
      </c>
      <c r="C115" s="71"/>
      <c r="D115" s="12">
        <v>0.21357402153711522</v>
      </c>
      <c r="E115" s="10">
        <v>7</v>
      </c>
      <c r="F115" s="10">
        <v>183.5</v>
      </c>
      <c r="G115" s="6">
        <v>4.37</v>
      </c>
      <c r="H115" s="14">
        <f t="shared" si="1"/>
        <v>-5.4550000000000001</v>
      </c>
      <c r="I115" s="23"/>
      <c r="J115" s="7"/>
      <c r="K115" s="7"/>
      <c r="L115" s="24"/>
      <c r="M115" s="11" t="s">
        <v>247</v>
      </c>
    </row>
    <row r="116" spans="1:28">
      <c r="A116" s="82" t="s">
        <v>248</v>
      </c>
      <c r="B116" s="120">
        <v>-3.9390000000000001</v>
      </c>
      <c r="C116" s="71"/>
      <c r="D116" s="12">
        <v>0.10564411177747912</v>
      </c>
      <c r="E116" s="10">
        <v>3</v>
      </c>
      <c r="F116" s="10">
        <v>149</v>
      </c>
      <c r="G116" s="6">
        <v>2.62</v>
      </c>
      <c r="H116" s="14">
        <f t="shared" si="1"/>
        <v>-3.3600000000000003</v>
      </c>
      <c r="I116" s="23"/>
      <c r="J116" s="7"/>
      <c r="K116" s="7"/>
      <c r="L116" s="24"/>
      <c r="M116" s="11" t="s">
        <v>249</v>
      </c>
    </row>
    <row r="117" spans="1:28">
      <c r="A117" s="81" t="s">
        <v>250</v>
      </c>
      <c r="B117" s="120">
        <v>-2.4039999999999999</v>
      </c>
      <c r="C117" s="71"/>
      <c r="D117" s="12">
        <v>0.14623917640453388</v>
      </c>
      <c r="E117" s="10">
        <v>8</v>
      </c>
      <c r="F117" s="10">
        <v>165</v>
      </c>
      <c r="G117" s="6">
        <v>-0.37</v>
      </c>
      <c r="H117" s="14">
        <f t="shared" si="1"/>
        <v>-0.53000000000000014</v>
      </c>
      <c r="I117" s="23"/>
      <c r="J117" s="7"/>
      <c r="K117" s="7"/>
      <c r="L117" s="24"/>
      <c r="M117" s="11" t="s">
        <v>251</v>
      </c>
    </row>
    <row r="118" spans="1:28">
      <c r="A118" s="82" t="s">
        <v>252</v>
      </c>
      <c r="B118" s="120">
        <v>-3.1480000000000001</v>
      </c>
      <c r="C118" s="71"/>
      <c r="D118" s="12">
        <v>0.16291639539032501</v>
      </c>
      <c r="E118" s="10">
        <v>10</v>
      </c>
      <c r="F118" s="10">
        <v>225</v>
      </c>
      <c r="G118" s="6">
        <v>0.81</v>
      </c>
      <c r="H118" s="14">
        <f t="shared" si="1"/>
        <v>-2.31</v>
      </c>
      <c r="I118" s="23"/>
      <c r="J118" s="7"/>
      <c r="K118" s="7"/>
      <c r="L118" s="24"/>
      <c r="M118" s="11" t="s">
        <v>253</v>
      </c>
    </row>
    <row r="119" spans="1:28">
      <c r="A119" s="82" t="s">
        <v>254</v>
      </c>
      <c r="B119" s="120">
        <v>-3.3450000000000002</v>
      </c>
      <c r="C119" s="71"/>
      <c r="D119" s="12">
        <v>0.21166647357477791</v>
      </c>
      <c r="E119" s="10">
        <v>5</v>
      </c>
      <c r="F119" s="10">
        <v>270</v>
      </c>
      <c r="G119" s="6">
        <v>0.62</v>
      </c>
      <c r="H119" s="14">
        <f t="shared" si="1"/>
        <v>-2.5700000000000003</v>
      </c>
      <c r="I119" s="23"/>
      <c r="J119" s="7"/>
      <c r="K119" s="7"/>
      <c r="L119" s="24"/>
      <c r="M119" s="11" t="s">
        <v>255</v>
      </c>
    </row>
    <row r="120" spans="1:28">
      <c r="A120" s="81" t="s">
        <v>256</v>
      </c>
      <c r="B120" s="120">
        <v>-3.9239999999999999</v>
      </c>
      <c r="C120" s="71"/>
      <c r="D120" s="12">
        <v>0.14175650298978676</v>
      </c>
      <c r="E120" s="10">
        <v>9</v>
      </c>
      <c r="F120" s="10">
        <v>312.66666666666669</v>
      </c>
      <c r="G120" s="6">
        <v>0.83</v>
      </c>
      <c r="H120" s="14">
        <f t="shared" si="1"/>
        <v>-3.206666666666667</v>
      </c>
      <c r="I120" s="23"/>
      <c r="J120" s="7"/>
      <c r="K120" s="7"/>
      <c r="L120" s="24"/>
      <c r="M120" s="11" t="s">
        <v>257</v>
      </c>
    </row>
    <row r="121" spans="1:28">
      <c r="A121" s="82" t="s">
        <v>258</v>
      </c>
      <c r="B121" s="120">
        <v>-5.4783999999999997</v>
      </c>
      <c r="C121" s="71"/>
      <c r="D121" s="12">
        <v>0.2034688635346244</v>
      </c>
      <c r="E121" s="10">
        <v>11</v>
      </c>
      <c r="F121" s="10">
        <v>161</v>
      </c>
      <c r="G121" s="6">
        <v>3.61</v>
      </c>
      <c r="H121" s="14">
        <f t="shared" si="1"/>
        <v>-4.47</v>
      </c>
      <c r="I121" s="23"/>
      <c r="J121" s="7"/>
      <c r="K121" s="7"/>
      <c r="L121" s="24"/>
      <c r="M121" s="11" t="s">
        <v>259</v>
      </c>
    </row>
    <row r="122" spans="1:28">
      <c r="A122" s="81" t="s">
        <v>109</v>
      </c>
      <c r="B122" s="120">
        <v>-2.202</v>
      </c>
      <c r="C122" s="71"/>
      <c r="D122" s="12">
        <v>0.20579636821699754</v>
      </c>
      <c r="E122" s="10">
        <v>3</v>
      </c>
      <c r="F122" s="10">
        <v>300</v>
      </c>
      <c r="G122" s="6">
        <v>-1.06</v>
      </c>
      <c r="H122" s="14">
        <f t="shared" si="1"/>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s="120">
        <v>-3.5630000000000002</v>
      </c>
      <c r="C129" s="73" t="s">
        <v>30</v>
      </c>
      <c r="D129" s="12">
        <v>0.50033555401430185</v>
      </c>
      <c r="E129" s="10">
        <v>3</v>
      </c>
      <c r="F129" s="10">
        <v>180</v>
      </c>
      <c r="G129" s="1">
        <v>1.91</v>
      </c>
      <c r="H129" s="14">
        <f t="shared" ref="H129:H160" si="2">0.5-G129-0.01*(F129-25)</f>
        <v>-2.96</v>
      </c>
      <c r="I129" s="53" t="s">
        <v>31</v>
      </c>
      <c r="J129" s="54"/>
      <c r="K129" s="14"/>
      <c r="L129" s="14"/>
      <c r="M129" s="3" t="s">
        <v>269</v>
      </c>
    </row>
    <row r="130" spans="1:13">
      <c r="A130" s="82" t="s">
        <v>270</v>
      </c>
      <c r="B130" s="120">
        <v>-7.1980000000000004</v>
      </c>
      <c r="C130" s="73" t="s">
        <v>36</v>
      </c>
      <c r="D130" s="12">
        <v>0.5</v>
      </c>
      <c r="E130" s="6">
        <v>5</v>
      </c>
      <c r="F130" s="10">
        <v>156</v>
      </c>
      <c r="G130" s="1">
        <v>6.94</v>
      </c>
      <c r="H130" s="14">
        <f t="shared" si="2"/>
        <v>-7.75</v>
      </c>
      <c r="I130" s="53" t="s">
        <v>37</v>
      </c>
      <c r="J130" s="54"/>
      <c r="K130" s="14"/>
      <c r="L130" s="14"/>
      <c r="M130" s="3" t="s">
        <v>271</v>
      </c>
    </row>
    <row r="131" spans="1:13">
      <c r="A131" s="83" t="s">
        <v>272</v>
      </c>
      <c r="B131" s="120">
        <v>-5.2431999999999999</v>
      </c>
      <c r="C131" s="73" t="s">
        <v>41</v>
      </c>
      <c r="D131" s="12">
        <v>0.6530957900260097</v>
      </c>
      <c r="E131" s="10">
        <v>3</v>
      </c>
      <c r="F131" s="10">
        <v>208</v>
      </c>
      <c r="G131" s="1">
        <v>5.18</v>
      </c>
      <c r="H131" s="14">
        <f t="shared" si="2"/>
        <v>-6.51</v>
      </c>
      <c r="I131" s="53" t="s">
        <v>42</v>
      </c>
      <c r="J131" s="54"/>
      <c r="K131" s="14"/>
      <c r="L131" s="14"/>
      <c r="M131" s="3" t="s">
        <v>273</v>
      </c>
    </row>
    <row r="132" spans="1:13">
      <c r="A132" s="82" t="s">
        <v>274</v>
      </c>
      <c r="B132" s="120">
        <v>-2.7919999999999998</v>
      </c>
      <c r="C132" s="73" t="s">
        <v>46</v>
      </c>
      <c r="D132" s="12">
        <v>0.59285217963150294</v>
      </c>
      <c r="E132" s="10">
        <v>3</v>
      </c>
      <c r="F132" s="10">
        <v>100</v>
      </c>
      <c r="G132" s="1">
        <v>2.37</v>
      </c>
      <c r="H132" s="14">
        <f t="shared" si="2"/>
        <v>-2.62</v>
      </c>
      <c r="I132" s="15" t="s">
        <v>47</v>
      </c>
      <c r="J132" s="29"/>
      <c r="K132" s="14"/>
      <c r="L132" s="14"/>
      <c r="M132" s="3" t="s">
        <v>275</v>
      </c>
    </row>
    <row r="133" spans="1:13">
      <c r="A133" s="82" t="s">
        <v>276</v>
      </c>
      <c r="B133" s="120">
        <v>-4.2610000000000001</v>
      </c>
      <c r="C133" s="73" t="s">
        <v>51</v>
      </c>
      <c r="D133" s="12">
        <v>0.51067901383936642</v>
      </c>
      <c r="E133" s="10">
        <v>5</v>
      </c>
      <c r="F133" s="10">
        <v>217</v>
      </c>
      <c r="G133" s="1">
        <v>3.19</v>
      </c>
      <c r="H133" s="14">
        <f t="shared" si="2"/>
        <v>-4.6099999999999994</v>
      </c>
      <c r="I133" s="15" t="s">
        <v>52</v>
      </c>
      <c r="J133" s="29"/>
      <c r="K133" s="14"/>
      <c r="L133" s="14"/>
      <c r="M133" s="3" t="s">
        <v>277</v>
      </c>
    </row>
    <row r="134" spans="1:13">
      <c r="A134" s="82" t="s">
        <v>278</v>
      </c>
      <c r="B134" s="120">
        <v>-4.8840000000000003</v>
      </c>
      <c r="C134" s="71"/>
      <c r="D134" s="12">
        <v>0.83065522865171437</v>
      </c>
      <c r="E134" s="10">
        <v>3</v>
      </c>
      <c r="F134" s="10">
        <v>209.50000000000003</v>
      </c>
      <c r="G134" s="1">
        <v>4.41</v>
      </c>
      <c r="H134" s="14">
        <f t="shared" si="2"/>
        <v>-5.7550000000000008</v>
      </c>
      <c r="I134" s="15" t="s">
        <v>56</v>
      </c>
      <c r="J134" s="29"/>
      <c r="K134" s="14"/>
      <c r="L134" s="14"/>
      <c r="M134" s="3" t="s">
        <v>279</v>
      </c>
    </row>
    <row r="135" spans="1:13">
      <c r="A135" s="82" t="s">
        <v>280</v>
      </c>
      <c r="B135" s="120">
        <v>-6.2346000000000004</v>
      </c>
      <c r="C135" s="71"/>
      <c r="D135" s="12">
        <v>0.51097181417141646</v>
      </c>
      <c r="E135" s="10">
        <v>6</v>
      </c>
      <c r="F135" s="10">
        <v>97.5</v>
      </c>
      <c r="G135" s="1">
        <v>5.19</v>
      </c>
      <c r="H135" s="14">
        <f t="shared" si="2"/>
        <v>-5.415</v>
      </c>
      <c r="I135" s="15" t="s">
        <v>60</v>
      </c>
      <c r="J135" s="31"/>
      <c r="K135" s="14"/>
      <c r="L135" s="14"/>
      <c r="M135" s="3" t="s">
        <v>281</v>
      </c>
    </row>
    <row r="136" spans="1:13">
      <c r="A136" s="81" t="s">
        <v>282</v>
      </c>
      <c r="B136" s="120">
        <v>-8.15</v>
      </c>
      <c r="C136" s="71"/>
      <c r="D136" s="12">
        <v>0.92735432696895004</v>
      </c>
      <c r="E136" s="10">
        <v>5</v>
      </c>
      <c r="F136" s="10">
        <v>211</v>
      </c>
      <c r="G136" s="1">
        <v>7.49</v>
      </c>
      <c r="H136" s="14">
        <f t="shared" si="2"/>
        <v>-8.85</v>
      </c>
      <c r="I136" s="30" t="s">
        <v>64</v>
      </c>
      <c r="J136" s="32" t="s">
        <v>420</v>
      </c>
      <c r="K136" s="33" t="s">
        <v>421</v>
      </c>
      <c r="L136" s="34"/>
      <c r="M136" s="3" t="s">
        <v>283</v>
      </c>
    </row>
    <row r="137" spans="1:13">
      <c r="A137" s="82" t="s">
        <v>112</v>
      </c>
      <c r="B137" s="120">
        <v>-5.0898000000000003</v>
      </c>
      <c r="C137" s="71"/>
      <c r="D137" s="12">
        <v>0.68239272333923895</v>
      </c>
      <c r="E137" s="10">
        <v>3</v>
      </c>
      <c r="F137" s="10">
        <v>177</v>
      </c>
      <c r="G137" s="1">
        <v>3.37</v>
      </c>
      <c r="H137" s="14">
        <f t="shared" si="2"/>
        <v>-4.3900000000000006</v>
      </c>
      <c r="J137" s="14"/>
      <c r="K137" s="14"/>
      <c r="L137" s="14"/>
      <c r="M137" s="3" t="s">
        <v>284</v>
      </c>
    </row>
    <row r="138" spans="1:13">
      <c r="A138" s="82" t="s">
        <v>285</v>
      </c>
      <c r="B138" s="120">
        <v>-5.8602999999999996</v>
      </c>
      <c r="C138" s="71"/>
      <c r="D138" s="12">
        <v>0.520951861602862</v>
      </c>
      <c r="E138" s="10">
        <v>10</v>
      </c>
      <c r="F138" s="10">
        <v>228.6</v>
      </c>
      <c r="G138" s="1">
        <v>4.22</v>
      </c>
      <c r="H138" s="14">
        <f t="shared" si="2"/>
        <v>-5.7560000000000002</v>
      </c>
      <c r="I138" s="16" t="s">
        <v>286</v>
      </c>
      <c r="J138" s="17"/>
      <c r="K138" s="17"/>
      <c r="L138" s="18"/>
      <c r="M138" s="3" t="s">
        <v>287</v>
      </c>
    </row>
    <row r="139" spans="1:13">
      <c r="A139" s="81" t="s">
        <v>288</v>
      </c>
      <c r="B139" s="120">
        <v>-1.798</v>
      </c>
      <c r="C139" s="71"/>
      <c r="D139" s="12">
        <v>0.53906642829149898</v>
      </c>
      <c r="E139" s="10">
        <v>3</v>
      </c>
      <c r="F139" s="10">
        <v>161.5</v>
      </c>
      <c r="G139" s="1">
        <v>-0.21</v>
      </c>
      <c r="H139" s="14">
        <f t="shared" si="2"/>
        <v>-0.65500000000000003</v>
      </c>
      <c r="I139" s="20" t="s">
        <v>598</v>
      </c>
      <c r="J139" s="21"/>
      <c r="K139" s="21"/>
      <c r="L139" s="22"/>
      <c r="M139" s="3" t="s">
        <v>289</v>
      </c>
    </row>
    <row r="140" spans="1:13">
      <c r="A140" s="81" t="s">
        <v>290</v>
      </c>
      <c r="B140" s="120">
        <v>-4.7240000000000002</v>
      </c>
      <c r="C140" s="71"/>
      <c r="D140" s="12">
        <v>0.56233984781338708</v>
      </c>
      <c r="E140" s="10">
        <v>11</v>
      </c>
      <c r="F140" s="10">
        <v>213.49999999999997</v>
      </c>
      <c r="G140" s="1">
        <v>3.04</v>
      </c>
      <c r="H140" s="14">
        <f t="shared" si="2"/>
        <v>-4.4249999999999998</v>
      </c>
      <c r="I140" s="23"/>
      <c r="J140" s="7"/>
      <c r="K140" s="7"/>
      <c r="L140" s="24"/>
      <c r="M140" s="3" t="s">
        <v>291</v>
      </c>
    </row>
    <row r="141" spans="1:13">
      <c r="A141" s="83" t="s">
        <v>292</v>
      </c>
      <c r="B141" s="120">
        <v>-3.4249999999999998</v>
      </c>
      <c r="C141" s="71"/>
      <c r="D141" s="12">
        <v>0.54710381306524825</v>
      </c>
      <c r="E141" s="10">
        <v>4</v>
      </c>
      <c r="F141" s="10">
        <v>168.5</v>
      </c>
      <c r="G141" s="1">
        <v>3.35</v>
      </c>
      <c r="H141" s="14">
        <f t="shared" si="2"/>
        <v>-4.2850000000000001</v>
      </c>
      <c r="I141" s="23"/>
      <c r="J141" s="7"/>
      <c r="K141" s="7"/>
      <c r="L141" s="24"/>
      <c r="M141" s="3" t="s">
        <v>293</v>
      </c>
    </row>
    <row r="142" spans="1:13">
      <c r="A142" s="81" t="s">
        <v>114</v>
      </c>
      <c r="B142" s="120">
        <v>-2.8519999999999999</v>
      </c>
      <c r="C142" s="71"/>
      <c r="D142" s="12">
        <v>0.54612637818466869</v>
      </c>
      <c r="E142" s="10">
        <v>3</v>
      </c>
      <c r="F142" s="13">
        <v>124.1</v>
      </c>
      <c r="G142" s="1">
        <v>2.81</v>
      </c>
      <c r="H142" s="14">
        <f t="shared" si="2"/>
        <v>-3.3010000000000002</v>
      </c>
      <c r="I142" s="25"/>
      <c r="J142" s="7"/>
      <c r="K142" s="7"/>
      <c r="L142" s="24"/>
      <c r="M142" s="3" t="s">
        <v>294</v>
      </c>
    </row>
    <row r="143" spans="1:13">
      <c r="A143" s="81" t="s">
        <v>295</v>
      </c>
      <c r="B143" s="120">
        <v>-5.9808399999999997</v>
      </c>
      <c r="C143" s="71"/>
      <c r="D143" s="12">
        <v>0.51160213896594608</v>
      </c>
      <c r="E143" s="10">
        <v>4</v>
      </c>
      <c r="F143" s="10">
        <v>165</v>
      </c>
      <c r="G143" s="1">
        <v>4.8899999999999997</v>
      </c>
      <c r="H143" s="14">
        <f t="shared" si="2"/>
        <v>-5.79</v>
      </c>
      <c r="I143" s="25"/>
      <c r="J143" s="7"/>
      <c r="K143" s="7"/>
      <c r="L143" s="24"/>
      <c r="M143" s="3" t="s">
        <v>296</v>
      </c>
    </row>
    <row r="144" spans="1:13">
      <c r="A144" s="81" t="s">
        <v>117</v>
      </c>
      <c r="B144" s="120">
        <v>-5.9535099999999996</v>
      </c>
      <c r="C144" s="71"/>
      <c r="D144" s="12">
        <v>0.65141515533308314</v>
      </c>
      <c r="E144" s="10">
        <v>4</v>
      </c>
      <c r="F144" s="10">
        <v>161.1</v>
      </c>
      <c r="G144" s="1">
        <v>4.76</v>
      </c>
      <c r="H144" s="14">
        <f t="shared" si="2"/>
        <v>-5.6209999999999996</v>
      </c>
      <c r="I144" s="25"/>
      <c r="J144" s="7"/>
      <c r="K144" s="7"/>
      <c r="L144" s="24"/>
      <c r="M144" s="3" t="s">
        <v>297</v>
      </c>
    </row>
    <row r="145" spans="1:28">
      <c r="A145" s="83" t="s">
        <v>298</v>
      </c>
      <c r="B145" s="120">
        <v>-4.8090000000000002</v>
      </c>
      <c r="C145" s="71"/>
      <c r="D145" s="12">
        <v>0.65883215509381909</v>
      </c>
      <c r="E145" s="10">
        <v>3</v>
      </c>
      <c r="F145" s="10">
        <v>155</v>
      </c>
      <c r="G145" s="1">
        <v>3.74</v>
      </c>
      <c r="H145" s="14">
        <f t="shared" si="2"/>
        <v>-4.54</v>
      </c>
      <c r="I145" s="25"/>
      <c r="J145" s="7"/>
      <c r="K145" s="7"/>
      <c r="L145" s="24"/>
      <c r="M145" s="3" t="s">
        <v>299</v>
      </c>
    </row>
    <row r="146" spans="1:28">
      <c r="A146" s="82" t="s">
        <v>300</v>
      </c>
      <c r="B146" s="120">
        <v>-5.7545999999999999</v>
      </c>
      <c r="C146" s="71"/>
      <c r="D146" s="12">
        <v>0.61400477095750339</v>
      </c>
      <c r="E146" s="10">
        <v>3</v>
      </c>
      <c r="F146" s="10">
        <v>165.4</v>
      </c>
      <c r="G146" s="1">
        <v>5.58</v>
      </c>
      <c r="H146" s="14">
        <f t="shared" si="2"/>
        <v>-6.484</v>
      </c>
      <c r="I146" s="25"/>
      <c r="J146" s="7"/>
      <c r="K146" s="7"/>
      <c r="L146" s="24"/>
      <c r="M146" s="3" t="s">
        <v>301</v>
      </c>
    </row>
    <row r="147" spans="1:28">
      <c r="A147" s="82" t="s">
        <v>302</v>
      </c>
      <c r="B147" s="120">
        <v>-6.1345000000000001</v>
      </c>
      <c r="C147" s="71"/>
      <c r="D147" s="12">
        <v>0.50406532001413251</v>
      </c>
      <c r="E147" s="10">
        <v>6</v>
      </c>
      <c r="F147" s="10">
        <v>161</v>
      </c>
      <c r="G147" s="1">
        <v>6.45</v>
      </c>
      <c r="H147" s="14">
        <f t="shared" si="2"/>
        <v>-7.3100000000000005</v>
      </c>
      <c r="I147" s="26"/>
      <c r="J147" s="27"/>
      <c r="K147" s="27"/>
      <c r="L147" s="28"/>
      <c r="M147" s="3" t="s">
        <v>303</v>
      </c>
    </row>
    <row r="148" spans="1:28">
      <c r="A148" s="82" t="s">
        <v>304</v>
      </c>
      <c r="B148" s="120">
        <v>-5.9989369999999997</v>
      </c>
      <c r="C148" s="71"/>
      <c r="D148" s="12">
        <v>0.75493366325441691</v>
      </c>
      <c r="E148" s="10">
        <v>4</v>
      </c>
      <c r="F148" s="10">
        <v>193.5</v>
      </c>
      <c r="G148" s="1">
        <v>5.41</v>
      </c>
      <c r="H148" s="14">
        <f t="shared" si="2"/>
        <v>-6.5950000000000006</v>
      </c>
      <c r="J148" s="14"/>
      <c r="K148" s="14"/>
      <c r="L148" s="14"/>
      <c r="M148" s="3" t="s">
        <v>305</v>
      </c>
    </row>
    <row r="149" spans="1:28">
      <c r="A149" s="82" t="s">
        <v>306</v>
      </c>
      <c r="B149" s="120">
        <v>-4.476</v>
      </c>
      <c r="C149" s="71"/>
      <c r="D149" s="12">
        <v>0.50089358058597189</v>
      </c>
      <c r="E149" s="10">
        <v>3</v>
      </c>
      <c r="F149" s="10">
        <v>156</v>
      </c>
      <c r="G149" s="1">
        <v>2.9</v>
      </c>
      <c r="H149" s="14">
        <f t="shared" si="2"/>
        <v>-3.71</v>
      </c>
      <c r="I149" s="70" t="s">
        <v>133</v>
      </c>
      <c r="J149" s="75">
        <v>704</v>
      </c>
      <c r="K149" s="34"/>
      <c r="L149" s="14"/>
      <c r="M149" s="3" t="s">
        <v>307</v>
      </c>
    </row>
    <row r="150" spans="1:28">
      <c r="A150" s="83" t="s">
        <v>308</v>
      </c>
      <c r="B150" s="120">
        <v>-4.7030000000000003</v>
      </c>
      <c r="C150" s="71"/>
      <c r="D150" s="12">
        <v>0.6587984329866341</v>
      </c>
      <c r="E150" s="10">
        <v>4</v>
      </c>
      <c r="F150" s="10">
        <v>183.5</v>
      </c>
      <c r="G150" s="1">
        <v>3.16</v>
      </c>
      <c r="H150" s="14">
        <f t="shared" si="2"/>
        <v>-4.2450000000000001</v>
      </c>
      <c r="I150" s="70" t="s">
        <v>136</v>
      </c>
      <c r="J150" s="75">
        <v>174</v>
      </c>
      <c r="K150" s="34"/>
      <c r="L150" s="14"/>
      <c r="M150" s="3" t="s">
        <v>309</v>
      </c>
    </row>
    <row r="151" spans="1:28">
      <c r="A151" s="83" t="s">
        <v>310</v>
      </c>
      <c r="B151" s="120">
        <v>-2.8029999999999999</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s="120">
        <v>-3.8109999999999999</v>
      </c>
      <c r="C152" s="71"/>
      <c r="D152" s="12">
        <v>0.57115657899345518</v>
      </c>
      <c r="E152" s="10">
        <v>7</v>
      </c>
      <c r="F152" s="10">
        <v>177</v>
      </c>
      <c r="G152" s="1">
        <v>3.17</v>
      </c>
      <c r="H152" s="14">
        <f t="shared" si="2"/>
        <v>-4.1899999999999995</v>
      </c>
      <c r="I152" s="14"/>
      <c r="J152" s="14"/>
      <c r="K152" s="14"/>
      <c r="L152" s="14"/>
      <c r="M152" s="3" t="s">
        <v>313</v>
      </c>
    </row>
    <row r="153" spans="1:28">
      <c r="A153" s="81" t="s">
        <v>314</v>
      </c>
      <c r="B153" s="120">
        <v>-6.5105000000000004</v>
      </c>
      <c r="C153" s="71"/>
      <c r="D153" s="12">
        <v>0.55807775121880254</v>
      </c>
      <c r="E153" s="10">
        <v>6</v>
      </c>
      <c r="F153" s="10">
        <v>145</v>
      </c>
      <c r="G153" s="1">
        <v>6.08</v>
      </c>
      <c r="H153" s="14">
        <f t="shared" si="2"/>
        <v>-6.78</v>
      </c>
      <c r="I153" s="19" t="s">
        <v>144</v>
      </c>
      <c r="J153" s="17"/>
      <c r="K153" s="17"/>
      <c r="L153" s="18"/>
      <c r="M153" s="3" t="s">
        <v>315</v>
      </c>
    </row>
    <row r="154" spans="1:28">
      <c r="A154" s="81" t="s">
        <v>316</v>
      </c>
      <c r="B154" s="120">
        <v>-4.6449999999999996</v>
      </c>
      <c r="C154" s="71"/>
      <c r="D154" s="12">
        <v>0.66417698790166113</v>
      </c>
      <c r="E154" s="10">
        <v>3</v>
      </c>
      <c r="F154" s="13">
        <v>175.8</v>
      </c>
      <c r="G154" s="1">
        <v>4.62</v>
      </c>
      <c r="H154" s="14">
        <f t="shared" si="2"/>
        <v>-5.6280000000000001</v>
      </c>
      <c r="I154" s="20" t="s">
        <v>598</v>
      </c>
      <c r="J154" s="21"/>
      <c r="K154" s="21"/>
      <c r="L154" s="22"/>
      <c r="M154" s="3" t="s">
        <v>317</v>
      </c>
    </row>
    <row r="155" spans="1:28">
      <c r="A155" s="82" t="s">
        <v>318</v>
      </c>
      <c r="B155" s="120">
        <v>-4.694</v>
      </c>
      <c r="C155" s="71"/>
      <c r="D155" s="12">
        <v>0.57716593661781801</v>
      </c>
      <c r="E155" s="10">
        <v>3</v>
      </c>
      <c r="F155" s="10">
        <v>349.84</v>
      </c>
      <c r="G155" s="1">
        <v>3.09</v>
      </c>
      <c r="H155" s="14">
        <f t="shared" si="2"/>
        <v>-5.8384</v>
      </c>
      <c r="I155" s="23"/>
      <c r="J155" s="7"/>
      <c r="K155" s="7"/>
      <c r="L155" s="24"/>
      <c r="M155" s="3" t="s">
        <v>319</v>
      </c>
    </row>
    <row r="156" spans="1:28">
      <c r="A156" s="83" t="s">
        <v>320</v>
      </c>
      <c r="B156" s="120">
        <v>-3.4329999999999998</v>
      </c>
      <c r="C156" s="71"/>
      <c r="D156" s="12">
        <v>0.70324590282883903</v>
      </c>
      <c r="E156" s="10">
        <v>3</v>
      </c>
      <c r="F156" s="10">
        <v>204</v>
      </c>
      <c r="G156" s="1">
        <v>0.88</v>
      </c>
      <c r="H156" s="14">
        <f t="shared" si="2"/>
        <v>-2.17</v>
      </c>
      <c r="I156" s="23"/>
      <c r="J156" s="7"/>
      <c r="K156" s="7"/>
      <c r="L156" s="24"/>
      <c r="M156" s="3" t="s">
        <v>321</v>
      </c>
    </row>
    <row r="157" spans="1:28">
      <c r="A157" s="82" t="s">
        <v>322</v>
      </c>
      <c r="B157" s="120">
        <v>-6.1439000000000004</v>
      </c>
      <c r="C157" s="71"/>
      <c r="D157" s="12">
        <v>0.7237903588794764</v>
      </c>
      <c r="E157" s="10">
        <v>7</v>
      </c>
      <c r="F157" s="10">
        <v>97.8</v>
      </c>
      <c r="G157" s="1">
        <v>6</v>
      </c>
      <c r="H157" s="14">
        <f t="shared" si="2"/>
        <v>-6.2279999999999998</v>
      </c>
      <c r="I157" s="23"/>
      <c r="J157" s="7"/>
      <c r="K157" s="7"/>
      <c r="L157" s="24"/>
      <c r="M157" s="3" t="s">
        <v>323</v>
      </c>
    </row>
    <row r="158" spans="1:28">
      <c r="A158" s="82" t="s">
        <v>324</v>
      </c>
      <c r="B158" s="120">
        <v>-6.5757000000000003</v>
      </c>
      <c r="C158" s="71"/>
      <c r="D158" s="12">
        <v>0.84033450922624497</v>
      </c>
      <c r="E158" s="10">
        <v>5</v>
      </c>
      <c r="F158" s="10">
        <v>262</v>
      </c>
      <c r="G158" s="1">
        <v>7.26</v>
      </c>
      <c r="H158" s="14">
        <f t="shared" si="2"/>
        <v>-9.129999999999999</v>
      </c>
      <c r="I158" s="23"/>
      <c r="J158" s="7"/>
      <c r="K158" s="7"/>
      <c r="L158" s="24"/>
      <c r="M158" s="3" t="s">
        <v>325</v>
      </c>
    </row>
    <row r="159" spans="1:28">
      <c r="A159" s="82" t="s">
        <v>326</v>
      </c>
      <c r="B159" s="120">
        <v>-6.18</v>
      </c>
      <c r="C159" s="71"/>
      <c r="D159" s="12">
        <v>0.70969645885144073</v>
      </c>
      <c r="E159" s="10">
        <v>11</v>
      </c>
      <c r="F159" s="10">
        <v>149.6</v>
      </c>
      <c r="G159" s="1">
        <v>6.45</v>
      </c>
      <c r="H159" s="14">
        <f t="shared" si="2"/>
        <v>-7.1959999999999997</v>
      </c>
      <c r="I159" s="23"/>
      <c r="J159" s="7"/>
      <c r="K159" s="7"/>
      <c r="L159" s="24"/>
      <c r="M159" s="3" t="s">
        <v>327</v>
      </c>
    </row>
    <row r="160" spans="1:28" s="62" customFormat="1">
      <c r="A160" s="81" t="s">
        <v>328</v>
      </c>
      <c r="B160" s="120">
        <v>-3.8679999999999999</v>
      </c>
      <c r="C160" s="71"/>
      <c r="D160" s="12">
        <v>0.49644864464459931</v>
      </c>
      <c r="E160" s="10">
        <v>4</v>
      </c>
      <c r="F160" s="10">
        <v>304.5</v>
      </c>
      <c r="G160" s="1">
        <v>2.69</v>
      </c>
      <c r="H160" s="14">
        <f t="shared" si="2"/>
        <v>-4.9849999999999994</v>
      </c>
      <c r="I160" s="35"/>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43" t="s">
        <v>599</v>
      </c>
      <c r="B194" s="44"/>
      <c r="C194" s="44"/>
      <c r="D194" s="44"/>
      <c r="E194" s="44"/>
      <c r="F194" s="44"/>
      <c r="G194" s="44"/>
      <c r="H194" s="44"/>
      <c r="I194" s="44"/>
      <c r="J194" s="44"/>
      <c r="K194" s="44"/>
      <c r="L194" s="44"/>
      <c r="M194" s="48"/>
      <c r="N194" s="44"/>
      <c r="O194" s="44"/>
      <c r="P194" s="44"/>
      <c r="Q194" s="45"/>
    </row>
  </sheetData>
  <pageMargins left="0" right="0" top="0" bottom="0" header="0.3" footer="0.3"/>
  <pageSetup scale="54"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613FC-1452-412B-B873-2C6CDD7279AC}">
  <dimension ref="A1:AB194"/>
  <sheetViews>
    <sheetView workbookViewId="0">
      <selection activeCell="B4" sqref="B4:B9"/>
    </sheetView>
  </sheetViews>
  <sheetFormatPr baseColWidth="10" defaultColWidth="9.1640625" defaultRowHeight="15"/>
  <cols>
    <col min="1" max="1" width="18.83203125" customWidth="1"/>
    <col min="2" max="3" width="11.33203125" customWidth="1"/>
    <col min="4" max="4" width="7.6640625" customWidth="1"/>
    <col min="5" max="5" width="7.83203125" customWidth="1"/>
    <col min="6" max="6" width="10.1640625" customWidth="1"/>
    <col min="7" max="7" width="11.5" customWidth="1"/>
    <col min="9" max="9" width="13.1640625" customWidth="1"/>
    <col min="10" max="10" width="9.83203125" customWidth="1"/>
    <col min="11" max="11" width="15.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118"/>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t="s">
        <v>32</v>
      </c>
      <c r="C14" t="s">
        <v>11</v>
      </c>
    </row>
    <row r="15" spans="1:25" s="90" customFormat="1">
      <c r="A15" s="89" t="s">
        <v>12</v>
      </c>
    </row>
    <row r="16" spans="1:25">
      <c r="B16" s="117"/>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s="120">
        <v>-2.1970000000000001</v>
      </c>
      <c r="C23" s="73" t="s">
        <v>30</v>
      </c>
      <c r="D23" s="12">
        <v>0.17592262140645501</v>
      </c>
      <c r="E23" s="10">
        <v>11</v>
      </c>
      <c r="F23" s="10">
        <v>258.5</v>
      </c>
      <c r="G23" s="6">
        <v>-0.86</v>
      </c>
      <c r="H23" s="14">
        <f t="shared" ref="H23:H86" si="0">0.5-G23-0.01*(F23-25)</f>
        <v>-0.97500000000000009</v>
      </c>
      <c r="I23" s="53" t="s">
        <v>31</v>
      </c>
      <c r="J23" s="54"/>
      <c r="K23" s="14"/>
      <c r="L23" s="14"/>
      <c r="M23" s="11" t="s">
        <v>33</v>
      </c>
    </row>
    <row r="24" spans="1:28">
      <c r="A24" s="82" t="s">
        <v>35</v>
      </c>
      <c r="B24" s="120">
        <v>-3.01</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s="120">
        <v>-3.528</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s="120">
        <v>-3.8740000000000001</v>
      </c>
      <c r="C26" s="73" t="s">
        <v>46</v>
      </c>
      <c r="D26" s="12">
        <v>0.16999222507469616</v>
      </c>
      <c r="E26" s="10">
        <v>3</v>
      </c>
      <c r="F26" s="10">
        <v>234</v>
      </c>
      <c r="G26" s="6">
        <v>3.19</v>
      </c>
      <c r="H26" s="14">
        <f t="shared" si="0"/>
        <v>-4.7799999999999994</v>
      </c>
      <c r="I26" s="15" t="s">
        <v>47</v>
      </c>
      <c r="J26" s="29"/>
      <c r="K26" s="14"/>
      <c r="L26" s="14"/>
      <c r="M26" s="11" t="s">
        <v>48</v>
      </c>
    </row>
    <row r="27" spans="1:28">
      <c r="A27" s="82" t="s">
        <v>50</v>
      </c>
      <c r="B27" s="120">
        <v>-6.5114999999999998</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s="120">
        <v>-6.1715999999999998</v>
      </c>
      <c r="C28" s="71"/>
      <c r="D28" s="12">
        <v>0.18412396392404196</v>
      </c>
      <c r="E28" s="10">
        <v>3</v>
      </c>
      <c r="F28" s="10">
        <v>224.00000000000003</v>
      </c>
      <c r="G28" s="6">
        <v>5.51</v>
      </c>
      <c r="H28" s="14">
        <f t="shared" si="0"/>
        <v>-7</v>
      </c>
      <c r="I28" s="15" t="s">
        <v>56</v>
      </c>
      <c r="J28" s="29"/>
      <c r="K28" s="14"/>
      <c r="L28" s="14"/>
      <c r="M28" s="11" t="s">
        <v>57</v>
      </c>
    </row>
    <row r="29" spans="1:28">
      <c r="A29" s="81" t="s">
        <v>59</v>
      </c>
      <c r="B29" s="120">
        <v>-3.8610000000000002</v>
      </c>
      <c r="C29" s="71"/>
      <c r="D29" s="12">
        <v>0.14933733874523175</v>
      </c>
      <c r="E29" s="10">
        <v>6</v>
      </c>
      <c r="F29" s="10">
        <v>172.5</v>
      </c>
      <c r="G29" s="6">
        <v>1.78</v>
      </c>
      <c r="H29" s="14">
        <f t="shared" si="0"/>
        <v>-2.7549999999999999</v>
      </c>
      <c r="I29" s="15" t="s">
        <v>60</v>
      </c>
      <c r="J29" s="31"/>
      <c r="K29" s="14"/>
      <c r="L29" s="14"/>
      <c r="M29" s="11" t="s">
        <v>61</v>
      </c>
    </row>
    <row r="30" spans="1:28">
      <c r="A30" s="81" t="s">
        <v>63</v>
      </c>
      <c r="B30" s="120">
        <v>-2.4809999999999999</v>
      </c>
      <c r="C30" s="71"/>
      <c r="D30" s="12">
        <v>0.14842266063120066</v>
      </c>
      <c r="E30" s="10">
        <v>4</v>
      </c>
      <c r="F30" s="10">
        <v>207.50000000000003</v>
      </c>
      <c r="G30" s="6">
        <v>1.86</v>
      </c>
      <c r="H30" s="14">
        <f t="shared" si="0"/>
        <v>-3.1850000000000005</v>
      </c>
      <c r="I30" s="30" t="s">
        <v>64</v>
      </c>
      <c r="J30" s="32" t="s">
        <v>420</v>
      </c>
      <c r="K30" s="33" t="s">
        <v>421</v>
      </c>
      <c r="L30" s="34"/>
      <c r="M30" s="11" t="s">
        <v>65</v>
      </c>
    </row>
    <row r="31" spans="1:28">
      <c r="A31" s="83" t="s">
        <v>66</v>
      </c>
      <c r="B31" s="120">
        <v>-3.3119999999999998</v>
      </c>
      <c r="C31" s="71"/>
      <c r="D31" s="12">
        <v>0.1617973106900604</v>
      </c>
      <c r="E31" s="10">
        <v>10</v>
      </c>
      <c r="F31" s="10">
        <v>166.5</v>
      </c>
      <c r="G31" s="6">
        <v>0.79</v>
      </c>
      <c r="H31" s="14">
        <f t="shared" si="0"/>
        <v>-1.7050000000000001</v>
      </c>
      <c r="J31" s="14"/>
      <c r="K31" s="14"/>
      <c r="L31" s="14"/>
      <c r="M31" s="11" t="s">
        <v>67</v>
      </c>
    </row>
    <row r="32" spans="1:28">
      <c r="A32" s="82" t="s">
        <v>68</v>
      </c>
      <c r="B32" s="120">
        <v>-5.2904999999999998</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s="120">
        <v>-3.8780000000000001</v>
      </c>
      <c r="C33" s="72"/>
      <c r="D33" s="4">
        <v>0.12912520605069597</v>
      </c>
      <c r="E33" s="2">
        <v>3</v>
      </c>
      <c r="F33" s="13">
        <v>192.7</v>
      </c>
      <c r="G33" s="6">
        <v>2.63</v>
      </c>
      <c r="H33" s="14">
        <f t="shared" si="0"/>
        <v>-3.8069999999999995</v>
      </c>
      <c r="I33" s="20" t="s">
        <v>422</v>
      </c>
      <c r="J33" s="21"/>
      <c r="K33" s="21"/>
      <c r="L33" s="22"/>
      <c r="M33" s="11" t="s">
        <v>72</v>
      </c>
    </row>
    <row r="34" spans="1:13">
      <c r="A34" s="81" t="s">
        <v>74</v>
      </c>
      <c r="B34" s="120">
        <v>-6.8443000000000005</v>
      </c>
      <c r="C34" s="71"/>
      <c r="D34" s="12">
        <v>0.14911462098310888</v>
      </c>
      <c r="E34" s="10">
        <v>6</v>
      </c>
      <c r="F34" s="10">
        <v>167</v>
      </c>
      <c r="G34" s="6">
        <v>6.32</v>
      </c>
      <c r="H34" s="14">
        <f t="shared" si="0"/>
        <v>-7.24</v>
      </c>
      <c r="I34" s="23" t="s">
        <v>423</v>
      </c>
      <c r="J34" s="7"/>
      <c r="K34" s="7"/>
      <c r="L34" s="24"/>
      <c r="M34" s="11" t="s">
        <v>75</v>
      </c>
    </row>
    <row r="35" spans="1:13">
      <c r="A35" s="82" t="s">
        <v>77</v>
      </c>
      <c r="B35" s="120">
        <v>-2.85</v>
      </c>
      <c r="C35" s="71"/>
      <c r="D35" s="12">
        <v>0.15809078703524676</v>
      </c>
      <c r="E35" s="10">
        <v>15</v>
      </c>
      <c r="F35" s="10">
        <v>191.5</v>
      </c>
      <c r="G35" s="6">
        <v>3.39</v>
      </c>
      <c r="H35" s="14">
        <f t="shared" si="0"/>
        <v>-4.5549999999999997</v>
      </c>
      <c r="I35" s="23" t="s">
        <v>424</v>
      </c>
      <c r="J35" s="7"/>
      <c r="K35" s="7"/>
      <c r="L35" s="24"/>
      <c r="M35" s="11" t="s">
        <v>78</v>
      </c>
    </row>
    <row r="36" spans="1:13">
      <c r="A36" s="83" t="s">
        <v>80</v>
      </c>
      <c r="B36" s="120">
        <v>-4.9859999999999998</v>
      </c>
      <c r="C36" s="71"/>
      <c r="D36" s="12">
        <v>0.1911503089068218</v>
      </c>
      <c r="E36" s="10">
        <v>3</v>
      </c>
      <c r="F36" s="10">
        <v>246.2</v>
      </c>
      <c r="G36" s="6">
        <v>3.32</v>
      </c>
      <c r="H36" s="14">
        <f t="shared" si="0"/>
        <v>-5.032</v>
      </c>
      <c r="I36" s="23" t="s">
        <v>425</v>
      </c>
      <c r="J36" s="7"/>
      <c r="K36" s="7"/>
      <c r="L36" s="24"/>
      <c r="M36" s="11" t="s">
        <v>81</v>
      </c>
    </row>
    <row r="37" spans="1:13">
      <c r="A37" s="83" t="s">
        <v>73</v>
      </c>
      <c r="B37" s="120">
        <v>-4.1719999999999997</v>
      </c>
      <c r="C37" s="71"/>
      <c r="D37" s="12">
        <v>0.19050575600734274</v>
      </c>
      <c r="E37" s="10">
        <v>4</v>
      </c>
      <c r="F37" s="10">
        <v>304</v>
      </c>
      <c r="G37" s="6">
        <v>1.74</v>
      </c>
      <c r="H37" s="14">
        <f t="shared" si="0"/>
        <v>-4.03</v>
      </c>
      <c r="I37" s="25"/>
      <c r="J37" s="7"/>
      <c r="K37" s="7"/>
      <c r="L37" s="24"/>
      <c r="M37" s="11" t="s">
        <v>83</v>
      </c>
    </row>
    <row r="38" spans="1:13">
      <c r="A38" s="81" t="s">
        <v>76</v>
      </c>
      <c r="B38" s="120">
        <v>-2.8130000000000002</v>
      </c>
      <c r="C38" s="71"/>
      <c r="D38" s="12">
        <v>0.13682393527498057</v>
      </c>
      <c r="E38" s="10">
        <v>7</v>
      </c>
      <c r="F38" s="10">
        <v>187</v>
      </c>
      <c r="G38" s="6">
        <v>-0.87</v>
      </c>
      <c r="H38" s="14">
        <f t="shared" si="0"/>
        <v>-0.25</v>
      </c>
      <c r="I38" s="25" t="s">
        <v>426</v>
      </c>
      <c r="J38" s="7"/>
      <c r="K38" s="7"/>
      <c r="L38" s="24"/>
      <c r="M38" s="66" t="s">
        <v>85</v>
      </c>
    </row>
    <row r="39" spans="1:13">
      <c r="A39" s="81" t="s">
        <v>87</v>
      </c>
      <c r="B39" s="120">
        <v>-2.7280000000000002</v>
      </c>
      <c r="C39" s="71"/>
      <c r="D39" s="12">
        <v>0.20462356367492032</v>
      </c>
      <c r="E39" s="10">
        <v>4</v>
      </c>
      <c r="F39" s="10">
        <v>221.5</v>
      </c>
      <c r="G39" s="6">
        <v>0.71</v>
      </c>
      <c r="H39" s="14">
        <f t="shared" si="0"/>
        <v>-2.1749999999999998</v>
      </c>
      <c r="I39" s="25" t="s">
        <v>427</v>
      </c>
      <c r="J39" s="7"/>
      <c r="K39" s="7"/>
      <c r="L39" s="24"/>
      <c r="M39" s="11" t="s">
        <v>88</v>
      </c>
    </row>
    <row r="40" spans="1:13">
      <c r="A40" s="81" t="s">
        <v>90</v>
      </c>
      <c r="B40" s="120">
        <v>-5.8311000000000002</v>
      </c>
      <c r="C40" s="71"/>
      <c r="D40" s="12">
        <v>0.18274602564465547</v>
      </c>
      <c r="E40" s="10">
        <v>6</v>
      </c>
      <c r="F40" s="10">
        <v>157.83333333333334</v>
      </c>
      <c r="G40" s="6">
        <v>3.51</v>
      </c>
      <c r="H40" s="14">
        <f t="shared" si="0"/>
        <v>-4.3383333333333329</v>
      </c>
      <c r="I40" s="25"/>
      <c r="J40" s="39"/>
      <c r="K40" s="39"/>
      <c r="L40" s="40"/>
      <c r="M40" s="11" t="s">
        <v>91</v>
      </c>
    </row>
    <row r="41" spans="1:13">
      <c r="A41" s="84" t="s">
        <v>93</v>
      </c>
      <c r="B41" s="120">
        <v>-2.7930000000000001</v>
      </c>
      <c r="C41" s="72"/>
      <c r="D41" s="4">
        <v>0.12610247911779729</v>
      </c>
      <c r="E41" s="2">
        <v>8</v>
      </c>
      <c r="F41" s="10">
        <v>140</v>
      </c>
      <c r="G41" s="6">
        <v>0.35</v>
      </c>
      <c r="H41" s="14">
        <f t="shared" si="0"/>
        <v>-1</v>
      </c>
      <c r="I41" s="25"/>
      <c r="J41" s="39"/>
      <c r="K41" s="39"/>
      <c r="L41" s="40"/>
      <c r="M41" s="11" t="s">
        <v>94</v>
      </c>
    </row>
    <row r="42" spans="1:13">
      <c r="A42" s="82" t="s">
        <v>96</v>
      </c>
      <c r="B42" s="120">
        <v>-2.6120000000000001</v>
      </c>
      <c r="C42" s="71"/>
      <c r="D42" s="12">
        <v>0.14493441954543959</v>
      </c>
      <c r="E42" s="10">
        <v>7</v>
      </c>
      <c r="F42" s="10">
        <v>127.93333333333334</v>
      </c>
      <c r="G42" s="6">
        <v>1.74</v>
      </c>
      <c r="H42" s="14">
        <f t="shared" si="0"/>
        <v>-2.2693333333333334</v>
      </c>
      <c r="I42" s="25"/>
      <c r="J42" s="39"/>
      <c r="K42" s="39"/>
      <c r="L42" s="40"/>
      <c r="M42" s="11" t="s">
        <v>97</v>
      </c>
    </row>
    <row r="43" spans="1:13">
      <c r="A43" s="82" t="s">
        <v>79</v>
      </c>
      <c r="B43" s="120">
        <v>-4.8970000000000002</v>
      </c>
      <c r="C43" s="71"/>
      <c r="D43" s="12">
        <v>0.14861388626870758</v>
      </c>
      <c r="E43" s="10">
        <v>7</v>
      </c>
      <c r="F43" s="10">
        <v>176</v>
      </c>
      <c r="G43" s="6">
        <v>4.4800000000000004</v>
      </c>
      <c r="H43" s="14">
        <f t="shared" si="0"/>
        <v>-5.49</v>
      </c>
      <c r="I43" s="25"/>
      <c r="J43" s="39"/>
      <c r="K43" s="39"/>
      <c r="L43" s="40"/>
      <c r="M43" s="11" t="s">
        <v>99</v>
      </c>
    </row>
    <row r="44" spans="1:13">
      <c r="A44" s="85" t="s">
        <v>101</v>
      </c>
      <c r="B44" s="120">
        <v>-4.4350000000000005</v>
      </c>
      <c r="C44" s="72"/>
      <c r="D44" s="4">
        <v>0.1280711495400205</v>
      </c>
      <c r="E44" s="2">
        <v>3</v>
      </c>
      <c r="F44" s="10">
        <v>159.69999999999999</v>
      </c>
      <c r="G44" s="6">
        <v>3.46</v>
      </c>
      <c r="H44" s="14">
        <f t="shared" si="0"/>
        <v>-4.3070000000000004</v>
      </c>
      <c r="I44" s="25"/>
      <c r="J44" s="39"/>
      <c r="K44" s="39"/>
      <c r="L44" s="40"/>
      <c r="M44" s="11" t="s">
        <v>102</v>
      </c>
    </row>
    <row r="45" spans="1:13">
      <c r="A45" s="84" t="s">
        <v>104</v>
      </c>
      <c r="B45" s="120">
        <v>-2.2400000000000002</v>
      </c>
      <c r="C45" s="72"/>
      <c r="D45" s="4">
        <v>0.21683500301481054</v>
      </c>
      <c r="E45" s="2">
        <v>8</v>
      </c>
      <c r="F45" s="10">
        <v>142</v>
      </c>
      <c r="G45" s="6">
        <v>0.6</v>
      </c>
      <c r="H45" s="14">
        <f t="shared" si="0"/>
        <v>-1.27</v>
      </c>
      <c r="I45" s="25"/>
      <c r="J45" s="39"/>
      <c r="K45" s="39"/>
      <c r="L45" s="40"/>
      <c r="M45" s="11" t="s">
        <v>105</v>
      </c>
    </row>
    <row r="46" spans="1:13">
      <c r="A46" s="82" t="s">
        <v>107</v>
      </c>
      <c r="B46" s="120">
        <v>-3.0459999999999998</v>
      </c>
      <c r="C46" s="71"/>
      <c r="D46" s="12">
        <v>0.18255878892749886</v>
      </c>
      <c r="E46" s="10">
        <v>20</v>
      </c>
      <c r="F46" s="10">
        <v>267</v>
      </c>
      <c r="G46" s="6">
        <v>1.58</v>
      </c>
      <c r="H46" s="14">
        <f t="shared" si="0"/>
        <v>-3.5</v>
      </c>
      <c r="I46" s="25"/>
      <c r="J46" s="39"/>
      <c r="K46" s="39"/>
      <c r="L46" s="40"/>
      <c r="M46" s="11" t="s">
        <v>108</v>
      </c>
    </row>
    <row r="47" spans="1:13">
      <c r="A47" s="81" t="s">
        <v>110</v>
      </c>
      <c r="B47" s="120">
        <v>-5.3635999999999999</v>
      </c>
      <c r="C47" s="71"/>
      <c r="D47" s="12">
        <v>0.16704647063532602</v>
      </c>
      <c r="E47" s="10">
        <v>6</v>
      </c>
      <c r="F47" s="10">
        <v>110.00000000000001</v>
      </c>
      <c r="G47" s="6">
        <v>3.36</v>
      </c>
      <c r="H47" s="14">
        <f t="shared" si="0"/>
        <v>-3.71</v>
      </c>
      <c r="I47" s="25"/>
      <c r="J47" s="39"/>
      <c r="K47" s="39"/>
      <c r="L47" s="40"/>
      <c r="M47" s="11" t="s">
        <v>111</v>
      </c>
    </row>
    <row r="48" spans="1:13">
      <c r="A48" s="82" t="s">
        <v>82</v>
      </c>
      <c r="B48" s="120">
        <v>-4.0120000000000005</v>
      </c>
      <c r="C48" s="71"/>
      <c r="D48" s="12">
        <v>0.17164501312359953</v>
      </c>
      <c r="E48" s="10">
        <v>7</v>
      </c>
      <c r="F48" s="10">
        <v>182</v>
      </c>
      <c r="G48" s="6">
        <v>2.67</v>
      </c>
      <c r="H48" s="14">
        <f t="shared" si="0"/>
        <v>-3.74</v>
      </c>
      <c r="I48" s="25"/>
      <c r="J48" s="39"/>
      <c r="K48" s="39"/>
      <c r="L48" s="40"/>
      <c r="M48" s="11" t="s">
        <v>113</v>
      </c>
    </row>
    <row r="49" spans="1:13">
      <c r="A49" s="84" t="s">
        <v>115</v>
      </c>
      <c r="B49" s="120">
        <v>-4.9640000000000004</v>
      </c>
      <c r="C49" s="72"/>
      <c r="D49" s="4">
        <v>0.12558353028546052</v>
      </c>
      <c r="E49" s="2">
        <v>4</v>
      </c>
      <c r="F49" s="10">
        <v>222.00000000000003</v>
      </c>
      <c r="G49" s="6">
        <v>2.56</v>
      </c>
      <c r="H49" s="14">
        <f t="shared" si="0"/>
        <v>-4.03</v>
      </c>
      <c r="I49" s="25"/>
      <c r="J49" s="39"/>
      <c r="K49" s="39"/>
      <c r="L49" s="40"/>
      <c r="M49" s="11" t="s">
        <v>116</v>
      </c>
    </row>
    <row r="50" spans="1:13">
      <c r="A50" s="82" t="s">
        <v>118</v>
      </c>
      <c r="B50" s="120">
        <v>-5.1497000000000002</v>
      </c>
      <c r="C50" s="71"/>
      <c r="D50" s="12">
        <v>0.1568133990664792</v>
      </c>
      <c r="E50" s="10">
        <v>6</v>
      </c>
      <c r="F50" s="10">
        <v>151</v>
      </c>
      <c r="G50" s="6">
        <v>3.27</v>
      </c>
      <c r="H50" s="14">
        <f t="shared" si="0"/>
        <v>-4.03</v>
      </c>
      <c r="I50" s="25"/>
      <c r="J50" s="39"/>
      <c r="K50" s="39"/>
      <c r="L50" s="40"/>
      <c r="M50" s="11" t="s">
        <v>119</v>
      </c>
    </row>
    <row r="51" spans="1:13">
      <c r="A51" s="85" t="s">
        <v>84</v>
      </c>
      <c r="B51" s="120">
        <v>-4.6470000000000002</v>
      </c>
      <c r="C51" s="72"/>
      <c r="D51" s="4">
        <v>0.12789394574374285</v>
      </c>
      <c r="E51" s="2">
        <v>5</v>
      </c>
      <c r="F51" s="10">
        <v>330</v>
      </c>
      <c r="G51" s="6">
        <v>2.87</v>
      </c>
      <c r="H51" s="14">
        <f t="shared" si="0"/>
        <v>-5.42</v>
      </c>
      <c r="I51" s="25"/>
      <c r="J51" s="39"/>
      <c r="K51" s="39"/>
      <c r="L51" s="40"/>
      <c r="M51" s="11" t="s">
        <v>120</v>
      </c>
    </row>
    <row r="52" spans="1:13">
      <c r="A52" s="82" t="s">
        <v>121</v>
      </c>
      <c r="B52" s="120">
        <v>-4.0969999999999995</v>
      </c>
      <c r="C52" s="71"/>
      <c r="D52" s="12">
        <v>0.18012800124370357</v>
      </c>
      <c r="E52" s="10">
        <v>3</v>
      </c>
      <c r="F52" s="10">
        <v>100</v>
      </c>
      <c r="G52" s="6">
        <v>3.53</v>
      </c>
      <c r="H52" s="14">
        <f t="shared" si="0"/>
        <v>-3.78</v>
      </c>
      <c r="I52" s="23"/>
      <c r="J52" s="7"/>
      <c r="K52" s="7"/>
      <c r="L52" s="24"/>
      <c r="M52" s="11" t="s">
        <v>122</v>
      </c>
    </row>
    <row r="53" spans="1:13">
      <c r="A53" s="81" t="s">
        <v>123</v>
      </c>
      <c r="B53" s="120">
        <v>-3.7919999999999998</v>
      </c>
      <c r="C53" s="71"/>
      <c r="D53" s="12">
        <v>0.18062104750721683</v>
      </c>
      <c r="E53" s="10">
        <v>16</v>
      </c>
      <c r="F53" s="10">
        <v>262.5</v>
      </c>
      <c r="G53" s="6">
        <v>1.9</v>
      </c>
      <c r="H53" s="14">
        <f t="shared" si="0"/>
        <v>-3.7749999999999999</v>
      </c>
      <c r="I53" s="23"/>
      <c r="J53" s="7"/>
      <c r="K53" s="7"/>
      <c r="L53" s="24"/>
      <c r="M53" s="11" t="s">
        <v>124</v>
      </c>
    </row>
    <row r="54" spans="1:13">
      <c r="A54" s="84" t="s">
        <v>125</v>
      </c>
      <c r="B54" s="120">
        <v>-4.0030000000000001</v>
      </c>
      <c r="C54" s="72"/>
      <c r="D54" s="4">
        <v>0.22156244268660033</v>
      </c>
      <c r="E54" s="2">
        <v>4</v>
      </c>
      <c r="F54" s="10">
        <v>328.85</v>
      </c>
      <c r="G54" s="6">
        <v>1.87</v>
      </c>
      <c r="H54" s="14">
        <f t="shared" si="0"/>
        <v>-4.4085000000000001</v>
      </c>
      <c r="I54" s="23"/>
      <c r="J54" s="7"/>
      <c r="K54" s="7"/>
      <c r="L54" s="24"/>
      <c r="M54" s="11" t="s">
        <v>126</v>
      </c>
    </row>
    <row r="55" spans="1:13">
      <c r="A55" s="82" t="s">
        <v>127</v>
      </c>
      <c r="B55" s="120">
        <v>-5.6923000000000004</v>
      </c>
      <c r="C55" s="71"/>
      <c r="D55" s="12">
        <v>0.18450811780713378</v>
      </c>
      <c r="E55" s="10">
        <v>33</v>
      </c>
      <c r="F55" s="10">
        <v>167.5</v>
      </c>
      <c r="G55" s="6">
        <v>4.3600000000000003</v>
      </c>
      <c r="H55" s="14">
        <f t="shared" si="0"/>
        <v>-5.2850000000000001</v>
      </c>
      <c r="I55" s="23"/>
      <c r="J55" s="7"/>
      <c r="K55" s="7"/>
      <c r="L55" s="24"/>
      <c r="M55" s="11" t="s">
        <v>128</v>
      </c>
    </row>
    <row r="56" spans="1:13">
      <c r="A56" s="82" t="s">
        <v>86</v>
      </c>
      <c r="B56" s="120">
        <v>-5.0111999999999997</v>
      </c>
      <c r="C56" s="71"/>
      <c r="D56" s="12">
        <v>0.15609203233531485</v>
      </c>
      <c r="E56" s="10">
        <v>3</v>
      </c>
      <c r="F56" s="10">
        <v>223</v>
      </c>
      <c r="G56" s="6">
        <v>2.99</v>
      </c>
      <c r="H56" s="14">
        <f t="shared" si="0"/>
        <v>-4.4700000000000006</v>
      </c>
      <c r="I56" s="23"/>
      <c r="J56" s="7"/>
      <c r="K56" s="7"/>
      <c r="L56" s="24"/>
      <c r="M56" s="11" t="s">
        <v>129</v>
      </c>
    </row>
    <row r="57" spans="1:13">
      <c r="A57" s="82" t="s">
        <v>89</v>
      </c>
      <c r="B57" s="120">
        <v>-4.2480000000000002</v>
      </c>
      <c r="C57" s="71"/>
      <c r="D57" s="12">
        <v>0.20872343532408041</v>
      </c>
      <c r="E57" s="10">
        <v>3</v>
      </c>
      <c r="F57" s="10">
        <v>210.5</v>
      </c>
      <c r="G57" s="6">
        <v>2.72</v>
      </c>
      <c r="H57" s="14">
        <f t="shared" si="0"/>
        <v>-4.0750000000000002</v>
      </c>
      <c r="I57" s="26"/>
      <c r="J57" s="27"/>
      <c r="K57" s="27"/>
      <c r="L57" s="28"/>
      <c r="M57" s="11" t="s">
        <v>130</v>
      </c>
    </row>
    <row r="58" spans="1:13">
      <c r="A58" s="84" t="s">
        <v>131</v>
      </c>
      <c r="B58" s="120">
        <v>-4.0659999999999998</v>
      </c>
      <c r="C58" s="72"/>
      <c r="D58" s="4">
        <v>0.1297319013416561</v>
      </c>
      <c r="E58" s="2">
        <v>3</v>
      </c>
      <c r="F58" s="10">
        <v>209.75</v>
      </c>
      <c r="G58" s="6">
        <v>3.37</v>
      </c>
      <c r="H58" s="14">
        <f t="shared" si="0"/>
        <v>-4.7175000000000002</v>
      </c>
      <c r="J58" s="14"/>
      <c r="K58" s="14"/>
      <c r="L58" s="14"/>
      <c r="M58" s="11" t="s">
        <v>132</v>
      </c>
    </row>
    <row r="59" spans="1:13">
      <c r="A59" s="81" t="s">
        <v>92</v>
      </c>
      <c r="B59" s="120">
        <v>-4.62</v>
      </c>
      <c r="C59" s="71"/>
      <c r="D59" s="12">
        <v>0.14124198841117766</v>
      </c>
      <c r="E59" s="10">
        <v>3</v>
      </c>
      <c r="F59" s="10">
        <v>53.5</v>
      </c>
      <c r="G59" s="6">
        <v>3.43</v>
      </c>
      <c r="H59" s="14">
        <f t="shared" si="0"/>
        <v>-3.2150000000000003</v>
      </c>
      <c r="I59" s="70" t="s">
        <v>133</v>
      </c>
      <c r="J59" s="75">
        <v>7841</v>
      </c>
      <c r="K59" s="34"/>
      <c r="L59" s="14"/>
      <c r="M59" s="11" t="s">
        <v>134</v>
      </c>
    </row>
    <row r="60" spans="1:13">
      <c r="A60" s="81" t="s">
        <v>135</v>
      </c>
      <c r="B60" s="120">
        <v>-1.1340000000000003</v>
      </c>
      <c r="C60" s="71"/>
      <c r="D60" s="12">
        <v>0.17069281866408892</v>
      </c>
      <c r="E60" s="10">
        <v>6</v>
      </c>
      <c r="F60" s="10">
        <v>270</v>
      </c>
      <c r="G60" s="6">
        <v>0.05</v>
      </c>
      <c r="H60" s="14">
        <f t="shared" si="0"/>
        <v>-2</v>
      </c>
      <c r="I60" s="70" t="s">
        <v>136</v>
      </c>
      <c r="J60" s="75">
        <v>1959</v>
      </c>
      <c r="K60" s="34"/>
      <c r="L60" s="14"/>
      <c r="M60" s="11" t="s">
        <v>137</v>
      </c>
    </row>
    <row r="61" spans="1:13">
      <c r="A61" s="82" t="s">
        <v>138</v>
      </c>
      <c r="B61" s="120">
        <v>-2.1139999999999999</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s="120">
        <v>-5.4451000000000001</v>
      </c>
      <c r="C62" s="71"/>
      <c r="D62" s="12">
        <v>0.18021422622763517</v>
      </c>
      <c r="E62" s="10">
        <v>5</v>
      </c>
      <c r="F62" s="10">
        <v>214.5</v>
      </c>
      <c r="G62" s="6">
        <v>3.61</v>
      </c>
      <c r="H62" s="14">
        <f t="shared" si="0"/>
        <v>-5.0049999999999999</v>
      </c>
      <c r="I62" s="14"/>
      <c r="J62" s="14"/>
      <c r="K62" s="14"/>
      <c r="L62" s="14"/>
      <c r="M62" s="11" t="s">
        <v>142</v>
      </c>
    </row>
    <row r="63" spans="1:13">
      <c r="A63" s="82" t="s">
        <v>143</v>
      </c>
      <c r="B63" s="120">
        <v>-4.9879999999999995</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s="120">
        <v>-3.9889999999999999</v>
      </c>
      <c r="C64" s="71"/>
      <c r="D64" s="12">
        <v>0.17</v>
      </c>
      <c r="E64" s="10">
        <v>3</v>
      </c>
      <c r="F64" s="10">
        <v>189</v>
      </c>
      <c r="G64" s="6">
        <v>1.34</v>
      </c>
      <c r="H64" s="14">
        <f t="shared" si="0"/>
        <v>-2.4800000000000004</v>
      </c>
      <c r="I64" s="144" t="s">
        <v>428</v>
      </c>
      <c r="J64" s="145" t="s">
        <v>606</v>
      </c>
      <c r="K64" s="21"/>
      <c r="L64" s="22"/>
      <c r="M64" s="11" t="s">
        <v>148</v>
      </c>
    </row>
    <row r="65" spans="1:13">
      <c r="A65" s="82" t="s">
        <v>149</v>
      </c>
      <c r="B65" s="120">
        <v>-4.5809999999999995</v>
      </c>
      <c r="C65" s="71"/>
      <c r="D65" s="12">
        <v>0.19794493160510693</v>
      </c>
      <c r="E65" s="10">
        <v>4</v>
      </c>
      <c r="F65" s="10">
        <v>243.5</v>
      </c>
      <c r="G65" s="6">
        <v>1.34</v>
      </c>
      <c r="H65" s="14">
        <f t="shared" si="0"/>
        <v>-3.0250000000000004</v>
      </c>
      <c r="I65" s="23" t="s">
        <v>430</v>
      </c>
      <c r="J65" s="7" t="s">
        <v>447</v>
      </c>
      <c r="K65" s="7" t="s">
        <v>448</v>
      </c>
      <c r="L65" s="24" t="s">
        <v>457</v>
      </c>
      <c r="M65" s="11" t="s">
        <v>151</v>
      </c>
    </row>
    <row r="66" spans="1:13">
      <c r="A66" s="81" t="s">
        <v>95</v>
      </c>
      <c r="B66" s="120">
        <v>-3.5880000000000001</v>
      </c>
      <c r="C66" s="71"/>
      <c r="D66" s="12">
        <v>0.21056099074293383</v>
      </c>
      <c r="E66" s="10">
        <v>3</v>
      </c>
      <c r="F66" s="10">
        <v>36.5</v>
      </c>
      <c r="G66" s="6">
        <v>2.74</v>
      </c>
      <c r="H66" s="14">
        <f t="shared" si="0"/>
        <v>-2.3550000000000004</v>
      </c>
      <c r="I66" s="23" t="s">
        <v>434</v>
      </c>
      <c r="J66" s="7" t="s">
        <v>451</v>
      </c>
      <c r="K66" s="7" t="s">
        <v>452</v>
      </c>
      <c r="L66" s="24" t="s">
        <v>461</v>
      </c>
      <c r="M66" s="11" t="s">
        <v>152</v>
      </c>
    </row>
    <row r="67" spans="1:13">
      <c r="A67" s="83" t="s">
        <v>153</v>
      </c>
      <c r="B67" s="120">
        <v>-5.0262000000000002</v>
      </c>
      <c r="C67" s="71"/>
      <c r="D67" s="12">
        <v>0.21092434073951916</v>
      </c>
      <c r="E67" s="10">
        <v>10</v>
      </c>
      <c r="F67" s="10">
        <v>186</v>
      </c>
      <c r="G67" s="6">
        <v>3.4</v>
      </c>
      <c r="H67" s="14">
        <f t="shared" si="0"/>
        <v>-4.51</v>
      </c>
      <c r="I67" s="23" t="s">
        <v>442</v>
      </c>
      <c r="J67" s="7" t="s">
        <v>455</v>
      </c>
      <c r="K67" s="7" t="s">
        <v>456</v>
      </c>
      <c r="L67" s="24" t="s">
        <v>607</v>
      </c>
      <c r="M67" s="11" t="s">
        <v>154</v>
      </c>
    </row>
    <row r="68" spans="1:13">
      <c r="A68" s="81" t="s">
        <v>98</v>
      </c>
      <c r="B68" s="120">
        <v>-3.7429999999999999</v>
      </c>
      <c r="C68" s="71"/>
      <c r="D68" s="12">
        <v>0.18695478693957188</v>
      </c>
      <c r="E68" s="10">
        <v>3</v>
      </c>
      <c r="F68" s="10">
        <v>252.99999999999997</v>
      </c>
      <c r="G68" s="6">
        <v>2.35</v>
      </c>
      <c r="H68" s="14">
        <f t="shared" si="0"/>
        <v>-4.13</v>
      </c>
      <c r="I68" s="23" t="s">
        <v>446</v>
      </c>
      <c r="J68" s="7" t="s">
        <v>459</v>
      </c>
      <c r="K68" s="7" t="s">
        <v>460</v>
      </c>
      <c r="L68" s="24" t="s">
        <v>465</v>
      </c>
      <c r="M68" s="11" t="s">
        <v>155</v>
      </c>
    </row>
    <row r="69" spans="1:13">
      <c r="A69" s="83" t="s">
        <v>156</v>
      </c>
      <c r="B69" s="120">
        <v>-4.4379999999999997</v>
      </c>
      <c r="C69" s="71"/>
      <c r="D69" s="12">
        <v>0.20491085989689112</v>
      </c>
      <c r="E69" s="10">
        <v>23</v>
      </c>
      <c r="F69" s="10">
        <v>111.00000000000001</v>
      </c>
      <c r="G69" s="6">
        <v>3.68</v>
      </c>
      <c r="H69" s="14">
        <f t="shared" si="0"/>
        <v>-4.04</v>
      </c>
      <c r="I69" s="23" t="s">
        <v>450</v>
      </c>
      <c r="J69" s="7" t="s">
        <v>463</v>
      </c>
      <c r="K69" s="7" t="s">
        <v>464</v>
      </c>
      <c r="L69" s="24" t="s">
        <v>469</v>
      </c>
      <c r="M69" s="11" t="s">
        <v>157</v>
      </c>
    </row>
    <row r="70" spans="1:13">
      <c r="A70" s="81" t="s">
        <v>158</v>
      </c>
      <c r="B70" s="120">
        <v>-3.3460000000000001</v>
      </c>
      <c r="C70" s="71"/>
      <c r="D70" s="12">
        <v>0.15545016183846921</v>
      </c>
      <c r="E70" s="10">
        <v>6</v>
      </c>
      <c r="F70" s="10">
        <v>250</v>
      </c>
      <c r="G70" s="6">
        <v>-0.04</v>
      </c>
      <c r="H70" s="14">
        <f t="shared" si="0"/>
        <v>-1.71</v>
      </c>
      <c r="I70" s="23" t="s">
        <v>454</v>
      </c>
      <c r="J70" s="7" t="s">
        <v>467</v>
      </c>
      <c r="K70" s="7" t="s">
        <v>468</v>
      </c>
      <c r="L70" s="24" t="s">
        <v>473</v>
      </c>
      <c r="M70" s="11" t="s">
        <v>159</v>
      </c>
    </row>
    <row r="71" spans="1:13">
      <c r="A71" s="82" t="s">
        <v>160</v>
      </c>
      <c r="B71" s="120">
        <v>-1.9930000000000003</v>
      </c>
      <c r="C71" s="71"/>
      <c r="D71" s="12">
        <v>0.13261436390895148</v>
      </c>
      <c r="E71" s="10">
        <v>3</v>
      </c>
      <c r="F71" s="10">
        <v>250</v>
      </c>
      <c r="G71" s="6">
        <v>-1.97</v>
      </c>
      <c r="H71" s="14">
        <f t="shared" si="0"/>
        <v>0.21999999999999975</v>
      </c>
      <c r="I71" s="23" t="s">
        <v>458</v>
      </c>
      <c r="J71" s="7" t="s">
        <v>471</v>
      </c>
      <c r="K71" s="7" t="s">
        <v>472</v>
      </c>
      <c r="L71" s="24" t="s">
        <v>608</v>
      </c>
      <c r="M71" s="11" t="s">
        <v>161</v>
      </c>
    </row>
    <row r="72" spans="1:13">
      <c r="A72" s="82" t="s">
        <v>162</v>
      </c>
      <c r="B72" s="120">
        <v>-2.8540000000000001</v>
      </c>
      <c r="C72" s="71"/>
      <c r="D72" s="12">
        <v>0.21159815676624968</v>
      </c>
      <c r="E72" s="10">
        <v>9</v>
      </c>
      <c r="F72" s="10">
        <v>208.5</v>
      </c>
      <c r="G72" s="6">
        <v>2.08</v>
      </c>
      <c r="H72" s="14">
        <f t="shared" si="0"/>
        <v>-3.415</v>
      </c>
      <c r="I72" s="23" t="s">
        <v>462</v>
      </c>
      <c r="J72" s="7" t="s">
        <v>475</v>
      </c>
      <c r="K72" s="7" t="s">
        <v>476</v>
      </c>
      <c r="L72" s="24" t="s">
        <v>477</v>
      </c>
      <c r="M72" s="11" t="s">
        <v>163</v>
      </c>
    </row>
    <row r="73" spans="1:13">
      <c r="A73" s="82" t="s">
        <v>164</v>
      </c>
      <c r="B73" s="120">
        <v>-4.6109999999999998</v>
      </c>
      <c r="C73" s="71"/>
      <c r="D73" s="12">
        <v>0.1900151243705871</v>
      </c>
      <c r="E73" s="10">
        <v>15</v>
      </c>
      <c r="F73" s="10">
        <v>220.00000000000003</v>
      </c>
      <c r="G73" s="6">
        <v>2.69</v>
      </c>
      <c r="H73" s="14">
        <f t="shared" si="0"/>
        <v>-4.1400000000000006</v>
      </c>
      <c r="I73" s="23" t="s">
        <v>466</v>
      </c>
      <c r="J73" s="7" t="s">
        <v>479</v>
      </c>
      <c r="K73" s="7" t="s">
        <v>480</v>
      </c>
      <c r="L73" s="24" t="s">
        <v>481</v>
      </c>
      <c r="M73" s="11" t="s">
        <v>165</v>
      </c>
    </row>
    <row r="74" spans="1:13">
      <c r="A74" s="82" t="s">
        <v>166</v>
      </c>
      <c r="B74" s="120">
        <v>-5.4387999999999996</v>
      </c>
      <c r="C74" s="71"/>
      <c r="D74" s="12">
        <v>0.16978183023026608</v>
      </c>
      <c r="E74" s="10">
        <v>10</v>
      </c>
      <c r="F74" s="10">
        <v>151</v>
      </c>
      <c r="G74" s="6">
        <v>4.43</v>
      </c>
      <c r="H74" s="14">
        <f t="shared" si="0"/>
        <v>-5.1899999999999995</v>
      </c>
      <c r="I74" s="23" t="s">
        <v>470</v>
      </c>
      <c r="J74" s="7" t="s">
        <v>483</v>
      </c>
      <c r="K74" s="7" t="s">
        <v>484</v>
      </c>
      <c r="L74" s="24" t="s">
        <v>485</v>
      </c>
      <c r="M74" s="11" t="s">
        <v>167</v>
      </c>
    </row>
    <row r="75" spans="1:13">
      <c r="A75" s="83" t="s">
        <v>100</v>
      </c>
      <c r="B75" s="120">
        <v>-5.7961999999999998</v>
      </c>
      <c r="C75" s="71"/>
      <c r="D75" s="12">
        <v>0.19416214604145643</v>
      </c>
      <c r="E75" s="10">
        <v>7</v>
      </c>
      <c r="F75" s="10">
        <v>154.5</v>
      </c>
      <c r="G75" s="6">
        <v>4.22</v>
      </c>
      <c r="H75" s="14">
        <f t="shared" si="0"/>
        <v>-5.0149999999999997</v>
      </c>
      <c r="I75" s="23" t="s">
        <v>474</v>
      </c>
      <c r="J75" s="7" t="s">
        <v>487</v>
      </c>
      <c r="K75" s="7" t="s">
        <v>488</v>
      </c>
      <c r="L75" s="24" t="s">
        <v>489</v>
      </c>
      <c r="M75" s="11" t="s">
        <v>168</v>
      </c>
    </row>
    <row r="76" spans="1:13">
      <c r="A76" s="82" t="s">
        <v>169</v>
      </c>
      <c r="B76" s="120">
        <v>-4.7110000000000003</v>
      </c>
      <c r="C76" s="71"/>
      <c r="D76" s="12">
        <v>0.16048013551961601</v>
      </c>
      <c r="E76" s="10">
        <v>5</v>
      </c>
      <c r="F76" s="10">
        <v>167.75</v>
      </c>
      <c r="G76" s="6">
        <v>2.87</v>
      </c>
      <c r="H76" s="14">
        <f t="shared" si="0"/>
        <v>-3.7975000000000003</v>
      </c>
      <c r="I76" s="23" t="s">
        <v>478</v>
      </c>
      <c r="J76" s="7" t="s">
        <v>491</v>
      </c>
      <c r="K76" s="7" t="s">
        <v>492</v>
      </c>
      <c r="L76" s="24" t="s">
        <v>493</v>
      </c>
      <c r="M76" s="11" t="s">
        <v>170</v>
      </c>
    </row>
    <row r="77" spans="1:13">
      <c r="A77" s="84" t="s">
        <v>171</v>
      </c>
      <c r="B77" s="120">
        <v>-5.3780000000000001</v>
      </c>
      <c r="C77" s="72"/>
      <c r="D77" s="4">
        <v>0.22239504833634874</v>
      </c>
      <c r="E77" s="2">
        <v>21</v>
      </c>
      <c r="F77" s="10">
        <v>159</v>
      </c>
      <c r="G77" s="6">
        <v>3.93</v>
      </c>
      <c r="H77" s="14">
        <f t="shared" si="0"/>
        <v>-4.7700000000000005</v>
      </c>
      <c r="I77" s="23" t="s">
        <v>482</v>
      </c>
      <c r="J77" s="7" t="s">
        <v>495</v>
      </c>
      <c r="K77" s="7" t="s">
        <v>496</v>
      </c>
      <c r="L77" s="24" t="s">
        <v>497</v>
      </c>
      <c r="M77" s="11" t="s">
        <v>172</v>
      </c>
    </row>
    <row r="78" spans="1:13">
      <c r="A78" s="82" t="s">
        <v>173</v>
      </c>
      <c r="B78" s="120">
        <v>-3.948</v>
      </c>
      <c r="C78" s="71"/>
      <c r="D78" s="12">
        <v>0.21209434799218393</v>
      </c>
      <c r="E78" s="10">
        <v>5</v>
      </c>
      <c r="F78" s="10">
        <v>213.49999999999997</v>
      </c>
      <c r="G78" s="6">
        <v>3.04</v>
      </c>
      <c r="H78" s="14">
        <f t="shared" si="0"/>
        <v>-4.4249999999999998</v>
      </c>
      <c r="I78" s="23" t="s">
        <v>486</v>
      </c>
      <c r="J78" s="7" t="s">
        <v>499</v>
      </c>
      <c r="K78" s="7" t="s">
        <v>500</v>
      </c>
      <c r="L78" s="24" t="s">
        <v>501</v>
      </c>
      <c r="M78" s="11" t="s">
        <v>174</v>
      </c>
    </row>
    <row r="79" spans="1:13">
      <c r="A79" s="82" t="s">
        <v>175</v>
      </c>
      <c r="B79" s="120">
        <v>-5.6337999999999999</v>
      </c>
      <c r="C79" s="71"/>
      <c r="D79" s="12">
        <v>0.1407224156406931</v>
      </c>
      <c r="E79" s="10">
        <v>11</v>
      </c>
      <c r="F79" s="10">
        <v>146</v>
      </c>
      <c r="G79" s="6">
        <v>4.21</v>
      </c>
      <c r="H79" s="14">
        <f t="shared" si="0"/>
        <v>-4.92</v>
      </c>
      <c r="I79" s="23" t="s">
        <v>490</v>
      </c>
      <c r="J79" s="7" t="s">
        <v>609</v>
      </c>
      <c r="K79" s="7" t="s">
        <v>504</v>
      </c>
      <c r="L79" s="24"/>
      <c r="M79" s="11" t="s">
        <v>176</v>
      </c>
    </row>
    <row r="80" spans="1:13">
      <c r="A80" s="82" t="s">
        <v>177</v>
      </c>
      <c r="B80" s="120">
        <v>-4.7930000000000001</v>
      </c>
      <c r="C80" s="71"/>
      <c r="D80" s="12">
        <v>0.21748916450754371</v>
      </c>
      <c r="E80" s="10">
        <v>5</v>
      </c>
      <c r="F80" s="10">
        <v>92.333333333333329</v>
      </c>
      <c r="G80" s="6">
        <v>4.21</v>
      </c>
      <c r="H80" s="14">
        <f t="shared" si="0"/>
        <v>-4.3833333333333329</v>
      </c>
      <c r="I80" s="23" t="s">
        <v>498</v>
      </c>
      <c r="J80" s="7" t="s">
        <v>503</v>
      </c>
      <c r="K80" s="7" t="s">
        <v>507</v>
      </c>
      <c r="L80" s="24"/>
      <c r="M80" s="11" t="s">
        <v>178</v>
      </c>
    </row>
    <row r="81" spans="1:13">
      <c r="A81" s="81" t="s">
        <v>179</v>
      </c>
      <c r="B81" s="120">
        <v>-4.54</v>
      </c>
      <c r="C81" s="71"/>
      <c r="D81" s="12">
        <v>0.20531013145176411</v>
      </c>
      <c r="E81" s="10">
        <v>8</v>
      </c>
      <c r="F81" s="10">
        <v>256</v>
      </c>
      <c r="G81" s="6">
        <v>2.71</v>
      </c>
      <c r="H81" s="14">
        <f t="shared" si="0"/>
        <v>-4.5199999999999996</v>
      </c>
      <c r="I81" s="23" t="s">
        <v>502</v>
      </c>
      <c r="J81" s="7" t="s">
        <v>506</v>
      </c>
      <c r="K81" s="7" t="s">
        <v>510</v>
      </c>
      <c r="L81" s="24"/>
      <c r="M81" s="11" t="s">
        <v>180</v>
      </c>
    </row>
    <row r="82" spans="1:13">
      <c r="A82" s="81" t="s">
        <v>181</v>
      </c>
      <c r="B82" s="120">
        <v>-4.7850000000000001</v>
      </c>
      <c r="C82" s="71"/>
      <c r="D82" s="12">
        <v>0.21176785142223761</v>
      </c>
      <c r="E82" s="10">
        <v>3</v>
      </c>
      <c r="F82" s="10">
        <v>80</v>
      </c>
      <c r="G82" s="6">
        <v>3.37</v>
      </c>
      <c r="H82" s="14">
        <f t="shared" si="0"/>
        <v>-3.42</v>
      </c>
      <c r="I82" s="23" t="s">
        <v>505</v>
      </c>
      <c r="J82" s="7" t="s">
        <v>509</v>
      </c>
      <c r="K82" s="7" t="s">
        <v>513</v>
      </c>
      <c r="L82" s="24"/>
      <c r="M82" s="11" t="s">
        <v>182</v>
      </c>
    </row>
    <row r="83" spans="1:13">
      <c r="A83" s="81" t="s">
        <v>183</v>
      </c>
      <c r="B83" s="120">
        <v>-3.5190000000000001</v>
      </c>
      <c r="C83" s="71"/>
      <c r="D83" s="12">
        <v>0.16217657762412213</v>
      </c>
      <c r="E83" s="10">
        <v>17</v>
      </c>
      <c r="F83" s="10">
        <v>153</v>
      </c>
      <c r="G83" s="6">
        <v>3.04</v>
      </c>
      <c r="H83" s="14">
        <f t="shared" si="0"/>
        <v>-3.8200000000000003</v>
      </c>
      <c r="I83" s="23" t="s">
        <v>508</v>
      </c>
      <c r="J83" s="7" t="s">
        <v>512</v>
      </c>
      <c r="K83" s="7" t="s">
        <v>516</v>
      </c>
      <c r="L83" s="24"/>
      <c r="M83" s="11" t="s">
        <v>184</v>
      </c>
    </row>
    <row r="84" spans="1:13">
      <c r="A84" s="82" t="s">
        <v>185</v>
      </c>
      <c r="B84" s="120">
        <v>-5.3182</v>
      </c>
      <c r="C84" s="71"/>
      <c r="D84" s="12">
        <v>0.20448827496623867</v>
      </c>
      <c r="E84" s="10">
        <v>3</v>
      </c>
      <c r="F84" s="10">
        <v>349.84</v>
      </c>
      <c r="G84" s="6">
        <v>4.75</v>
      </c>
      <c r="H84" s="14">
        <f t="shared" si="0"/>
        <v>-7.4984000000000002</v>
      </c>
      <c r="I84" s="23" t="s">
        <v>511</v>
      </c>
      <c r="J84" s="7" t="s">
        <v>518</v>
      </c>
      <c r="K84" s="7" t="s">
        <v>525</v>
      </c>
      <c r="L84" s="24"/>
      <c r="M84" s="11" t="s">
        <v>186</v>
      </c>
    </row>
    <row r="85" spans="1:13">
      <c r="A85" s="82" t="s">
        <v>187</v>
      </c>
      <c r="B85" s="120">
        <v>-3.5379999999999998</v>
      </c>
      <c r="C85" s="71"/>
      <c r="D85" s="12">
        <v>0.14358294446577732</v>
      </c>
      <c r="E85" s="10">
        <v>6</v>
      </c>
      <c r="F85" s="10">
        <v>248</v>
      </c>
      <c r="G85" s="6">
        <v>2.65</v>
      </c>
      <c r="H85" s="14">
        <f t="shared" si="0"/>
        <v>-4.38</v>
      </c>
      <c r="I85" s="23" t="s">
        <v>514</v>
      </c>
      <c r="J85" s="7" t="s">
        <v>521</v>
      </c>
      <c r="K85" s="7" t="s">
        <v>528</v>
      </c>
      <c r="L85" s="24"/>
      <c r="M85" s="11" t="s">
        <v>188</v>
      </c>
    </row>
    <row r="86" spans="1:13">
      <c r="A86" s="82" t="s">
        <v>189</v>
      </c>
      <c r="B86" s="120">
        <v>-4.2249999999999996</v>
      </c>
      <c r="C86" s="71"/>
      <c r="D86" s="12">
        <v>0.15384096988991314</v>
      </c>
      <c r="E86" s="10">
        <v>11</v>
      </c>
      <c r="F86" s="10">
        <v>173</v>
      </c>
      <c r="G86" s="6">
        <v>2.1800000000000002</v>
      </c>
      <c r="H86" s="14">
        <f t="shared" si="0"/>
        <v>-3.16</v>
      </c>
      <c r="I86" s="23" t="s">
        <v>517</v>
      </c>
      <c r="J86" s="7" t="s">
        <v>524</v>
      </c>
      <c r="K86" s="7" t="s">
        <v>534</v>
      </c>
      <c r="L86" s="24"/>
      <c r="M86" s="11" t="s">
        <v>190</v>
      </c>
    </row>
    <row r="87" spans="1:13">
      <c r="A87" s="82" t="s">
        <v>191</v>
      </c>
      <c r="B87" s="120">
        <v>-4.6399999999999997</v>
      </c>
      <c r="C87" s="71"/>
      <c r="D87" s="12">
        <v>0.14176528631434945</v>
      </c>
      <c r="E87" s="10">
        <v>5</v>
      </c>
      <c r="F87" s="10">
        <v>143.75</v>
      </c>
      <c r="G87" s="6">
        <v>2.76</v>
      </c>
      <c r="H87" s="14">
        <f t="shared" ref="H87:H122" si="1">0.5-G87-0.01*(F87-25)</f>
        <v>-3.4474999999999998</v>
      </c>
      <c r="I87" s="23" t="s">
        <v>520</v>
      </c>
      <c r="J87" s="7" t="s">
        <v>527</v>
      </c>
      <c r="K87" s="7" t="s">
        <v>537</v>
      </c>
      <c r="L87" s="24"/>
      <c r="M87" s="11" t="s">
        <v>192</v>
      </c>
    </row>
    <row r="88" spans="1:13">
      <c r="A88" s="82" t="s">
        <v>193</v>
      </c>
      <c r="B88" s="120">
        <v>-2.952</v>
      </c>
      <c r="C88" s="71"/>
      <c r="D88" s="12">
        <v>0.16213928191469343</v>
      </c>
      <c r="E88" s="10">
        <v>19</v>
      </c>
      <c r="F88" s="10">
        <v>220.5</v>
      </c>
      <c r="G88" s="6">
        <v>1.27</v>
      </c>
      <c r="H88" s="14">
        <f t="shared" si="1"/>
        <v>-2.7250000000000001</v>
      </c>
      <c r="I88" s="23" t="s">
        <v>523</v>
      </c>
      <c r="J88" s="7" t="s">
        <v>530</v>
      </c>
      <c r="K88" s="7" t="s">
        <v>540</v>
      </c>
      <c r="L88" s="24"/>
      <c r="M88" s="11" t="s">
        <v>194</v>
      </c>
    </row>
    <row r="89" spans="1:13">
      <c r="A89" s="82" t="s">
        <v>195</v>
      </c>
      <c r="B89" s="120">
        <v>-4.3919999999999995</v>
      </c>
      <c r="C89" s="71"/>
      <c r="D89" s="12">
        <v>0.16127920198135692</v>
      </c>
      <c r="E89" s="10">
        <v>5</v>
      </c>
      <c r="F89" s="10">
        <v>214</v>
      </c>
      <c r="G89" s="6">
        <v>3.83</v>
      </c>
      <c r="H89" s="14">
        <f t="shared" si="1"/>
        <v>-5.2200000000000006</v>
      </c>
      <c r="I89" s="23" t="s">
        <v>526</v>
      </c>
      <c r="J89" s="7" t="s">
        <v>533</v>
      </c>
      <c r="K89" s="7" t="s">
        <v>543</v>
      </c>
      <c r="L89" s="24"/>
      <c r="M89" s="11" t="s">
        <v>196</v>
      </c>
    </row>
    <row r="90" spans="1:13">
      <c r="A90" s="83" t="s">
        <v>197</v>
      </c>
      <c r="B90" s="120">
        <v>-4.7889999999999997</v>
      </c>
      <c r="C90" s="71"/>
      <c r="D90" s="12">
        <v>0.13869006117838048</v>
      </c>
      <c r="E90" s="10">
        <v>3</v>
      </c>
      <c r="F90" s="10">
        <v>176</v>
      </c>
      <c r="G90" s="6">
        <v>2.88</v>
      </c>
      <c r="H90" s="14">
        <f t="shared" si="1"/>
        <v>-3.8899999999999997</v>
      </c>
      <c r="I90" s="23" t="s">
        <v>610</v>
      </c>
      <c r="J90" s="7" t="s">
        <v>536</v>
      </c>
      <c r="K90" s="7" t="s">
        <v>549</v>
      </c>
      <c r="L90" s="24"/>
      <c r="M90" s="11" t="s">
        <v>198</v>
      </c>
    </row>
    <row r="91" spans="1:13">
      <c r="A91" s="85" t="s">
        <v>199</v>
      </c>
      <c r="B91" s="120">
        <v>-3.0489999999999999</v>
      </c>
      <c r="C91" s="72"/>
      <c r="D91" s="4">
        <v>0.1259834086188602</v>
      </c>
      <c r="E91" s="2">
        <v>14</v>
      </c>
      <c r="F91" s="10">
        <v>253.5</v>
      </c>
      <c r="G91" s="6">
        <v>1.54</v>
      </c>
      <c r="H91" s="14">
        <f t="shared" si="1"/>
        <v>-3.3250000000000002</v>
      </c>
      <c r="I91" s="23" t="s">
        <v>529</v>
      </c>
      <c r="J91" s="7" t="s">
        <v>539</v>
      </c>
      <c r="K91" s="7" t="s">
        <v>552</v>
      </c>
      <c r="L91" s="24"/>
      <c r="M91" s="11" t="s">
        <v>200</v>
      </c>
    </row>
    <row r="92" spans="1:13">
      <c r="A92" s="82" t="s">
        <v>201</v>
      </c>
      <c r="B92" s="120">
        <v>-4.2770000000000001</v>
      </c>
      <c r="C92" s="71"/>
      <c r="D92" s="12">
        <v>0.16504944177542516</v>
      </c>
      <c r="E92" s="10">
        <v>5</v>
      </c>
      <c r="F92" s="10">
        <v>205.50000000000003</v>
      </c>
      <c r="G92" s="6">
        <v>2.4500000000000002</v>
      </c>
      <c r="H92" s="14">
        <f t="shared" si="1"/>
        <v>-3.7550000000000008</v>
      </c>
      <c r="I92" s="23" t="s">
        <v>532</v>
      </c>
      <c r="J92" s="7" t="s">
        <v>542</v>
      </c>
      <c r="K92" s="7" t="s">
        <v>555</v>
      </c>
      <c r="L92" s="24"/>
      <c r="M92" s="11" t="s">
        <v>202</v>
      </c>
    </row>
    <row r="93" spans="1:13">
      <c r="A93" s="83" t="s">
        <v>203</v>
      </c>
      <c r="B93" s="120">
        <v>-3.9929999999999999</v>
      </c>
      <c r="C93" s="71"/>
      <c r="D93" s="12">
        <v>0.19426266518058349</v>
      </c>
      <c r="E93" s="10">
        <v>3</v>
      </c>
      <c r="F93" s="10">
        <v>96</v>
      </c>
      <c r="G93" s="6">
        <v>3.49</v>
      </c>
      <c r="H93" s="14">
        <f t="shared" si="1"/>
        <v>-3.7</v>
      </c>
      <c r="I93" s="23" t="s">
        <v>535</v>
      </c>
      <c r="J93" s="7" t="s">
        <v>545</v>
      </c>
      <c r="K93" s="7" t="s">
        <v>558</v>
      </c>
      <c r="L93" s="24"/>
      <c r="M93" s="11" t="s">
        <v>204</v>
      </c>
    </row>
    <row r="94" spans="1:13">
      <c r="A94" s="82" t="s">
        <v>205</v>
      </c>
      <c r="B94" s="120">
        <v>-4.859</v>
      </c>
      <c r="C94" s="71"/>
      <c r="D94" s="12">
        <v>0.18894337149737056</v>
      </c>
      <c r="E94" s="10">
        <v>12</v>
      </c>
      <c r="F94" s="10">
        <v>147.25</v>
      </c>
      <c r="G94" s="6">
        <v>3.86</v>
      </c>
      <c r="H94" s="14">
        <f t="shared" si="1"/>
        <v>-4.5824999999999996</v>
      </c>
      <c r="I94" s="23" t="s">
        <v>538</v>
      </c>
      <c r="J94" s="7" t="s">
        <v>548</v>
      </c>
      <c r="K94" s="7" t="s">
        <v>561</v>
      </c>
      <c r="L94" s="24"/>
      <c r="M94" s="11" t="s">
        <v>206</v>
      </c>
    </row>
    <row r="95" spans="1:13">
      <c r="A95" s="82" t="s">
        <v>207</v>
      </c>
      <c r="B95" s="120">
        <v>-5.2384000000000004</v>
      </c>
      <c r="C95" s="71"/>
      <c r="D95" s="12">
        <v>0.17391407185160324</v>
      </c>
      <c r="E95" s="10">
        <v>6</v>
      </c>
      <c r="F95" s="10">
        <v>97</v>
      </c>
      <c r="G95" s="6">
        <v>3.94</v>
      </c>
      <c r="H95" s="14">
        <f t="shared" si="1"/>
        <v>-4.16</v>
      </c>
      <c r="I95" s="23" t="s">
        <v>544</v>
      </c>
      <c r="J95" s="7" t="s">
        <v>551</v>
      </c>
      <c r="K95" s="7" t="s">
        <v>564</v>
      </c>
      <c r="L95" s="24"/>
      <c r="M95" s="11" t="s">
        <v>208</v>
      </c>
    </row>
    <row r="96" spans="1:13">
      <c r="A96" s="81" t="s">
        <v>209</v>
      </c>
      <c r="B96" s="120">
        <v>-3.2069999999999999</v>
      </c>
      <c r="C96" s="71"/>
      <c r="D96" s="12">
        <v>0.13764369691033657</v>
      </c>
      <c r="E96" s="10">
        <v>10</v>
      </c>
      <c r="F96" s="10">
        <v>134.5</v>
      </c>
      <c r="G96" s="6">
        <v>2.04</v>
      </c>
      <c r="H96" s="14">
        <f t="shared" si="1"/>
        <v>-2.6349999999999998</v>
      </c>
      <c r="I96" s="23" t="s">
        <v>547</v>
      </c>
      <c r="J96" s="7" t="s">
        <v>554</v>
      </c>
      <c r="K96" s="7" t="s">
        <v>567</v>
      </c>
      <c r="L96" s="24"/>
      <c r="M96" s="11" t="s">
        <v>210</v>
      </c>
    </row>
    <row r="97" spans="1:13">
      <c r="A97" s="82" t="s">
        <v>211</v>
      </c>
      <c r="B97" s="120">
        <v>-3.8980000000000001</v>
      </c>
      <c r="C97" s="71"/>
      <c r="D97" s="12">
        <v>0.16245746888591447</v>
      </c>
      <c r="E97" s="10">
        <v>7</v>
      </c>
      <c r="F97" s="10">
        <v>139</v>
      </c>
      <c r="G97" s="6">
        <v>2.66</v>
      </c>
      <c r="H97" s="14">
        <f t="shared" si="1"/>
        <v>-3.3000000000000003</v>
      </c>
      <c r="I97" s="23" t="s">
        <v>550</v>
      </c>
      <c r="J97" s="7" t="s">
        <v>557</v>
      </c>
      <c r="K97" s="7" t="s">
        <v>570</v>
      </c>
      <c r="L97" s="24"/>
      <c r="M97" s="11" t="s">
        <v>212</v>
      </c>
    </row>
    <row r="98" spans="1:13">
      <c r="A98" s="82" t="s">
        <v>213</v>
      </c>
      <c r="B98" s="120">
        <v>-2.4319999999999999</v>
      </c>
      <c r="C98" s="71"/>
      <c r="D98" s="12">
        <v>0.15322122505052199</v>
      </c>
      <c r="E98" s="10">
        <v>9</v>
      </c>
      <c r="F98" s="10">
        <v>170</v>
      </c>
      <c r="G98" s="6">
        <v>1.91</v>
      </c>
      <c r="H98" s="14">
        <f t="shared" si="1"/>
        <v>-2.86</v>
      </c>
      <c r="I98" s="23" t="s">
        <v>553</v>
      </c>
      <c r="J98" s="7" t="s">
        <v>560</v>
      </c>
      <c r="K98" s="7" t="s">
        <v>611</v>
      </c>
      <c r="L98" s="24"/>
      <c r="M98" s="11" t="s">
        <v>214</v>
      </c>
    </row>
    <row r="99" spans="1:13">
      <c r="A99" s="81" t="s">
        <v>215</v>
      </c>
      <c r="B99" s="120">
        <v>-3.5870000000000002</v>
      </c>
      <c r="C99" s="71"/>
      <c r="D99" s="12">
        <v>0.15273607916541068</v>
      </c>
      <c r="E99" s="10">
        <v>10</v>
      </c>
      <c r="F99" s="10">
        <v>326</v>
      </c>
      <c r="G99" s="6">
        <v>2.44</v>
      </c>
      <c r="H99" s="14">
        <f t="shared" si="1"/>
        <v>-4.95</v>
      </c>
      <c r="I99" s="23" t="s">
        <v>556</v>
      </c>
      <c r="J99" s="7" t="s">
        <v>563</v>
      </c>
      <c r="K99" s="7" t="s">
        <v>573</v>
      </c>
      <c r="L99" s="24"/>
      <c r="M99" s="11" t="s">
        <v>216</v>
      </c>
    </row>
    <row r="100" spans="1:13">
      <c r="A100" s="82" t="s">
        <v>217</v>
      </c>
      <c r="B100" s="120">
        <v>-3.5310000000000001</v>
      </c>
      <c r="C100" s="71"/>
      <c r="D100" s="12">
        <v>0.18404701512102448</v>
      </c>
      <c r="E100" s="10">
        <v>5</v>
      </c>
      <c r="F100" s="10">
        <v>232.50000000000003</v>
      </c>
      <c r="G100" s="6">
        <v>1.8</v>
      </c>
      <c r="H100" s="14">
        <f t="shared" si="1"/>
        <v>-3.375</v>
      </c>
      <c r="I100" s="23" t="s">
        <v>559</v>
      </c>
      <c r="J100" s="7" t="s">
        <v>566</v>
      </c>
      <c r="K100" s="7" t="s">
        <v>576</v>
      </c>
      <c r="L100" s="24"/>
      <c r="M100" s="11" t="s">
        <v>218</v>
      </c>
    </row>
    <row r="101" spans="1:13">
      <c r="A101" s="82" t="s">
        <v>219</v>
      </c>
      <c r="B101" s="120">
        <v>-3.375</v>
      </c>
      <c r="C101" s="71"/>
      <c r="D101" s="12">
        <v>0.13604063752604376</v>
      </c>
      <c r="E101" s="10">
        <v>4</v>
      </c>
      <c r="F101" s="10">
        <v>281.5</v>
      </c>
      <c r="G101" s="6">
        <v>0.54</v>
      </c>
      <c r="H101" s="14">
        <f t="shared" si="1"/>
        <v>-2.605</v>
      </c>
      <c r="I101" s="23" t="s">
        <v>562</v>
      </c>
      <c r="J101" s="7" t="s">
        <v>569</v>
      </c>
      <c r="K101" s="7" t="s">
        <v>579</v>
      </c>
      <c r="L101" s="24"/>
      <c r="M101" s="11" t="s">
        <v>220</v>
      </c>
    </row>
    <row r="102" spans="1:13">
      <c r="A102" s="82" t="s">
        <v>221</v>
      </c>
      <c r="B102" s="120">
        <v>-3.2370000000000001</v>
      </c>
      <c r="C102" s="71"/>
      <c r="D102" s="12">
        <v>0.19798964803022484</v>
      </c>
      <c r="E102" s="10">
        <v>4</v>
      </c>
      <c r="F102" s="10">
        <v>197.1</v>
      </c>
      <c r="G102" s="6">
        <v>2.2000000000000002</v>
      </c>
      <c r="H102" s="14">
        <f t="shared" si="1"/>
        <v>-3.4210000000000003</v>
      </c>
      <c r="I102" s="23" t="s">
        <v>565</v>
      </c>
      <c r="J102" s="7" t="s">
        <v>572</v>
      </c>
      <c r="K102" s="7" t="s">
        <v>582</v>
      </c>
      <c r="L102" s="24"/>
      <c r="M102" s="11" t="s">
        <v>222</v>
      </c>
    </row>
    <row r="103" spans="1:13">
      <c r="A103" s="83" t="s">
        <v>223</v>
      </c>
      <c r="B103" s="120">
        <v>-4.3959999999999999</v>
      </c>
      <c r="C103" s="71"/>
      <c r="D103" s="12">
        <v>0.13486720020739137</v>
      </c>
      <c r="E103" s="10">
        <v>4</v>
      </c>
      <c r="F103" s="10">
        <v>33</v>
      </c>
      <c r="G103" s="6">
        <v>4.24</v>
      </c>
      <c r="H103" s="14">
        <f t="shared" si="1"/>
        <v>-3.8200000000000003</v>
      </c>
      <c r="I103" s="23" t="s">
        <v>568</v>
      </c>
      <c r="J103" s="7" t="s">
        <v>575</v>
      </c>
      <c r="K103" s="7" t="s">
        <v>585</v>
      </c>
      <c r="L103" s="24"/>
      <c r="M103" s="11" t="s">
        <v>224</v>
      </c>
    </row>
    <row r="104" spans="1:13">
      <c r="A104" s="82" t="s">
        <v>225</v>
      </c>
      <c r="B104" s="120">
        <v>-4.2930000000000001</v>
      </c>
      <c r="C104" s="71"/>
      <c r="D104" s="12">
        <v>0.18801274760604275</v>
      </c>
      <c r="E104" s="10">
        <v>11</v>
      </c>
      <c r="F104" s="10">
        <v>60</v>
      </c>
      <c r="G104" s="6">
        <v>4.24</v>
      </c>
      <c r="H104" s="14">
        <f t="shared" si="1"/>
        <v>-4.09</v>
      </c>
      <c r="I104" s="23" t="s">
        <v>571</v>
      </c>
      <c r="J104" s="7" t="s">
        <v>578</v>
      </c>
      <c r="K104" s="7" t="s">
        <v>588</v>
      </c>
      <c r="L104" s="24"/>
      <c r="M104" s="11" t="s">
        <v>226</v>
      </c>
    </row>
    <row r="105" spans="1:13">
      <c r="A105" s="82" t="s">
        <v>227</v>
      </c>
      <c r="B105" s="120">
        <v>-5.6170999999999998</v>
      </c>
      <c r="C105" s="71"/>
      <c r="D105" s="12">
        <v>0.1664014074224209</v>
      </c>
      <c r="E105" s="10">
        <v>4</v>
      </c>
      <c r="F105" s="10">
        <v>130.5</v>
      </c>
      <c r="G105" s="6">
        <v>5.22</v>
      </c>
      <c r="H105" s="14">
        <f t="shared" si="1"/>
        <v>-5.7749999999999995</v>
      </c>
      <c r="I105" s="23" t="s">
        <v>574</v>
      </c>
      <c r="J105" s="7" t="s">
        <v>581</v>
      </c>
      <c r="K105" s="7" t="s">
        <v>612</v>
      </c>
      <c r="L105" s="24"/>
      <c r="M105" s="11" t="s">
        <v>228</v>
      </c>
    </row>
    <row r="106" spans="1:13">
      <c r="A106" s="83" t="s">
        <v>103</v>
      </c>
      <c r="B106" s="120">
        <v>-3.49</v>
      </c>
      <c r="C106" s="71"/>
      <c r="D106" s="12">
        <v>0.17506472136100007</v>
      </c>
      <c r="E106" s="10">
        <v>7</v>
      </c>
      <c r="F106" s="10">
        <v>254</v>
      </c>
      <c r="G106" s="6">
        <v>2.97</v>
      </c>
      <c r="H106" s="14">
        <f t="shared" si="1"/>
        <v>-4.76</v>
      </c>
      <c r="I106" s="23" t="s">
        <v>577</v>
      </c>
      <c r="J106" s="7" t="s">
        <v>584</v>
      </c>
      <c r="K106" s="7" t="s">
        <v>591</v>
      </c>
      <c r="L106" s="24"/>
      <c r="M106" s="11" t="s">
        <v>229</v>
      </c>
    </row>
    <row r="107" spans="1:13">
      <c r="A107" s="83" t="s">
        <v>230</v>
      </c>
      <c r="B107" s="120">
        <v>-5.7393999999999998</v>
      </c>
      <c r="C107" s="71"/>
      <c r="D107" s="12">
        <v>0.1605416460069265</v>
      </c>
      <c r="E107" s="10">
        <v>5</v>
      </c>
      <c r="F107" s="10">
        <v>121</v>
      </c>
      <c r="G107" s="6">
        <v>5.91</v>
      </c>
      <c r="H107" s="14">
        <f t="shared" si="1"/>
        <v>-6.37</v>
      </c>
      <c r="I107" s="23" t="s">
        <v>580</v>
      </c>
      <c r="J107" s="7" t="s">
        <v>587</v>
      </c>
      <c r="K107" s="7" t="s">
        <v>594</v>
      </c>
      <c r="L107" s="24"/>
      <c r="M107" s="11" t="s">
        <v>231</v>
      </c>
    </row>
    <row r="108" spans="1:13">
      <c r="A108" s="82" t="s">
        <v>232</v>
      </c>
      <c r="B108" s="120">
        <v>-5.0205000000000002</v>
      </c>
      <c r="C108" s="71"/>
      <c r="D108" s="12">
        <v>0.15756984748208766</v>
      </c>
      <c r="E108" s="10">
        <v>5</v>
      </c>
      <c r="F108" s="10">
        <v>206.99999999999997</v>
      </c>
      <c r="G108" s="6">
        <v>2.56</v>
      </c>
      <c r="H108" s="14">
        <f t="shared" si="1"/>
        <v>-3.88</v>
      </c>
      <c r="I108" s="23" t="s">
        <v>583</v>
      </c>
      <c r="J108" s="7" t="s">
        <v>590</v>
      </c>
      <c r="K108" s="7" t="s">
        <v>597</v>
      </c>
      <c r="L108" s="24"/>
      <c r="M108" s="11" t="s">
        <v>233</v>
      </c>
    </row>
    <row r="109" spans="1:13">
      <c r="A109" s="81" t="s">
        <v>234</v>
      </c>
      <c r="B109" s="120">
        <v>-4.9980000000000002</v>
      </c>
      <c r="C109" s="71"/>
      <c r="D109" s="12">
        <v>0.16160362353179636</v>
      </c>
      <c r="E109" s="10">
        <v>6</v>
      </c>
      <c r="F109" s="10">
        <v>134.5</v>
      </c>
      <c r="G109" s="6">
        <v>4.8499999999999996</v>
      </c>
      <c r="H109" s="14">
        <f t="shared" si="1"/>
        <v>-5.4449999999999994</v>
      </c>
      <c r="I109" s="23" t="s">
        <v>586</v>
      </c>
      <c r="J109" s="7" t="s">
        <v>593</v>
      </c>
      <c r="K109" s="7" t="s">
        <v>433</v>
      </c>
      <c r="L109" s="24"/>
      <c r="M109" s="11" t="s">
        <v>235</v>
      </c>
    </row>
    <row r="110" spans="1:13">
      <c r="A110" s="81" t="s">
        <v>236</v>
      </c>
      <c r="B110" s="120">
        <v>-3.4790000000000001</v>
      </c>
      <c r="C110" s="71"/>
      <c r="D110" s="12">
        <v>0.18685765827673947</v>
      </c>
      <c r="E110" s="10">
        <v>6</v>
      </c>
      <c r="F110" s="10">
        <v>275</v>
      </c>
      <c r="G110" s="6">
        <v>2.09</v>
      </c>
      <c r="H110" s="14">
        <f t="shared" si="1"/>
        <v>-4.09</v>
      </c>
      <c r="I110" s="23" t="s">
        <v>589</v>
      </c>
      <c r="J110" s="7" t="s">
        <v>605</v>
      </c>
      <c r="K110" s="7" t="s">
        <v>437</v>
      </c>
      <c r="L110" s="24"/>
      <c r="M110" s="11" t="s">
        <v>237</v>
      </c>
    </row>
    <row r="111" spans="1:13">
      <c r="A111" s="82" t="s">
        <v>238</v>
      </c>
      <c r="B111" s="120">
        <v>-4.5259999999999998</v>
      </c>
      <c r="C111" s="71"/>
      <c r="D111" s="12">
        <v>0.13950112944748669</v>
      </c>
      <c r="E111" s="10">
        <v>9</v>
      </c>
      <c r="F111" s="10">
        <v>220.00000000000003</v>
      </c>
      <c r="G111" s="6">
        <v>1.8</v>
      </c>
      <c r="H111" s="14">
        <f t="shared" si="1"/>
        <v>-3.2500000000000004</v>
      </c>
      <c r="I111" s="23" t="s">
        <v>595</v>
      </c>
      <c r="J111" s="7" t="s">
        <v>432</v>
      </c>
      <c r="K111" s="7" t="s">
        <v>441</v>
      </c>
      <c r="L111" s="24"/>
      <c r="M111" s="11" t="s">
        <v>239</v>
      </c>
    </row>
    <row r="112" spans="1:13">
      <c r="A112" s="85" t="s">
        <v>240</v>
      </c>
      <c r="B112" s="120">
        <v>-3.2010000000000001</v>
      </c>
      <c r="C112" s="72"/>
      <c r="D112" s="4">
        <v>0.22014005046870977</v>
      </c>
      <c r="E112" s="2">
        <v>9</v>
      </c>
      <c r="F112" s="10">
        <v>202</v>
      </c>
      <c r="G112" s="6">
        <v>1.53</v>
      </c>
      <c r="H112" s="14">
        <f t="shared" si="1"/>
        <v>-2.8</v>
      </c>
      <c r="I112" s="23" t="s">
        <v>431</v>
      </c>
      <c r="J112" s="7" t="s">
        <v>436</v>
      </c>
      <c r="K112" s="7" t="s">
        <v>445</v>
      </c>
      <c r="L112" s="24"/>
      <c r="M112" s="11" t="s">
        <v>241</v>
      </c>
    </row>
    <row r="113" spans="1:28">
      <c r="A113" s="82" t="s">
        <v>242</v>
      </c>
      <c r="B113" s="120">
        <v>-3.19</v>
      </c>
      <c r="C113" s="71"/>
      <c r="D113" s="12">
        <v>0.14014083879485537</v>
      </c>
      <c r="E113" s="10">
        <v>3</v>
      </c>
      <c r="F113" s="10">
        <v>243.00000000000003</v>
      </c>
      <c r="G113" s="6">
        <v>1.48</v>
      </c>
      <c r="H113" s="14">
        <f t="shared" si="1"/>
        <v>-3.16</v>
      </c>
      <c r="I113" s="23" t="s">
        <v>435</v>
      </c>
      <c r="J113" s="7" t="s">
        <v>440</v>
      </c>
      <c r="K113" s="7" t="s">
        <v>449</v>
      </c>
      <c r="L113" s="24"/>
      <c r="M113" s="11" t="s">
        <v>243</v>
      </c>
    </row>
    <row r="114" spans="1:28">
      <c r="A114" s="83" t="s">
        <v>244</v>
      </c>
      <c r="B114" s="120">
        <v>-4.1109999999999998</v>
      </c>
      <c r="C114" s="71"/>
      <c r="D114" s="12">
        <v>0.13726989684757951</v>
      </c>
      <c r="E114" s="10">
        <v>3</v>
      </c>
      <c r="F114" s="10">
        <v>191</v>
      </c>
      <c r="G114" s="6">
        <v>1.67</v>
      </c>
      <c r="H114" s="14">
        <f t="shared" si="1"/>
        <v>-2.83</v>
      </c>
      <c r="I114" s="23" t="s">
        <v>439</v>
      </c>
      <c r="J114" s="7" t="s">
        <v>444</v>
      </c>
      <c r="K114" s="7" t="s">
        <v>453</v>
      </c>
      <c r="L114" s="24"/>
      <c r="M114" s="11" t="s">
        <v>245</v>
      </c>
    </row>
    <row r="115" spans="1:28">
      <c r="A115" s="82" t="s">
        <v>246</v>
      </c>
      <c r="B115" s="120">
        <v>-5.2084999999999999</v>
      </c>
      <c r="C115" s="71"/>
      <c r="D115" s="12">
        <v>0.21357402153711522</v>
      </c>
      <c r="E115" s="10">
        <v>7</v>
      </c>
      <c r="F115" s="10">
        <v>183.5</v>
      </c>
      <c r="G115" s="6">
        <v>4.37</v>
      </c>
      <c r="H115" s="14">
        <f t="shared" si="1"/>
        <v>-5.4550000000000001</v>
      </c>
      <c r="I115" s="23"/>
      <c r="J115" s="7"/>
      <c r="K115" s="7"/>
      <c r="L115" s="24"/>
      <c r="M115" s="11" t="s">
        <v>247</v>
      </c>
    </row>
    <row r="116" spans="1:28">
      <c r="A116" s="82" t="s">
        <v>248</v>
      </c>
      <c r="B116" s="120">
        <v>-3.8759999999999999</v>
      </c>
      <c r="C116" s="71"/>
      <c r="D116" s="12">
        <v>0.10564411177747912</v>
      </c>
      <c r="E116" s="10">
        <v>3</v>
      </c>
      <c r="F116" s="10">
        <v>149</v>
      </c>
      <c r="G116" s="6">
        <v>2.62</v>
      </c>
      <c r="H116" s="14">
        <f t="shared" si="1"/>
        <v>-3.3600000000000003</v>
      </c>
      <c r="I116" s="23"/>
      <c r="J116" s="7"/>
      <c r="K116" s="7"/>
      <c r="L116" s="24"/>
      <c r="M116" s="11" t="s">
        <v>249</v>
      </c>
    </row>
    <row r="117" spans="1:28">
      <c r="A117" s="81" t="s">
        <v>250</v>
      </c>
      <c r="B117" s="120">
        <v>-2.6520000000000001</v>
      </c>
      <c r="C117" s="71"/>
      <c r="D117" s="12">
        <v>0.14623917640453388</v>
      </c>
      <c r="E117" s="10">
        <v>8</v>
      </c>
      <c r="F117" s="10">
        <v>165</v>
      </c>
      <c r="G117" s="6">
        <v>-0.37</v>
      </c>
      <c r="H117" s="14">
        <f t="shared" si="1"/>
        <v>-0.53000000000000014</v>
      </c>
      <c r="I117" s="23"/>
      <c r="J117" s="7"/>
      <c r="K117" s="7"/>
      <c r="L117" s="24"/>
      <c r="M117" s="11" t="s">
        <v>251</v>
      </c>
    </row>
    <row r="118" spans="1:28">
      <c r="A118" s="82" t="s">
        <v>252</v>
      </c>
      <c r="B118" s="120">
        <v>-3.3919999999999999</v>
      </c>
      <c r="C118" s="71"/>
      <c r="D118" s="12">
        <v>0.16291639539032501</v>
      </c>
      <c r="E118" s="10">
        <v>10</v>
      </c>
      <c r="F118" s="10">
        <v>225</v>
      </c>
      <c r="G118" s="6">
        <v>0.81</v>
      </c>
      <c r="H118" s="14">
        <f t="shared" si="1"/>
        <v>-2.31</v>
      </c>
      <c r="I118" s="23"/>
      <c r="J118" s="7"/>
      <c r="K118" s="7"/>
      <c r="L118" s="24"/>
      <c r="M118" s="11" t="s">
        <v>253</v>
      </c>
    </row>
    <row r="119" spans="1:28">
      <c r="A119" s="82" t="s">
        <v>254</v>
      </c>
      <c r="B119" s="120">
        <v>-3.2690000000000001</v>
      </c>
      <c r="C119" s="71"/>
      <c r="D119" s="12">
        <v>0.21166647357477791</v>
      </c>
      <c r="E119" s="10">
        <v>5</v>
      </c>
      <c r="F119" s="10">
        <v>270</v>
      </c>
      <c r="G119" s="6">
        <v>0.62</v>
      </c>
      <c r="H119" s="14">
        <f t="shared" si="1"/>
        <v>-2.5700000000000003</v>
      </c>
      <c r="I119" s="23"/>
      <c r="J119" s="7"/>
      <c r="K119" s="7"/>
      <c r="L119" s="24"/>
      <c r="M119" s="11" t="s">
        <v>255</v>
      </c>
    </row>
    <row r="120" spans="1:28">
      <c r="A120" s="81" t="s">
        <v>256</v>
      </c>
      <c r="B120" s="120">
        <v>-4.1449999999999996</v>
      </c>
      <c r="C120" s="71"/>
      <c r="D120" s="12">
        <v>0.14175650298978676</v>
      </c>
      <c r="E120" s="10">
        <v>9</v>
      </c>
      <c r="F120" s="10">
        <v>312.66666666666669</v>
      </c>
      <c r="G120" s="6">
        <v>0.83</v>
      </c>
      <c r="H120" s="14">
        <f t="shared" si="1"/>
        <v>-3.206666666666667</v>
      </c>
      <c r="I120" s="23"/>
      <c r="J120" s="7"/>
      <c r="K120" s="7"/>
      <c r="L120" s="24"/>
      <c r="M120" s="11" t="s">
        <v>257</v>
      </c>
    </row>
    <row r="121" spans="1:28">
      <c r="A121" s="82" t="s">
        <v>258</v>
      </c>
      <c r="B121" s="120">
        <v>-5.4129000000000005</v>
      </c>
      <c r="C121" s="71"/>
      <c r="D121" s="12">
        <v>0.2034688635346244</v>
      </c>
      <c r="E121" s="10">
        <v>11</v>
      </c>
      <c r="F121" s="10">
        <v>161</v>
      </c>
      <c r="G121" s="6">
        <v>3.61</v>
      </c>
      <c r="H121" s="14">
        <f t="shared" si="1"/>
        <v>-4.47</v>
      </c>
      <c r="I121" s="23"/>
      <c r="J121" s="7"/>
      <c r="K121" s="7"/>
      <c r="L121" s="24"/>
      <c r="M121" s="11" t="s">
        <v>259</v>
      </c>
    </row>
    <row r="122" spans="1:28">
      <c r="A122" s="81" t="s">
        <v>109</v>
      </c>
      <c r="B122" s="120">
        <v>-2.8330000000000002</v>
      </c>
      <c r="C122" s="71"/>
      <c r="D122" s="12">
        <v>0.20579636821699754</v>
      </c>
      <c r="E122" s="10">
        <v>3</v>
      </c>
      <c r="F122" s="10">
        <v>300</v>
      </c>
      <c r="G122" s="6">
        <v>-1.06</v>
      </c>
      <c r="H122" s="14">
        <f t="shared" si="1"/>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s="120">
        <v>-3.53</v>
      </c>
      <c r="C129" s="73" t="s">
        <v>30</v>
      </c>
      <c r="D129" s="12">
        <v>0.50033555401430185</v>
      </c>
      <c r="E129" s="10">
        <v>3</v>
      </c>
      <c r="F129" s="10">
        <v>180</v>
      </c>
      <c r="G129" s="1">
        <v>1.91</v>
      </c>
      <c r="H129" s="14">
        <f t="shared" ref="H129:H160" si="2">0.5-G129-0.01*(F129-25)</f>
        <v>-2.96</v>
      </c>
      <c r="I129" s="53" t="s">
        <v>31</v>
      </c>
      <c r="J129" s="54"/>
      <c r="K129" s="14"/>
      <c r="L129" s="14"/>
      <c r="M129" s="3" t="s">
        <v>269</v>
      </c>
    </row>
    <row r="130" spans="1:13">
      <c r="A130" s="82" t="s">
        <v>270</v>
      </c>
      <c r="B130" s="120">
        <v>-6.7442000000000002</v>
      </c>
      <c r="C130" s="73" t="s">
        <v>36</v>
      </c>
      <c r="D130" s="12">
        <v>0.5</v>
      </c>
      <c r="E130" s="6">
        <v>5</v>
      </c>
      <c r="F130" s="10">
        <v>156</v>
      </c>
      <c r="G130" s="1">
        <v>6.94</v>
      </c>
      <c r="H130" s="14">
        <f t="shared" si="2"/>
        <v>-7.75</v>
      </c>
      <c r="I130" s="53" t="s">
        <v>37</v>
      </c>
      <c r="J130" s="54"/>
      <c r="K130" s="14"/>
      <c r="L130" s="14"/>
      <c r="M130" s="3" t="s">
        <v>271</v>
      </c>
    </row>
    <row r="131" spans="1:13">
      <c r="A131" s="83" t="s">
        <v>272</v>
      </c>
      <c r="B131" s="120">
        <v>-5.1032999999999999</v>
      </c>
      <c r="C131" s="73" t="s">
        <v>41</v>
      </c>
      <c r="D131" s="12">
        <v>0.6530957900260097</v>
      </c>
      <c r="E131" s="10">
        <v>3</v>
      </c>
      <c r="F131" s="10">
        <v>208</v>
      </c>
      <c r="G131" s="1">
        <v>5.18</v>
      </c>
      <c r="H131" s="14">
        <f t="shared" si="2"/>
        <v>-6.51</v>
      </c>
      <c r="I131" s="53" t="s">
        <v>42</v>
      </c>
      <c r="J131" s="54"/>
      <c r="K131" s="14"/>
      <c r="L131" s="14"/>
      <c r="M131" s="3" t="s">
        <v>273</v>
      </c>
    </row>
    <row r="132" spans="1:13">
      <c r="A132" s="82" t="s">
        <v>274</v>
      </c>
      <c r="B132" s="120">
        <v>-2.4390000000000001</v>
      </c>
      <c r="C132" s="73" t="s">
        <v>46</v>
      </c>
      <c r="D132" s="12">
        <v>0.59285217963150294</v>
      </c>
      <c r="E132" s="10">
        <v>3</v>
      </c>
      <c r="F132" s="10">
        <v>100</v>
      </c>
      <c r="G132" s="1">
        <v>2.37</v>
      </c>
      <c r="H132" s="14">
        <f t="shared" si="2"/>
        <v>-2.62</v>
      </c>
      <c r="I132" s="15" t="s">
        <v>47</v>
      </c>
      <c r="J132" s="29"/>
      <c r="K132" s="14"/>
      <c r="L132" s="14"/>
      <c r="M132" s="3" t="s">
        <v>275</v>
      </c>
    </row>
    <row r="133" spans="1:13">
      <c r="A133" s="82" t="s">
        <v>276</v>
      </c>
      <c r="B133" s="120">
        <v>-5.7278000000000002</v>
      </c>
      <c r="C133" s="73" t="s">
        <v>51</v>
      </c>
      <c r="D133" s="12">
        <v>0.51067901383936642</v>
      </c>
      <c r="E133" s="10">
        <v>5</v>
      </c>
      <c r="F133" s="10">
        <v>217</v>
      </c>
      <c r="G133" s="1">
        <v>3.19</v>
      </c>
      <c r="H133" s="14">
        <f t="shared" si="2"/>
        <v>-4.6099999999999994</v>
      </c>
      <c r="I133" s="15" t="s">
        <v>52</v>
      </c>
      <c r="J133" s="29"/>
      <c r="K133" s="14"/>
      <c r="L133" s="14"/>
      <c r="M133" s="3" t="s">
        <v>277</v>
      </c>
    </row>
    <row r="134" spans="1:13">
      <c r="A134" s="82" t="s">
        <v>278</v>
      </c>
      <c r="B134" s="120">
        <v>-4.7610000000000001</v>
      </c>
      <c r="C134" s="71"/>
      <c r="D134" s="12">
        <v>0.83065522865171437</v>
      </c>
      <c r="E134" s="10">
        <v>3</v>
      </c>
      <c r="F134" s="10">
        <v>209.50000000000003</v>
      </c>
      <c r="G134" s="1">
        <v>4.41</v>
      </c>
      <c r="H134" s="14">
        <f t="shared" si="2"/>
        <v>-5.7550000000000008</v>
      </c>
      <c r="I134" s="15" t="s">
        <v>56</v>
      </c>
      <c r="J134" s="29"/>
      <c r="K134" s="14"/>
      <c r="L134" s="14"/>
      <c r="M134" s="3" t="s">
        <v>279</v>
      </c>
    </row>
    <row r="135" spans="1:13">
      <c r="A135" s="82" t="s">
        <v>280</v>
      </c>
      <c r="B135" s="120">
        <v>-6.0463199999999997</v>
      </c>
      <c r="C135" s="71"/>
      <c r="D135" s="12">
        <v>0.51097181417141646</v>
      </c>
      <c r="E135" s="10">
        <v>6</v>
      </c>
      <c r="F135" s="10">
        <v>97.5</v>
      </c>
      <c r="G135" s="1">
        <v>5.19</v>
      </c>
      <c r="H135" s="14">
        <f t="shared" si="2"/>
        <v>-5.415</v>
      </c>
      <c r="I135" s="15" t="s">
        <v>60</v>
      </c>
      <c r="J135" s="31"/>
      <c r="K135" s="14"/>
      <c r="L135" s="14"/>
      <c r="M135" s="3" t="s">
        <v>281</v>
      </c>
    </row>
    <row r="136" spans="1:13">
      <c r="A136" s="81" t="s">
        <v>282</v>
      </c>
      <c r="B136" s="120">
        <v>-7.62</v>
      </c>
      <c r="C136" s="71"/>
      <c r="D136" s="12">
        <v>0.92735432696895004</v>
      </c>
      <c r="E136" s="10">
        <v>5</v>
      </c>
      <c r="F136" s="10">
        <v>211</v>
      </c>
      <c r="G136" s="1">
        <v>7.49</v>
      </c>
      <c r="H136" s="14">
        <f t="shared" si="2"/>
        <v>-8.85</v>
      </c>
      <c r="I136" s="30" t="s">
        <v>64</v>
      </c>
      <c r="J136" s="32" t="s">
        <v>420</v>
      </c>
      <c r="K136" s="33" t="s">
        <v>421</v>
      </c>
      <c r="L136" s="34"/>
      <c r="M136" s="3" t="s">
        <v>283</v>
      </c>
    </row>
    <row r="137" spans="1:13">
      <c r="A137" s="82" t="s">
        <v>112</v>
      </c>
      <c r="B137" s="120">
        <v>-5.1776</v>
      </c>
      <c r="C137" s="71"/>
      <c r="D137" s="12">
        <v>0.68239272333923895</v>
      </c>
      <c r="E137" s="10">
        <v>3</v>
      </c>
      <c r="F137" s="10">
        <v>177</v>
      </c>
      <c r="G137" s="1">
        <v>3.37</v>
      </c>
      <c r="H137" s="14">
        <f t="shared" si="2"/>
        <v>-4.3900000000000006</v>
      </c>
      <c r="J137" s="14"/>
      <c r="K137" s="14"/>
      <c r="L137" s="14"/>
      <c r="M137" s="3" t="s">
        <v>284</v>
      </c>
    </row>
    <row r="138" spans="1:13">
      <c r="A138" s="82" t="s">
        <v>285</v>
      </c>
      <c r="B138" s="120">
        <v>-5.9542099999999998</v>
      </c>
      <c r="C138" s="71"/>
      <c r="D138" s="12">
        <v>0.520951861602862</v>
      </c>
      <c r="E138" s="10">
        <v>10</v>
      </c>
      <c r="F138" s="10">
        <v>228.6</v>
      </c>
      <c r="G138" s="1">
        <v>4.22</v>
      </c>
      <c r="H138" s="14">
        <f t="shared" si="2"/>
        <v>-5.7560000000000002</v>
      </c>
      <c r="I138" s="16" t="s">
        <v>286</v>
      </c>
      <c r="J138" s="17"/>
      <c r="K138" s="17"/>
      <c r="L138" s="18"/>
      <c r="M138" s="3" t="s">
        <v>287</v>
      </c>
    </row>
    <row r="139" spans="1:13">
      <c r="A139" s="81" t="s">
        <v>288</v>
      </c>
      <c r="B139" s="120">
        <v>-1.6449999999999996</v>
      </c>
      <c r="C139" s="71"/>
      <c r="D139" s="12">
        <v>0.53906642829149898</v>
      </c>
      <c r="E139" s="10">
        <v>3</v>
      </c>
      <c r="F139" s="10">
        <v>161.5</v>
      </c>
      <c r="G139" s="1">
        <v>-0.21</v>
      </c>
      <c r="H139" s="14">
        <f t="shared" si="2"/>
        <v>-0.65500000000000003</v>
      </c>
      <c r="I139" s="20" t="s">
        <v>598</v>
      </c>
      <c r="J139" s="21"/>
      <c r="K139" s="21"/>
      <c r="L139" s="22"/>
      <c r="M139" s="3" t="s">
        <v>289</v>
      </c>
    </row>
    <row r="140" spans="1:13">
      <c r="A140" s="81" t="s">
        <v>290</v>
      </c>
      <c r="B140" s="120">
        <v>-3.944</v>
      </c>
      <c r="C140" s="71"/>
      <c r="D140" s="12">
        <v>0.56233984781338708</v>
      </c>
      <c r="E140" s="10">
        <v>11</v>
      </c>
      <c r="F140" s="10">
        <v>213.49999999999997</v>
      </c>
      <c r="G140" s="1">
        <v>3.04</v>
      </c>
      <c r="H140" s="14">
        <f t="shared" si="2"/>
        <v>-4.4249999999999998</v>
      </c>
      <c r="I140" s="23"/>
      <c r="J140" s="7"/>
      <c r="K140" s="7"/>
      <c r="L140" s="24"/>
      <c r="M140" s="3" t="s">
        <v>291</v>
      </c>
    </row>
    <row r="141" spans="1:13">
      <c r="A141" s="83" t="s">
        <v>292</v>
      </c>
      <c r="B141" s="120">
        <v>-3.4780000000000002</v>
      </c>
      <c r="C141" s="71"/>
      <c r="D141" s="12">
        <v>0.54710381306524825</v>
      </c>
      <c r="E141" s="10">
        <v>4</v>
      </c>
      <c r="F141" s="10">
        <v>168.5</v>
      </c>
      <c r="G141" s="1">
        <v>3.35</v>
      </c>
      <c r="H141" s="14">
        <f t="shared" si="2"/>
        <v>-4.2850000000000001</v>
      </c>
      <c r="I141" s="23"/>
      <c r="J141" s="7"/>
      <c r="K141" s="7"/>
      <c r="L141" s="24"/>
      <c r="M141" s="3" t="s">
        <v>293</v>
      </c>
    </row>
    <row r="142" spans="1:13">
      <c r="A142" s="81" t="s">
        <v>114</v>
      </c>
      <c r="B142" s="120">
        <v>-3.0129999999999999</v>
      </c>
      <c r="C142" s="71"/>
      <c r="D142" s="12">
        <v>0.54612637818466869</v>
      </c>
      <c r="E142" s="10">
        <v>3</v>
      </c>
      <c r="F142" s="13">
        <v>124.1</v>
      </c>
      <c r="G142" s="1">
        <v>2.81</v>
      </c>
      <c r="H142" s="14">
        <f t="shared" si="2"/>
        <v>-3.3010000000000002</v>
      </c>
      <c r="I142" s="25"/>
      <c r="J142" s="7"/>
      <c r="K142" s="7"/>
      <c r="L142" s="24"/>
      <c r="M142" s="3" t="s">
        <v>294</v>
      </c>
    </row>
    <row r="143" spans="1:13">
      <c r="A143" s="81" t="s">
        <v>295</v>
      </c>
      <c r="B143" s="120">
        <v>-5.782</v>
      </c>
      <c r="C143" s="71"/>
      <c r="D143" s="12">
        <v>0.51160213896594608</v>
      </c>
      <c r="E143" s="10">
        <v>4</v>
      </c>
      <c r="F143" s="10">
        <v>165</v>
      </c>
      <c r="G143" s="1">
        <v>4.8899999999999997</v>
      </c>
      <c r="H143" s="14">
        <f t="shared" si="2"/>
        <v>-5.79</v>
      </c>
      <c r="I143" s="25"/>
      <c r="J143" s="7"/>
      <c r="K143" s="7"/>
      <c r="L143" s="24"/>
      <c r="M143" s="3" t="s">
        <v>296</v>
      </c>
    </row>
    <row r="144" spans="1:13">
      <c r="A144" s="81" t="s">
        <v>117</v>
      </c>
      <c r="B144" s="120">
        <v>-5.7622999999999998</v>
      </c>
      <c r="C144" s="71"/>
      <c r="D144" s="12">
        <v>0.65141515533308314</v>
      </c>
      <c r="E144" s="10">
        <v>4</v>
      </c>
      <c r="F144" s="10">
        <v>161.1</v>
      </c>
      <c r="G144" s="1">
        <v>4.76</v>
      </c>
      <c r="H144" s="14">
        <f t="shared" si="2"/>
        <v>-5.6209999999999996</v>
      </c>
      <c r="I144" s="25"/>
      <c r="J144" s="7"/>
      <c r="K144" s="7"/>
      <c r="L144" s="24"/>
      <c r="M144" s="3" t="s">
        <v>297</v>
      </c>
    </row>
    <row r="145" spans="1:28">
      <c r="A145" s="83" t="s">
        <v>298</v>
      </c>
      <c r="B145" s="120">
        <v>-5.0267999999999997</v>
      </c>
      <c r="C145" s="71"/>
      <c r="D145" s="12">
        <v>0.65883215509381909</v>
      </c>
      <c r="E145" s="10">
        <v>3</v>
      </c>
      <c r="F145" s="10">
        <v>155</v>
      </c>
      <c r="G145" s="1">
        <v>3.74</v>
      </c>
      <c r="H145" s="14">
        <f t="shared" si="2"/>
        <v>-4.54</v>
      </c>
      <c r="I145" s="25"/>
      <c r="J145" s="7"/>
      <c r="K145" s="7"/>
      <c r="L145" s="24"/>
      <c r="M145" s="3" t="s">
        <v>299</v>
      </c>
    </row>
    <row r="146" spans="1:28">
      <c r="A146" s="82" t="s">
        <v>300</v>
      </c>
      <c r="B146" s="120">
        <v>-5.3845999999999998</v>
      </c>
      <c r="C146" s="71"/>
      <c r="D146" s="12">
        <v>0.61400477095750339</v>
      </c>
      <c r="E146" s="10">
        <v>3</v>
      </c>
      <c r="F146" s="10">
        <v>165.4</v>
      </c>
      <c r="G146" s="1">
        <v>5.58</v>
      </c>
      <c r="H146" s="14">
        <f t="shared" si="2"/>
        <v>-6.484</v>
      </c>
      <c r="I146" s="25"/>
      <c r="J146" s="7"/>
      <c r="K146" s="7"/>
      <c r="L146" s="24"/>
      <c r="M146" s="3" t="s">
        <v>301</v>
      </c>
    </row>
    <row r="147" spans="1:28">
      <c r="A147" s="82" t="s">
        <v>302</v>
      </c>
      <c r="B147" s="120">
        <v>-6.1680999999999999</v>
      </c>
      <c r="C147" s="71"/>
      <c r="D147" s="12">
        <v>0.50406532001413251</v>
      </c>
      <c r="E147" s="10">
        <v>6</v>
      </c>
      <c r="F147" s="10">
        <v>161</v>
      </c>
      <c r="G147" s="1">
        <v>6.45</v>
      </c>
      <c r="H147" s="14">
        <f t="shared" si="2"/>
        <v>-7.3100000000000005</v>
      </c>
      <c r="I147" s="26"/>
      <c r="J147" s="27"/>
      <c r="K147" s="27"/>
      <c r="L147" s="28"/>
      <c r="M147" s="3" t="s">
        <v>303</v>
      </c>
    </row>
    <row r="148" spans="1:28">
      <c r="A148" s="82" t="s">
        <v>304</v>
      </c>
      <c r="B148" s="120">
        <v>-6.3667999999999996</v>
      </c>
      <c r="C148" s="71"/>
      <c r="D148" s="12">
        <v>0.75493366325441691</v>
      </c>
      <c r="E148" s="10">
        <v>4</v>
      </c>
      <c r="F148" s="10">
        <v>193.5</v>
      </c>
      <c r="G148" s="1">
        <v>5.41</v>
      </c>
      <c r="H148" s="14">
        <f t="shared" si="2"/>
        <v>-6.5950000000000006</v>
      </c>
      <c r="J148" s="14"/>
      <c r="K148" s="14"/>
      <c r="L148" s="14"/>
      <c r="M148" s="3" t="s">
        <v>305</v>
      </c>
    </row>
    <row r="149" spans="1:28">
      <c r="A149" s="82" t="s">
        <v>306</v>
      </c>
      <c r="B149" s="120">
        <v>-4.835</v>
      </c>
      <c r="C149" s="71"/>
      <c r="D149" s="12">
        <v>0.50089358058597189</v>
      </c>
      <c r="E149" s="10">
        <v>3</v>
      </c>
      <c r="F149" s="10">
        <v>156</v>
      </c>
      <c r="G149" s="1">
        <v>2.9</v>
      </c>
      <c r="H149" s="14">
        <f t="shared" si="2"/>
        <v>-3.71</v>
      </c>
      <c r="I149" s="70" t="s">
        <v>133</v>
      </c>
      <c r="J149" s="75">
        <v>7841</v>
      </c>
      <c r="K149" s="34"/>
      <c r="L149" s="14"/>
      <c r="M149" s="3" t="s">
        <v>307</v>
      </c>
    </row>
    <row r="150" spans="1:28">
      <c r="A150" s="83" t="s">
        <v>308</v>
      </c>
      <c r="B150" s="120">
        <v>-5.2473000000000001</v>
      </c>
      <c r="C150" s="71"/>
      <c r="D150" s="12">
        <v>0.6587984329866341</v>
      </c>
      <c r="E150" s="10">
        <v>4</v>
      </c>
      <c r="F150" s="10">
        <v>183.5</v>
      </c>
      <c r="G150" s="1">
        <v>3.16</v>
      </c>
      <c r="H150" s="14">
        <f t="shared" si="2"/>
        <v>-4.2450000000000001</v>
      </c>
      <c r="I150" s="70" t="s">
        <v>136</v>
      </c>
      <c r="J150" s="75">
        <v>1959</v>
      </c>
      <c r="K150" s="34"/>
      <c r="L150" s="14"/>
      <c r="M150" s="3" t="s">
        <v>309</v>
      </c>
    </row>
    <row r="151" spans="1:28">
      <c r="A151" s="83" t="s">
        <v>310</v>
      </c>
      <c r="B151" s="120">
        <v>-4.1920000000000002</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s="120">
        <v>-3.5190000000000001</v>
      </c>
      <c r="C152" s="71"/>
      <c r="D152" s="12">
        <v>0.57115657899345518</v>
      </c>
      <c r="E152" s="10">
        <v>7</v>
      </c>
      <c r="F152" s="10">
        <v>177</v>
      </c>
      <c r="G152" s="1">
        <v>3.17</v>
      </c>
      <c r="H152" s="14">
        <f t="shared" si="2"/>
        <v>-4.1899999999999995</v>
      </c>
      <c r="I152" s="14"/>
      <c r="J152" s="14"/>
      <c r="K152" s="14"/>
      <c r="L152" s="14"/>
      <c r="M152" s="3" t="s">
        <v>313</v>
      </c>
    </row>
    <row r="153" spans="1:28">
      <c r="A153" s="81" t="s">
        <v>314</v>
      </c>
      <c r="B153" s="120">
        <v>-6.2729999999999997</v>
      </c>
      <c r="C153" s="71"/>
      <c r="D153" s="12">
        <v>0.55807775121880254</v>
      </c>
      <c r="E153" s="10">
        <v>6</v>
      </c>
      <c r="F153" s="10">
        <v>145</v>
      </c>
      <c r="G153" s="1">
        <v>6.08</v>
      </c>
      <c r="H153" s="14">
        <f t="shared" si="2"/>
        <v>-6.78</v>
      </c>
      <c r="I153" s="19" t="s">
        <v>144</v>
      </c>
      <c r="J153" s="17"/>
      <c r="K153" s="17"/>
      <c r="L153" s="18"/>
      <c r="M153" s="3" t="s">
        <v>315</v>
      </c>
    </row>
    <row r="154" spans="1:28">
      <c r="A154" s="81" t="s">
        <v>316</v>
      </c>
      <c r="B154" s="120">
        <v>-5.5644</v>
      </c>
      <c r="C154" s="71"/>
      <c r="D154" s="12">
        <v>0.66417698790166113</v>
      </c>
      <c r="E154" s="10">
        <v>3</v>
      </c>
      <c r="F154" s="13">
        <v>175.8</v>
      </c>
      <c r="G154" s="1">
        <v>4.62</v>
      </c>
      <c r="H154" s="14">
        <f t="shared" si="2"/>
        <v>-5.6280000000000001</v>
      </c>
      <c r="I154" s="20" t="s">
        <v>598</v>
      </c>
      <c r="J154" s="21"/>
      <c r="K154" s="21"/>
      <c r="L154" s="22"/>
      <c r="M154" s="3" t="s">
        <v>317</v>
      </c>
    </row>
    <row r="155" spans="1:28">
      <c r="A155" s="82" t="s">
        <v>318</v>
      </c>
      <c r="B155" s="120">
        <v>-5.4314999999999998</v>
      </c>
      <c r="C155" s="71"/>
      <c r="D155" s="12">
        <v>0.57716593661781801</v>
      </c>
      <c r="E155" s="10">
        <v>3</v>
      </c>
      <c r="F155" s="10">
        <v>349.84</v>
      </c>
      <c r="G155" s="1">
        <v>3.09</v>
      </c>
      <c r="H155" s="14">
        <f t="shared" si="2"/>
        <v>-5.8384</v>
      </c>
      <c r="I155" s="23"/>
      <c r="J155" s="7"/>
      <c r="K155" s="7"/>
      <c r="L155" s="24"/>
      <c r="M155" s="3" t="s">
        <v>319</v>
      </c>
    </row>
    <row r="156" spans="1:28">
      <c r="A156" s="83" t="s">
        <v>320</v>
      </c>
      <c r="B156" s="120">
        <v>-4.4290000000000003</v>
      </c>
      <c r="C156" s="71"/>
      <c r="D156" s="12">
        <v>0.70324590282883903</v>
      </c>
      <c r="E156" s="10">
        <v>3</v>
      </c>
      <c r="F156" s="10">
        <v>204</v>
      </c>
      <c r="G156" s="1">
        <v>0.88</v>
      </c>
      <c r="H156" s="14">
        <f t="shared" si="2"/>
        <v>-2.17</v>
      </c>
      <c r="I156" s="23"/>
      <c r="J156" s="7"/>
      <c r="K156" s="7"/>
      <c r="L156" s="24"/>
      <c r="M156" s="3" t="s">
        <v>321</v>
      </c>
    </row>
    <row r="157" spans="1:28">
      <c r="A157" s="82" t="s">
        <v>322</v>
      </c>
      <c r="B157" s="120">
        <v>-6.6749000000000001</v>
      </c>
      <c r="C157" s="71"/>
      <c r="D157" s="12">
        <v>0.7237903588794764</v>
      </c>
      <c r="E157" s="10">
        <v>7</v>
      </c>
      <c r="F157" s="10">
        <v>97.8</v>
      </c>
      <c r="G157" s="1">
        <v>6</v>
      </c>
      <c r="H157" s="14">
        <f t="shared" si="2"/>
        <v>-6.2279999999999998</v>
      </c>
      <c r="I157" s="23"/>
      <c r="J157" s="7"/>
      <c r="K157" s="7"/>
      <c r="L157" s="24"/>
      <c r="M157" s="3" t="s">
        <v>323</v>
      </c>
    </row>
    <row r="158" spans="1:28">
      <c r="A158" s="82" t="s">
        <v>324</v>
      </c>
      <c r="B158" s="120">
        <v>-5.5408999999999997</v>
      </c>
      <c r="C158" s="71"/>
      <c r="D158" s="12">
        <v>0.84033450922624497</v>
      </c>
      <c r="E158" s="10">
        <v>5</v>
      </c>
      <c r="F158" s="10">
        <v>262</v>
      </c>
      <c r="G158" s="1">
        <v>7.26</v>
      </c>
      <c r="H158" s="14">
        <f t="shared" si="2"/>
        <v>-9.129999999999999</v>
      </c>
      <c r="I158" s="23"/>
      <c r="J158" s="7"/>
      <c r="K158" s="7"/>
      <c r="L158" s="24"/>
      <c r="M158" s="3" t="s">
        <v>325</v>
      </c>
    </row>
    <row r="159" spans="1:28">
      <c r="A159" s="82" t="s">
        <v>326</v>
      </c>
      <c r="B159" s="120">
        <v>-6.19</v>
      </c>
      <c r="C159" s="71"/>
      <c r="D159" s="12">
        <v>0.70969645885144073</v>
      </c>
      <c r="E159" s="10">
        <v>11</v>
      </c>
      <c r="F159" s="10">
        <v>149.6</v>
      </c>
      <c r="G159" s="1">
        <v>6.45</v>
      </c>
      <c r="H159" s="14">
        <f t="shared" si="2"/>
        <v>-7.1959999999999997</v>
      </c>
      <c r="I159" s="23"/>
      <c r="J159" s="7"/>
      <c r="K159" s="7"/>
      <c r="L159" s="24"/>
      <c r="M159" s="3" t="s">
        <v>327</v>
      </c>
    </row>
    <row r="160" spans="1:28" s="62" customFormat="1">
      <c r="A160" s="81" t="s">
        <v>328</v>
      </c>
      <c r="B160" s="120">
        <v>-3.0110000000000001</v>
      </c>
      <c r="C160" s="71"/>
      <c r="D160" s="12">
        <v>0.49644864464459931</v>
      </c>
      <c r="E160" s="10">
        <v>4</v>
      </c>
      <c r="F160" s="10">
        <v>304.5</v>
      </c>
      <c r="G160" s="1">
        <v>2.69</v>
      </c>
      <c r="H160" s="14">
        <f t="shared" si="2"/>
        <v>-4.9849999999999994</v>
      </c>
      <c r="I160" s="35"/>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43" t="s">
        <v>599</v>
      </c>
      <c r="B194" s="44"/>
      <c r="C194" s="44"/>
      <c r="D194" s="44"/>
      <c r="E194" s="44"/>
      <c r="F194" s="44"/>
      <c r="G194" s="44"/>
      <c r="H194" s="44"/>
      <c r="I194" s="44"/>
      <c r="J194" s="44"/>
      <c r="K194" s="44"/>
      <c r="L194" s="44"/>
      <c r="M194" s="48"/>
      <c r="N194" s="44"/>
      <c r="O194" s="44"/>
      <c r="P194" s="44"/>
      <c r="Q194" s="45"/>
    </row>
  </sheetData>
  <pageMargins left="0" right="0" top="0" bottom="0" header="0.3" footer="0.3"/>
  <pageSetup scale="54"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EA5E8-7526-499C-BC85-0A9603F415B2}">
  <dimension ref="A1:AB194"/>
  <sheetViews>
    <sheetView workbookViewId="0">
      <selection activeCell="B4" sqref="B4:B9"/>
    </sheetView>
  </sheetViews>
  <sheetFormatPr baseColWidth="10" defaultColWidth="9.1640625" defaultRowHeight="15"/>
  <cols>
    <col min="1" max="1" width="18.83203125" customWidth="1"/>
    <col min="2" max="3" width="11.33203125" customWidth="1"/>
    <col min="4" max="4" width="7.6640625" customWidth="1"/>
    <col min="5" max="5" width="7.83203125" customWidth="1"/>
    <col min="6" max="6" width="10.1640625" customWidth="1"/>
    <col min="7" max="7" width="11.5" customWidth="1"/>
    <col min="9" max="9" width="13.1640625" customWidth="1"/>
    <col min="10" max="10" width="4.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118"/>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t="s">
        <v>367</v>
      </c>
      <c r="C14" t="s">
        <v>11</v>
      </c>
    </row>
    <row r="15" spans="1:25" s="90" customFormat="1">
      <c r="A15" s="89" t="s">
        <v>12</v>
      </c>
    </row>
    <row r="16" spans="1:25">
      <c r="B16" s="117"/>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s="130">
        <v>-2.84</v>
      </c>
      <c r="C23" s="73" t="s">
        <v>30</v>
      </c>
      <c r="D23" s="12">
        <v>0.17592262140645501</v>
      </c>
      <c r="E23" s="10">
        <v>11</v>
      </c>
      <c r="F23" s="10">
        <v>258.5</v>
      </c>
      <c r="G23" s="6">
        <v>-0.86</v>
      </c>
      <c r="H23" s="14">
        <f t="shared" ref="H23:H86" si="0">0.5-G23-0.01*(F23-25)</f>
        <v>-0.97500000000000009</v>
      </c>
      <c r="I23" s="53" t="s">
        <v>31</v>
      </c>
      <c r="J23" s="54" t="s">
        <v>367</v>
      </c>
      <c r="K23" s="14"/>
      <c r="L23" s="14"/>
      <c r="M23" s="11" t="s">
        <v>33</v>
      </c>
    </row>
    <row r="24" spans="1:28">
      <c r="A24" s="82" t="s">
        <v>35</v>
      </c>
      <c r="B24" s="130">
        <v>-2.02</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s="130">
        <v>-2.66</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s="130">
        <v>-2.9</v>
      </c>
      <c r="C26" s="73" t="s">
        <v>46</v>
      </c>
      <c r="D26" s="12">
        <v>0.16999222507469616</v>
      </c>
      <c r="E26" s="10">
        <v>3</v>
      </c>
      <c r="F26" s="10">
        <v>234</v>
      </c>
      <c r="G26" s="6">
        <v>3.19</v>
      </c>
      <c r="H26" s="14">
        <f t="shared" si="0"/>
        <v>-4.7799999999999994</v>
      </c>
      <c r="I26" s="15" t="s">
        <v>47</v>
      </c>
      <c r="J26" s="29"/>
      <c r="K26" s="14"/>
      <c r="L26" s="14"/>
      <c r="M26" s="11" t="s">
        <v>48</v>
      </c>
    </row>
    <row r="27" spans="1:28">
      <c r="A27" s="82" t="s">
        <v>50</v>
      </c>
      <c r="B27" s="130">
        <v>-5.51</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s="130">
        <v>-5.96</v>
      </c>
      <c r="C28" s="71"/>
      <c r="D28" s="12">
        <v>0.18412396392404196</v>
      </c>
      <c r="E28" s="10">
        <v>3</v>
      </c>
      <c r="F28" s="10">
        <v>224.00000000000003</v>
      </c>
      <c r="G28" s="6">
        <v>5.51</v>
      </c>
      <c r="H28" s="14">
        <f t="shared" si="0"/>
        <v>-7</v>
      </c>
      <c r="I28" s="15" t="s">
        <v>56</v>
      </c>
      <c r="J28" s="29"/>
      <c r="K28" s="14"/>
      <c r="L28" s="14"/>
      <c r="M28" s="11" t="s">
        <v>57</v>
      </c>
    </row>
    <row r="29" spans="1:28">
      <c r="A29" s="81" t="s">
        <v>59</v>
      </c>
      <c r="B29" s="130">
        <v>-2.36</v>
      </c>
      <c r="C29" s="71"/>
      <c r="D29" s="12">
        <v>0.14933733874523175</v>
      </c>
      <c r="E29" s="10">
        <v>6</v>
      </c>
      <c r="F29" s="10">
        <v>172.5</v>
      </c>
      <c r="G29" s="6">
        <v>1.78</v>
      </c>
      <c r="H29" s="14">
        <f t="shared" si="0"/>
        <v>-2.7549999999999999</v>
      </c>
      <c r="I29" s="15" t="s">
        <v>60</v>
      </c>
      <c r="J29" s="31"/>
      <c r="K29" s="14"/>
      <c r="L29" s="14"/>
      <c r="M29" s="11" t="s">
        <v>61</v>
      </c>
    </row>
    <row r="30" spans="1:28">
      <c r="A30" s="81" t="s">
        <v>63</v>
      </c>
      <c r="B30" s="130">
        <v>-1.91</v>
      </c>
      <c r="C30" s="71"/>
      <c r="D30" s="12">
        <v>0.14842266063120066</v>
      </c>
      <c r="E30" s="10">
        <v>4</v>
      </c>
      <c r="F30" s="10">
        <v>207.50000000000003</v>
      </c>
      <c r="G30" s="6">
        <v>1.86</v>
      </c>
      <c r="H30" s="14">
        <f t="shared" si="0"/>
        <v>-3.1850000000000005</v>
      </c>
      <c r="I30" s="30" t="s">
        <v>64</v>
      </c>
      <c r="J30" s="32"/>
      <c r="K30" s="33"/>
      <c r="L30" s="34"/>
      <c r="M30" s="11" t="s">
        <v>65</v>
      </c>
    </row>
    <row r="31" spans="1:28">
      <c r="A31" s="83" t="s">
        <v>66</v>
      </c>
      <c r="B31" s="130">
        <v>-1.83</v>
      </c>
      <c r="C31" s="71"/>
      <c r="D31" s="12">
        <v>0.1617973106900604</v>
      </c>
      <c r="E31" s="10">
        <v>10</v>
      </c>
      <c r="F31" s="10">
        <v>166.5</v>
      </c>
      <c r="G31" s="6">
        <v>0.79</v>
      </c>
      <c r="H31" s="14">
        <f t="shared" si="0"/>
        <v>-1.7050000000000001</v>
      </c>
      <c r="J31" s="14"/>
      <c r="K31" s="14"/>
      <c r="L31" s="14"/>
      <c r="M31" s="11" t="s">
        <v>67</v>
      </c>
    </row>
    <row r="32" spans="1:28">
      <c r="A32" s="82" t="s">
        <v>68</v>
      </c>
      <c r="B32" s="130">
        <v>-4.6100000000000003</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s="130">
        <v>-3.51</v>
      </c>
      <c r="C33" s="72"/>
      <c r="D33" s="4">
        <v>0.12912520605069597</v>
      </c>
      <c r="E33" s="2">
        <v>3</v>
      </c>
      <c r="F33" s="13">
        <v>192.7</v>
      </c>
      <c r="G33" s="6">
        <v>2.63</v>
      </c>
      <c r="H33" s="14">
        <f t="shared" si="0"/>
        <v>-3.8069999999999995</v>
      </c>
      <c r="I33" s="20" t="s">
        <v>613</v>
      </c>
      <c r="J33" s="21"/>
      <c r="K33" s="21"/>
      <c r="L33" s="22"/>
      <c r="M33" s="11" t="s">
        <v>72</v>
      </c>
    </row>
    <row r="34" spans="1:13">
      <c r="A34" s="81" t="s">
        <v>74</v>
      </c>
      <c r="B34" s="130">
        <v>-9.2200000000000006</v>
      </c>
      <c r="C34" s="71"/>
      <c r="D34" s="12">
        <v>0.14911462098310888</v>
      </c>
      <c r="E34" s="10">
        <v>6</v>
      </c>
      <c r="F34" s="10">
        <v>167</v>
      </c>
      <c r="G34" s="6">
        <v>6.32</v>
      </c>
      <c r="H34" s="14">
        <f t="shared" si="0"/>
        <v>-7.24</v>
      </c>
      <c r="I34" s="23"/>
      <c r="J34" s="7"/>
      <c r="K34" s="7"/>
      <c r="L34" s="24"/>
      <c r="M34" s="11" t="s">
        <v>75</v>
      </c>
    </row>
    <row r="35" spans="1:13">
      <c r="A35" s="82" t="s">
        <v>77</v>
      </c>
      <c r="B35" s="130">
        <v>-3.52</v>
      </c>
      <c r="C35" s="71"/>
      <c r="D35" s="12">
        <v>0.15809078703524676</v>
      </c>
      <c r="E35" s="10">
        <v>15</v>
      </c>
      <c r="F35" s="10">
        <v>191.5</v>
      </c>
      <c r="G35" s="6">
        <v>3.39</v>
      </c>
      <c r="H35" s="14">
        <f t="shared" si="0"/>
        <v>-4.5549999999999997</v>
      </c>
      <c r="I35" s="23"/>
      <c r="J35" s="7"/>
      <c r="K35" s="7"/>
      <c r="L35" s="24"/>
      <c r="M35" s="11" t="s">
        <v>78</v>
      </c>
    </row>
    <row r="36" spans="1:13">
      <c r="A36" s="83" t="s">
        <v>80</v>
      </c>
      <c r="B36" s="130">
        <v>-4.17</v>
      </c>
      <c r="C36" s="71"/>
      <c r="D36" s="12">
        <v>0.1911503089068218</v>
      </c>
      <c r="E36" s="10">
        <v>3</v>
      </c>
      <c r="F36" s="10">
        <v>246.2</v>
      </c>
      <c r="G36" s="6">
        <v>3.32</v>
      </c>
      <c r="H36" s="14">
        <f t="shared" si="0"/>
        <v>-5.032</v>
      </c>
      <c r="I36" s="25"/>
      <c r="J36" s="7"/>
      <c r="K36" s="7"/>
      <c r="L36" s="24"/>
      <c r="M36" s="11" t="s">
        <v>81</v>
      </c>
    </row>
    <row r="37" spans="1:13">
      <c r="A37" s="83" t="s">
        <v>73</v>
      </c>
      <c r="B37" s="130">
        <v>-2.84</v>
      </c>
      <c r="C37" s="71"/>
      <c r="D37" s="12">
        <v>0.19050575600734274</v>
      </c>
      <c r="E37" s="10">
        <v>4</v>
      </c>
      <c r="F37" s="10">
        <v>304</v>
      </c>
      <c r="G37" s="6">
        <v>1.74</v>
      </c>
      <c r="H37" s="14">
        <f t="shared" si="0"/>
        <v>-4.03</v>
      </c>
      <c r="I37" s="25"/>
      <c r="J37" s="7"/>
      <c r="K37" s="7"/>
      <c r="L37" s="24"/>
      <c r="M37" s="11" t="s">
        <v>83</v>
      </c>
    </row>
    <row r="38" spans="1:13">
      <c r="A38" s="81" t="s">
        <v>76</v>
      </c>
      <c r="B38" s="130">
        <v>-3.56</v>
      </c>
      <c r="C38" s="71"/>
      <c r="D38" s="12">
        <v>0.13682393527498057</v>
      </c>
      <c r="E38" s="10">
        <v>7</v>
      </c>
      <c r="F38" s="10">
        <v>187</v>
      </c>
      <c r="G38" s="6">
        <v>-0.87</v>
      </c>
      <c r="H38" s="14">
        <f t="shared" si="0"/>
        <v>-0.25</v>
      </c>
      <c r="I38" s="25"/>
      <c r="J38" s="7"/>
      <c r="K38" s="7"/>
      <c r="L38" s="24"/>
      <c r="M38" s="66" t="s">
        <v>85</v>
      </c>
    </row>
    <row r="39" spans="1:13">
      <c r="A39" s="81" t="s">
        <v>87</v>
      </c>
      <c r="B39" s="130">
        <v>-3.1</v>
      </c>
      <c r="C39" s="71"/>
      <c r="D39" s="12">
        <v>0.20462356367492032</v>
      </c>
      <c r="E39" s="10">
        <v>4</v>
      </c>
      <c r="F39" s="10">
        <v>221.5</v>
      </c>
      <c r="G39" s="6">
        <v>0.71</v>
      </c>
      <c r="H39" s="14">
        <f t="shared" si="0"/>
        <v>-2.1749999999999998</v>
      </c>
      <c r="I39" s="25"/>
      <c r="J39" s="7"/>
      <c r="K39" s="7"/>
      <c r="L39" s="24"/>
      <c r="M39" s="11" t="s">
        <v>88</v>
      </c>
    </row>
    <row r="40" spans="1:13">
      <c r="A40" s="81" t="s">
        <v>90</v>
      </c>
      <c r="B40" s="130">
        <v>-5.82</v>
      </c>
      <c r="C40" s="71"/>
      <c r="D40" s="12">
        <v>0.18274602564465547</v>
      </c>
      <c r="E40" s="10">
        <v>6</v>
      </c>
      <c r="F40" s="10">
        <v>157.83333333333334</v>
      </c>
      <c r="G40" s="6">
        <v>3.51</v>
      </c>
      <c r="H40" s="14">
        <f t="shared" si="0"/>
        <v>-4.3383333333333329</v>
      </c>
      <c r="I40" s="25"/>
      <c r="J40" s="39"/>
      <c r="K40" s="39"/>
      <c r="L40" s="40"/>
      <c r="M40" s="11" t="s">
        <v>91</v>
      </c>
    </row>
    <row r="41" spans="1:13">
      <c r="A41" s="84" t="s">
        <v>93</v>
      </c>
      <c r="B41" s="130">
        <v>-2.67</v>
      </c>
      <c r="C41" s="72"/>
      <c r="D41" s="4">
        <v>0.12610247911779729</v>
      </c>
      <c r="E41" s="2">
        <v>8</v>
      </c>
      <c r="F41" s="10">
        <v>140</v>
      </c>
      <c r="G41" s="6">
        <v>0.35</v>
      </c>
      <c r="H41" s="14">
        <f t="shared" si="0"/>
        <v>-1</v>
      </c>
      <c r="I41" s="25"/>
      <c r="J41" s="39"/>
      <c r="K41" s="39"/>
      <c r="L41" s="40"/>
      <c r="M41" s="11" t="s">
        <v>94</v>
      </c>
    </row>
    <row r="42" spans="1:13">
      <c r="A42" s="82" t="s">
        <v>96</v>
      </c>
      <c r="B42" s="130">
        <v>-3.23</v>
      </c>
      <c r="C42" s="71"/>
      <c r="D42" s="12">
        <v>0.14493441954543959</v>
      </c>
      <c r="E42" s="10">
        <v>7</v>
      </c>
      <c r="F42" s="10">
        <v>127.93333333333334</v>
      </c>
      <c r="G42" s="6">
        <v>1.74</v>
      </c>
      <c r="H42" s="14">
        <f t="shared" si="0"/>
        <v>-2.2693333333333334</v>
      </c>
      <c r="I42" s="25"/>
      <c r="J42" s="39"/>
      <c r="K42" s="39"/>
      <c r="L42" s="40"/>
      <c r="M42" s="11" t="s">
        <v>97</v>
      </c>
    </row>
    <row r="43" spans="1:13">
      <c r="A43" s="82" t="s">
        <v>79</v>
      </c>
      <c r="B43" s="130">
        <v>-3.92</v>
      </c>
      <c r="C43" s="71"/>
      <c r="D43" s="12">
        <v>0.14861388626870758</v>
      </c>
      <c r="E43" s="10">
        <v>7</v>
      </c>
      <c r="F43" s="10">
        <v>176</v>
      </c>
      <c r="G43" s="6">
        <v>4.4800000000000004</v>
      </c>
      <c r="H43" s="14">
        <f t="shared" si="0"/>
        <v>-5.49</v>
      </c>
      <c r="I43" s="25"/>
      <c r="J43" s="39"/>
      <c r="K43" s="39"/>
      <c r="L43" s="40"/>
      <c r="M43" s="11" t="s">
        <v>99</v>
      </c>
    </row>
    <row r="44" spans="1:13">
      <c r="A44" s="85" t="s">
        <v>101</v>
      </c>
      <c r="B44" s="130">
        <v>-4.16</v>
      </c>
      <c r="C44" s="72"/>
      <c r="D44" s="4">
        <v>0.1280711495400205</v>
      </c>
      <c r="E44" s="2">
        <v>3</v>
      </c>
      <c r="F44" s="10">
        <v>159.69999999999999</v>
      </c>
      <c r="G44" s="6">
        <v>3.46</v>
      </c>
      <c r="H44" s="14">
        <f t="shared" si="0"/>
        <v>-4.3070000000000004</v>
      </c>
      <c r="I44" s="25"/>
      <c r="J44" s="39"/>
      <c r="K44" s="39"/>
      <c r="L44" s="40"/>
      <c r="M44" s="11" t="s">
        <v>102</v>
      </c>
    </row>
    <row r="45" spans="1:13">
      <c r="A45" s="84" t="s">
        <v>104</v>
      </c>
      <c r="B45" s="130">
        <v>-1.94</v>
      </c>
      <c r="C45" s="72"/>
      <c r="D45" s="4">
        <v>0.21683500301481054</v>
      </c>
      <c r="E45" s="2">
        <v>8</v>
      </c>
      <c r="F45" s="10">
        <v>142</v>
      </c>
      <c r="G45" s="6">
        <v>0.6</v>
      </c>
      <c r="H45" s="14">
        <f t="shared" si="0"/>
        <v>-1.27</v>
      </c>
      <c r="I45" s="25"/>
      <c r="J45" s="39"/>
      <c r="K45" s="39"/>
      <c r="L45" s="40"/>
      <c r="M45" s="11" t="s">
        <v>105</v>
      </c>
    </row>
    <row r="46" spans="1:13">
      <c r="A46" s="82" t="s">
        <v>107</v>
      </c>
      <c r="B46" s="130">
        <v>-3.21</v>
      </c>
      <c r="C46" s="71"/>
      <c r="D46" s="12">
        <v>0.18255878892749886</v>
      </c>
      <c r="E46" s="10">
        <v>20</v>
      </c>
      <c r="F46" s="10">
        <v>267</v>
      </c>
      <c r="G46" s="6">
        <v>1.58</v>
      </c>
      <c r="H46" s="14">
        <f t="shared" si="0"/>
        <v>-3.5</v>
      </c>
      <c r="I46" s="25"/>
      <c r="J46" s="39"/>
      <c r="K46" s="39"/>
      <c r="L46" s="40"/>
      <c r="M46" s="11" t="s">
        <v>108</v>
      </c>
    </row>
    <row r="47" spans="1:13">
      <c r="A47" s="81" t="s">
        <v>110</v>
      </c>
      <c r="B47" s="130">
        <v>-3.92</v>
      </c>
      <c r="C47" s="71"/>
      <c r="D47" s="12">
        <v>0.16704647063532602</v>
      </c>
      <c r="E47" s="10">
        <v>6</v>
      </c>
      <c r="F47" s="10">
        <v>110.00000000000001</v>
      </c>
      <c r="G47" s="6">
        <v>3.36</v>
      </c>
      <c r="H47" s="14">
        <f t="shared" si="0"/>
        <v>-3.71</v>
      </c>
      <c r="I47" s="25"/>
      <c r="J47" s="39"/>
      <c r="K47" s="39"/>
      <c r="L47" s="40"/>
      <c r="M47" s="11" t="s">
        <v>111</v>
      </c>
    </row>
    <row r="48" spans="1:13">
      <c r="A48" s="82" t="s">
        <v>82</v>
      </c>
      <c r="B48" s="130">
        <v>-2.97</v>
      </c>
      <c r="C48" s="71"/>
      <c r="D48" s="12">
        <v>0.17164501312359953</v>
      </c>
      <c r="E48" s="10">
        <v>7</v>
      </c>
      <c r="F48" s="10">
        <v>182</v>
      </c>
      <c r="G48" s="6">
        <v>2.67</v>
      </c>
      <c r="H48" s="14">
        <f t="shared" si="0"/>
        <v>-3.74</v>
      </c>
      <c r="I48" s="25"/>
      <c r="J48" s="39"/>
      <c r="K48" s="39"/>
      <c r="L48" s="40"/>
      <c r="M48" s="11" t="s">
        <v>113</v>
      </c>
    </row>
    <row r="49" spans="1:13">
      <c r="A49" s="84" t="s">
        <v>115</v>
      </c>
      <c r="B49" s="130">
        <v>-3.19</v>
      </c>
      <c r="C49" s="72"/>
      <c r="D49" s="4">
        <v>0.12558353028546052</v>
      </c>
      <c r="E49" s="2">
        <v>4</v>
      </c>
      <c r="F49" s="10">
        <v>222.00000000000003</v>
      </c>
      <c r="G49" s="6">
        <v>2.56</v>
      </c>
      <c r="H49" s="14">
        <f t="shared" si="0"/>
        <v>-4.03</v>
      </c>
      <c r="I49" s="25"/>
      <c r="J49" s="39"/>
      <c r="K49" s="39"/>
      <c r="L49" s="40"/>
      <c r="M49" s="11" t="s">
        <v>116</v>
      </c>
    </row>
    <row r="50" spans="1:13">
      <c r="A50" s="82" t="s">
        <v>118</v>
      </c>
      <c r="B50" s="130">
        <v>-6.96</v>
      </c>
      <c r="C50" s="71"/>
      <c r="D50" s="12">
        <v>0.1568133990664792</v>
      </c>
      <c r="E50" s="10">
        <v>6</v>
      </c>
      <c r="F50" s="10">
        <v>151</v>
      </c>
      <c r="G50" s="6">
        <v>3.27</v>
      </c>
      <c r="H50" s="14">
        <f t="shared" si="0"/>
        <v>-4.03</v>
      </c>
      <c r="I50" s="25"/>
      <c r="J50" s="39"/>
      <c r="K50" s="39"/>
      <c r="L50" s="40"/>
      <c r="M50" s="11" t="s">
        <v>119</v>
      </c>
    </row>
    <row r="51" spans="1:13">
      <c r="A51" s="85" t="s">
        <v>84</v>
      </c>
      <c r="B51" s="130">
        <v>-3.55</v>
      </c>
      <c r="C51" s="72"/>
      <c r="D51" s="4">
        <v>0.12789394574374285</v>
      </c>
      <c r="E51" s="2">
        <v>5</v>
      </c>
      <c r="F51" s="10">
        <v>330</v>
      </c>
      <c r="G51" s="6">
        <v>2.87</v>
      </c>
      <c r="H51" s="14">
        <f t="shared" si="0"/>
        <v>-5.42</v>
      </c>
      <c r="I51" s="25"/>
      <c r="J51" s="39"/>
      <c r="K51" s="39"/>
      <c r="L51" s="40"/>
      <c r="M51" s="11" t="s">
        <v>120</v>
      </c>
    </row>
    <row r="52" spans="1:13">
      <c r="A52" s="82" t="s">
        <v>121</v>
      </c>
      <c r="B52" s="130">
        <v>-4.05</v>
      </c>
      <c r="C52" s="71"/>
      <c r="D52" s="12">
        <v>0.18012800124370357</v>
      </c>
      <c r="E52" s="10">
        <v>3</v>
      </c>
      <c r="F52" s="10">
        <v>100</v>
      </c>
      <c r="G52" s="6">
        <v>3.53</v>
      </c>
      <c r="H52" s="14">
        <f t="shared" si="0"/>
        <v>-3.78</v>
      </c>
      <c r="I52" s="23"/>
      <c r="J52" s="7"/>
      <c r="K52" s="7"/>
      <c r="L52" s="24"/>
      <c r="M52" s="11" t="s">
        <v>122</v>
      </c>
    </row>
    <row r="53" spans="1:13">
      <c r="A53" s="81" t="s">
        <v>123</v>
      </c>
      <c r="B53" s="130">
        <v>-3.35</v>
      </c>
      <c r="C53" s="71"/>
      <c r="D53" s="12">
        <v>0.18062104750721683</v>
      </c>
      <c r="E53" s="10">
        <v>16</v>
      </c>
      <c r="F53" s="10">
        <v>262.5</v>
      </c>
      <c r="G53" s="6">
        <v>1.9</v>
      </c>
      <c r="H53" s="14">
        <f t="shared" si="0"/>
        <v>-3.7749999999999999</v>
      </c>
      <c r="I53" s="23"/>
      <c r="J53" s="7"/>
      <c r="K53" s="7"/>
      <c r="L53" s="24"/>
      <c r="M53" s="11" t="s">
        <v>124</v>
      </c>
    </row>
    <row r="54" spans="1:13">
      <c r="A54" s="84" t="s">
        <v>125</v>
      </c>
      <c r="B54" s="130">
        <v>-3.22</v>
      </c>
      <c r="C54" s="72"/>
      <c r="D54" s="4">
        <v>0.22156244268660033</v>
      </c>
      <c r="E54" s="2">
        <v>4</v>
      </c>
      <c r="F54" s="10">
        <v>328.85</v>
      </c>
      <c r="G54" s="6">
        <v>1.87</v>
      </c>
      <c r="H54" s="14">
        <f t="shared" si="0"/>
        <v>-4.4085000000000001</v>
      </c>
      <c r="I54" s="23"/>
      <c r="J54" s="7"/>
      <c r="K54" s="7"/>
      <c r="L54" s="24"/>
      <c r="M54" s="11" t="s">
        <v>126</v>
      </c>
    </row>
    <row r="55" spans="1:13">
      <c r="A55" s="82" t="s">
        <v>127</v>
      </c>
      <c r="B55" s="130">
        <v>-4.55</v>
      </c>
      <c r="C55" s="71"/>
      <c r="D55" s="12">
        <v>0.18450811780713378</v>
      </c>
      <c r="E55" s="10">
        <v>33</v>
      </c>
      <c r="F55" s="10">
        <v>167.5</v>
      </c>
      <c r="G55" s="6">
        <v>4.3600000000000003</v>
      </c>
      <c r="H55" s="14">
        <f t="shared" si="0"/>
        <v>-5.2850000000000001</v>
      </c>
      <c r="I55" s="23"/>
      <c r="J55" s="7"/>
      <c r="K55" s="7"/>
      <c r="L55" s="24"/>
      <c r="M55" s="11" t="s">
        <v>128</v>
      </c>
    </row>
    <row r="56" spans="1:13">
      <c r="A56" s="82" t="s">
        <v>86</v>
      </c>
      <c r="B56" s="130">
        <v>-3.83</v>
      </c>
      <c r="C56" s="71"/>
      <c r="D56" s="12">
        <v>0.15609203233531485</v>
      </c>
      <c r="E56" s="10">
        <v>3</v>
      </c>
      <c r="F56" s="10">
        <v>223</v>
      </c>
      <c r="G56" s="6">
        <v>2.99</v>
      </c>
      <c r="H56" s="14">
        <f t="shared" si="0"/>
        <v>-4.4700000000000006</v>
      </c>
      <c r="I56" s="23"/>
      <c r="J56" s="7"/>
      <c r="K56" s="7"/>
      <c r="L56" s="24"/>
      <c r="M56" s="11" t="s">
        <v>129</v>
      </c>
    </row>
    <row r="57" spans="1:13">
      <c r="A57" s="82" t="s">
        <v>89</v>
      </c>
      <c r="B57" s="130">
        <v>-4.46</v>
      </c>
      <c r="C57" s="71"/>
      <c r="D57" s="12">
        <v>0.20872343532408041</v>
      </c>
      <c r="E57" s="10">
        <v>3</v>
      </c>
      <c r="F57" s="10">
        <v>210.5</v>
      </c>
      <c r="G57" s="6">
        <v>2.72</v>
      </c>
      <c r="H57" s="14">
        <f t="shared" si="0"/>
        <v>-4.0750000000000002</v>
      </c>
      <c r="I57" s="26"/>
      <c r="J57" s="27"/>
      <c r="K57" s="27"/>
      <c r="L57" s="28"/>
      <c r="M57" s="11" t="s">
        <v>130</v>
      </c>
    </row>
    <row r="58" spans="1:13">
      <c r="A58" s="84" t="s">
        <v>131</v>
      </c>
      <c r="B58" s="130">
        <v>-4.04</v>
      </c>
      <c r="C58" s="72"/>
      <c r="D58" s="4">
        <v>0.1297319013416561</v>
      </c>
      <c r="E58" s="2">
        <v>3</v>
      </c>
      <c r="F58" s="10">
        <v>209.75</v>
      </c>
      <c r="G58" s="6">
        <v>3.37</v>
      </c>
      <c r="H58" s="14">
        <f t="shared" si="0"/>
        <v>-4.7175000000000002</v>
      </c>
      <c r="J58" s="14"/>
      <c r="K58" s="14"/>
      <c r="L58" s="14"/>
      <c r="M58" s="11" t="s">
        <v>132</v>
      </c>
    </row>
    <row r="59" spans="1:13">
      <c r="A59" s="81" t="s">
        <v>92</v>
      </c>
      <c r="B59" s="130">
        <v>-3.08</v>
      </c>
      <c r="C59" s="71"/>
      <c r="D59" s="12">
        <v>0.14124198841117766</v>
      </c>
      <c r="E59" s="10">
        <v>3</v>
      </c>
      <c r="F59" s="10">
        <v>53.5</v>
      </c>
      <c r="G59" s="6">
        <v>3.43</v>
      </c>
      <c r="H59" s="14">
        <f t="shared" si="0"/>
        <v>-3.2150000000000003</v>
      </c>
      <c r="I59" s="70" t="s">
        <v>133</v>
      </c>
      <c r="J59" s="75">
        <v>81</v>
      </c>
      <c r="K59" s="34"/>
      <c r="L59" s="14"/>
      <c r="M59" s="11" t="s">
        <v>134</v>
      </c>
    </row>
    <row r="60" spans="1:13">
      <c r="A60" s="81" t="s">
        <v>135</v>
      </c>
      <c r="B60" s="130">
        <v>-1.98</v>
      </c>
      <c r="C60" s="71"/>
      <c r="D60" s="12">
        <v>0.17069281866408892</v>
      </c>
      <c r="E60" s="10">
        <v>6</v>
      </c>
      <c r="F60" s="10">
        <v>270</v>
      </c>
      <c r="G60" s="6">
        <v>0.05</v>
      </c>
      <c r="H60" s="14">
        <f t="shared" si="0"/>
        <v>-2</v>
      </c>
      <c r="I60" s="70" t="s">
        <v>136</v>
      </c>
      <c r="J60" s="75">
        <v>42</v>
      </c>
      <c r="K60" s="34"/>
      <c r="L60" s="14"/>
      <c r="M60" s="11" t="s">
        <v>137</v>
      </c>
    </row>
    <row r="61" spans="1:13">
      <c r="A61" s="82" t="s">
        <v>138</v>
      </c>
      <c r="B61" s="130">
        <v>-2.98</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s="130">
        <v>-3.92</v>
      </c>
      <c r="C62" s="71"/>
      <c r="D62" s="12">
        <v>0.18021422622763517</v>
      </c>
      <c r="E62" s="10">
        <v>5</v>
      </c>
      <c r="F62" s="10">
        <v>214.5</v>
      </c>
      <c r="G62" s="6">
        <v>3.61</v>
      </c>
      <c r="H62" s="14">
        <f t="shared" si="0"/>
        <v>-5.0049999999999999</v>
      </c>
      <c r="I62" s="14"/>
      <c r="J62" s="14"/>
      <c r="K62" s="14"/>
      <c r="L62" s="14"/>
      <c r="M62" s="11" t="s">
        <v>142</v>
      </c>
    </row>
    <row r="63" spans="1:13">
      <c r="A63" s="82" t="s">
        <v>143</v>
      </c>
      <c r="B63" s="130">
        <v>-3.99</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s="130">
        <v>-3.59</v>
      </c>
      <c r="C64" s="71"/>
      <c r="D64" s="12">
        <v>0.17</v>
      </c>
      <c r="E64" s="10">
        <v>3</v>
      </c>
      <c r="F64" s="10">
        <v>189</v>
      </c>
      <c r="G64" s="6">
        <v>1.34</v>
      </c>
      <c r="H64" s="14">
        <f t="shared" si="0"/>
        <v>-2.4800000000000004</v>
      </c>
      <c r="I64" s="124" t="s">
        <v>614</v>
      </c>
      <c r="J64" s="21"/>
      <c r="K64" s="21"/>
      <c r="L64" s="22"/>
      <c r="M64" s="11" t="s">
        <v>148</v>
      </c>
    </row>
    <row r="65" spans="1:13">
      <c r="A65" s="82" t="s">
        <v>149</v>
      </c>
      <c r="B65" s="130">
        <v>-3.87</v>
      </c>
      <c r="C65" s="71"/>
      <c r="D65" s="12">
        <v>0.19794493160510693</v>
      </c>
      <c r="E65" s="10">
        <v>4</v>
      </c>
      <c r="F65" s="10">
        <v>243.5</v>
      </c>
      <c r="G65" s="6">
        <v>1.34</v>
      </c>
      <c r="H65" s="14">
        <f t="shared" si="0"/>
        <v>-3.0250000000000004</v>
      </c>
      <c r="I65" s="23" t="s">
        <v>615</v>
      </c>
      <c r="J65" s="7"/>
      <c r="K65" s="7"/>
      <c r="L65" s="24"/>
      <c r="M65" s="11" t="s">
        <v>151</v>
      </c>
    </row>
    <row r="66" spans="1:13">
      <c r="A66" s="81" t="s">
        <v>95</v>
      </c>
      <c r="B66" s="130">
        <v>-1.45</v>
      </c>
      <c r="C66" s="71"/>
      <c r="D66" s="12">
        <v>0.21056099074293383</v>
      </c>
      <c r="E66" s="10">
        <v>3</v>
      </c>
      <c r="F66" s="10">
        <v>36.5</v>
      </c>
      <c r="G66" s="6">
        <v>2.74</v>
      </c>
      <c r="H66" s="14">
        <f t="shared" si="0"/>
        <v>-2.3550000000000004</v>
      </c>
      <c r="I66" s="23" t="s">
        <v>616</v>
      </c>
      <c r="J66" s="7"/>
      <c r="K66" s="7"/>
      <c r="L66" s="24"/>
      <c r="M66" s="11" t="s">
        <v>152</v>
      </c>
    </row>
    <row r="67" spans="1:13">
      <c r="A67" s="83" t="s">
        <v>153</v>
      </c>
      <c r="B67" s="130">
        <v>-3.43</v>
      </c>
      <c r="C67" s="71"/>
      <c r="D67" s="12">
        <v>0.21092434073951916</v>
      </c>
      <c r="E67" s="10">
        <v>10</v>
      </c>
      <c r="F67" s="10">
        <v>186</v>
      </c>
      <c r="G67" s="6">
        <v>3.4</v>
      </c>
      <c r="H67" s="14">
        <f t="shared" si="0"/>
        <v>-4.51</v>
      </c>
      <c r="I67" s="23"/>
      <c r="J67" s="7"/>
      <c r="K67" s="7"/>
      <c r="L67" s="24"/>
      <c r="M67" s="11" t="s">
        <v>154</v>
      </c>
    </row>
    <row r="68" spans="1:13">
      <c r="A68" s="81" t="s">
        <v>98</v>
      </c>
      <c r="B68" s="130">
        <v>-3.35</v>
      </c>
      <c r="C68" s="71"/>
      <c r="D68" s="12">
        <v>0.18695478693957188</v>
      </c>
      <c r="E68" s="10">
        <v>3</v>
      </c>
      <c r="F68" s="10">
        <v>252.99999999999997</v>
      </c>
      <c r="G68" s="6">
        <v>2.35</v>
      </c>
      <c r="H68" s="14">
        <f t="shared" si="0"/>
        <v>-4.13</v>
      </c>
      <c r="I68" s="23"/>
      <c r="J68" s="7"/>
      <c r="K68" s="7"/>
      <c r="L68" s="24"/>
      <c r="M68" s="11" t="s">
        <v>155</v>
      </c>
    </row>
    <row r="69" spans="1:13">
      <c r="A69" s="83" t="s">
        <v>156</v>
      </c>
      <c r="B69" s="130">
        <v>-3.95</v>
      </c>
      <c r="C69" s="71"/>
      <c r="D69" s="12">
        <v>0.20491085989689112</v>
      </c>
      <c r="E69" s="10">
        <v>23</v>
      </c>
      <c r="F69" s="10">
        <v>111.00000000000001</v>
      </c>
      <c r="G69" s="6">
        <v>3.68</v>
      </c>
      <c r="H69" s="14">
        <f t="shared" si="0"/>
        <v>-4.04</v>
      </c>
      <c r="I69" s="23"/>
      <c r="J69" s="7"/>
      <c r="K69" s="7"/>
      <c r="L69" s="24"/>
      <c r="M69" s="11" t="s">
        <v>157</v>
      </c>
    </row>
    <row r="70" spans="1:13">
      <c r="A70" s="81" t="s">
        <v>158</v>
      </c>
      <c r="B70" s="130">
        <v>-3.45</v>
      </c>
      <c r="C70" s="71"/>
      <c r="D70" s="12">
        <v>0.15545016183846921</v>
      </c>
      <c r="E70" s="10">
        <v>6</v>
      </c>
      <c r="F70" s="10">
        <v>250</v>
      </c>
      <c r="G70" s="6">
        <v>-0.04</v>
      </c>
      <c r="H70" s="14">
        <f t="shared" si="0"/>
        <v>-1.71</v>
      </c>
      <c r="I70" s="23"/>
      <c r="J70" s="7"/>
      <c r="K70" s="7"/>
      <c r="L70" s="24"/>
      <c r="M70" s="11" t="s">
        <v>159</v>
      </c>
    </row>
    <row r="71" spans="1:13">
      <c r="A71" s="82" t="s">
        <v>160</v>
      </c>
      <c r="B71" s="130">
        <v>-2.76</v>
      </c>
      <c r="C71" s="71"/>
      <c r="D71" s="12">
        <v>0.13261436390895148</v>
      </c>
      <c r="E71" s="10">
        <v>3</v>
      </c>
      <c r="F71" s="10">
        <v>250</v>
      </c>
      <c r="G71" s="6">
        <v>-1.97</v>
      </c>
      <c r="H71" s="14">
        <f t="shared" si="0"/>
        <v>0.21999999999999975</v>
      </c>
      <c r="I71" s="23"/>
      <c r="J71" s="7"/>
      <c r="K71" s="7"/>
      <c r="L71" s="24"/>
      <c r="M71" s="11" t="s">
        <v>161</v>
      </c>
    </row>
    <row r="72" spans="1:13">
      <c r="A72" s="82" t="s">
        <v>162</v>
      </c>
      <c r="B72" s="130">
        <v>-3.92</v>
      </c>
      <c r="C72" s="71"/>
      <c r="D72" s="12">
        <v>0.21159815676624968</v>
      </c>
      <c r="E72" s="10">
        <v>9</v>
      </c>
      <c r="F72" s="10">
        <v>208.5</v>
      </c>
      <c r="G72" s="6">
        <v>2.08</v>
      </c>
      <c r="H72" s="14">
        <f t="shared" si="0"/>
        <v>-3.415</v>
      </c>
      <c r="I72" s="23"/>
      <c r="J72" s="7"/>
      <c r="K72" s="7"/>
      <c r="L72" s="24"/>
      <c r="M72" s="11" t="s">
        <v>163</v>
      </c>
    </row>
    <row r="73" spans="1:13">
      <c r="A73" s="82" t="s">
        <v>164</v>
      </c>
      <c r="B73" s="130">
        <v>-3.66</v>
      </c>
      <c r="C73" s="71"/>
      <c r="D73" s="12">
        <v>0.1900151243705871</v>
      </c>
      <c r="E73" s="10">
        <v>15</v>
      </c>
      <c r="F73" s="10">
        <v>220.00000000000003</v>
      </c>
      <c r="G73" s="6">
        <v>2.69</v>
      </c>
      <c r="H73" s="14">
        <f t="shared" si="0"/>
        <v>-4.1400000000000006</v>
      </c>
      <c r="I73" s="23"/>
      <c r="J73" s="7"/>
      <c r="K73" s="7"/>
      <c r="L73" s="24"/>
      <c r="M73" s="11" t="s">
        <v>165</v>
      </c>
    </row>
    <row r="74" spans="1:13">
      <c r="A74" s="82" t="s">
        <v>166</v>
      </c>
      <c r="B74" s="130">
        <v>-4.4000000000000004</v>
      </c>
      <c r="C74" s="71"/>
      <c r="D74" s="12">
        <v>0.16978183023026608</v>
      </c>
      <c r="E74" s="10">
        <v>10</v>
      </c>
      <c r="F74" s="10">
        <v>151</v>
      </c>
      <c r="G74" s="6">
        <v>4.43</v>
      </c>
      <c r="H74" s="14">
        <f t="shared" si="0"/>
        <v>-5.1899999999999995</v>
      </c>
      <c r="I74" s="23"/>
      <c r="J74" s="7"/>
      <c r="K74" s="7"/>
      <c r="L74" s="24"/>
      <c r="M74" s="11" t="s">
        <v>167</v>
      </c>
    </row>
    <row r="75" spans="1:13">
      <c r="A75" s="83" t="s">
        <v>100</v>
      </c>
      <c r="B75" s="130">
        <v>-5.3</v>
      </c>
      <c r="C75" s="71"/>
      <c r="D75" s="12">
        <v>0.19416214604145643</v>
      </c>
      <c r="E75" s="10">
        <v>7</v>
      </c>
      <c r="F75" s="10">
        <v>154.5</v>
      </c>
      <c r="G75" s="6">
        <v>4.22</v>
      </c>
      <c r="H75" s="14">
        <f t="shared" si="0"/>
        <v>-5.0149999999999997</v>
      </c>
      <c r="I75" s="23"/>
      <c r="J75" s="7"/>
      <c r="K75" s="7"/>
      <c r="L75" s="24"/>
      <c r="M75" s="11" t="s">
        <v>168</v>
      </c>
    </row>
    <row r="76" spans="1:13">
      <c r="A76" s="82" t="s">
        <v>169</v>
      </c>
      <c r="B76" s="130">
        <v>-4.5999999999999996</v>
      </c>
      <c r="C76" s="71"/>
      <c r="D76" s="12">
        <v>0.16048013551961601</v>
      </c>
      <c r="E76" s="10">
        <v>5</v>
      </c>
      <c r="F76" s="10">
        <v>167.75</v>
      </c>
      <c r="G76" s="6">
        <v>2.87</v>
      </c>
      <c r="H76" s="14">
        <f t="shared" si="0"/>
        <v>-3.7975000000000003</v>
      </c>
      <c r="I76" s="23"/>
      <c r="J76" s="7"/>
      <c r="K76" s="7"/>
      <c r="L76" s="24"/>
      <c r="M76" s="11" t="s">
        <v>170</v>
      </c>
    </row>
    <row r="77" spans="1:13">
      <c r="A77" s="84" t="s">
        <v>171</v>
      </c>
      <c r="B77" s="130">
        <v>-5.33</v>
      </c>
      <c r="C77" s="72"/>
      <c r="D77" s="4">
        <v>0.22239504833634874</v>
      </c>
      <c r="E77" s="2">
        <v>21</v>
      </c>
      <c r="F77" s="10">
        <v>159</v>
      </c>
      <c r="G77" s="6">
        <v>3.93</v>
      </c>
      <c r="H77" s="14">
        <f t="shared" si="0"/>
        <v>-4.7700000000000005</v>
      </c>
      <c r="I77" s="23"/>
      <c r="J77" s="7"/>
      <c r="K77" s="7"/>
      <c r="L77" s="24"/>
      <c r="M77" s="11" t="s">
        <v>172</v>
      </c>
    </row>
    <row r="78" spans="1:13">
      <c r="A78" s="82" t="s">
        <v>173</v>
      </c>
      <c r="B78" s="130">
        <v>-3.63</v>
      </c>
      <c r="C78" s="71"/>
      <c r="D78" s="12">
        <v>0.21209434799218393</v>
      </c>
      <c r="E78" s="10">
        <v>5</v>
      </c>
      <c r="F78" s="10">
        <v>213.49999999999997</v>
      </c>
      <c r="G78" s="6">
        <v>3.04</v>
      </c>
      <c r="H78" s="14">
        <f t="shared" si="0"/>
        <v>-4.4249999999999998</v>
      </c>
      <c r="I78" s="23"/>
      <c r="J78" s="7"/>
      <c r="K78" s="7"/>
      <c r="L78" s="24"/>
      <c r="M78" s="11" t="s">
        <v>174</v>
      </c>
    </row>
    <row r="79" spans="1:13">
      <c r="A79" s="82" t="s">
        <v>175</v>
      </c>
      <c r="B79" s="130">
        <v>-4.79</v>
      </c>
      <c r="C79" s="71"/>
      <c r="D79" s="12">
        <v>0.1407224156406931</v>
      </c>
      <c r="E79" s="10">
        <v>11</v>
      </c>
      <c r="F79" s="10">
        <v>146</v>
      </c>
      <c r="G79" s="6">
        <v>4.21</v>
      </c>
      <c r="H79" s="14">
        <f t="shared" si="0"/>
        <v>-4.92</v>
      </c>
      <c r="I79" s="23"/>
      <c r="J79" s="7"/>
      <c r="K79" s="7"/>
      <c r="L79" s="24"/>
      <c r="M79" s="11" t="s">
        <v>176</v>
      </c>
    </row>
    <row r="80" spans="1:13">
      <c r="A80" s="82" t="s">
        <v>177</v>
      </c>
      <c r="B80" s="130">
        <v>-4.54</v>
      </c>
      <c r="C80" s="71"/>
      <c r="D80" s="12">
        <v>0.21748916450754371</v>
      </c>
      <c r="E80" s="10">
        <v>5</v>
      </c>
      <c r="F80" s="10">
        <v>92.333333333333329</v>
      </c>
      <c r="G80" s="6">
        <v>4.21</v>
      </c>
      <c r="H80" s="14">
        <f t="shared" si="0"/>
        <v>-4.3833333333333329</v>
      </c>
      <c r="I80" s="23"/>
      <c r="J80" s="7"/>
      <c r="K80" s="7"/>
      <c r="L80" s="24"/>
      <c r="M80" s="11" t="s">
        <v>178</v>
      </c>
    </row>
    <row r="81" spans="1:13">
      <c r="A81" s="81" t="s">
        <v>179</v>
      </c>
      <c r="B81" s="130">
        <v>-4.3099999999999996</v>
      </c>
      <c r="C81" s="71"/>
      <c r="D81" s="12">
        <v>0.20531013145176411</v>
      </c>
      <c r="E81" s="10">
        <v>8</v>
      </c>
      <c r="F81" s="10">
        <v>256</v>
      </c>
      <c r="G81" s="6">
        <v>2.71</v>
      </c>
      <c r="H81" s="14">
        <f t="shared" si="0"/>
        <v>-4.5199999999999996</v>
      </c>
      <c r="I81" s="23"/>
      <c r="J81" s="7"/>
      <c r="K81" s="7"/>
      <c r="L81" s="24"/>
      <c r="M81" s="11" t="s">
        <v>180</v>
      </c>
    </row>
    <row r="82" spans="1:13">
      <c r="A82" s="81" t="s">
        <v>181</v>
      </c>
      <c r="B82" s="130">
        <v>-3.54</v>
      </c>
      <c r="C82" s="71"/>
      <c r="D82" s="12">
        <v>0.21176785142223761</v>
      </c>
      <c r="E82" s="10">
        <v>3</v>
      </c>
      <c r="F82" s="10">
        <v>80</v>
      </c>
      <c r="G82" s="6">
        <v>3.37</v>
      </c>
      <c r="H82" s="14">
        <f t="shared" si="0"/>
        <v>-3.42</v>
      </c>
      <c r="I82" s="23"/>
      <c r="J82" s="7"/>
      <c r="K82" s="7"/>
      <c r="L82" s="24"/>
      <c r="M82" s="11" t="s">
        <v>182</v>
      </c>
    </row>
    <row r="83" spans="1:13">
      <c r="A83" s="81" t="s">
        <v>183</v>
      </c>
      <c r="B83" s="130">
        <v>-3.61</v>
      </c>
      <c r="C83" s="71"/>
      <c r="D83" s="12">
        <v>0.16217657762412213</v>
      </c>
      <c r="E83" s="10">
        <v>17</v>
      </c>
      <c r="F83" s="10">
        <v>153</v>
      </c>
      <c r="G83" s="6">
        <v>3.04</v>
      </c>
      <c r="H83" s="14">
        <f t="shared" si="0"/>
        <v>-3.8200000000000003</v>
      </c>
      <c r="I83" s="23"/>
      <c r="J83" s="7"/>
      <c r="K83" s="7"/>
      <c r="L83" s="24"/>
      <c r="M83" s="11" t="s">
        <v>184</v>
      </c>
    </row>
    <row r="84" spans="1:13">
      <c r="A84" s="82" t="s">
        <v>185</v>
      </c>
      <c r="B84" s="130">
        <v>-6.08</v>
      </c>
      <c r="C84" s="71"/>
      <c r="D84" s="12">
        <v>0.20448827496623867</v>
      </c>
      <c r="E84" s="10">
        <v>3</v>
      </c>
      <c r="F84" s="10">
        <v>349.84</v>
      </c>
      <c r="G84" s="6">
        <v>4.75</v>
      </c>
      <c r="H84" s="14">
        <f t="shared" si="0"/>
        <v>-7.4984000000000002</v>
      </c>
      <c r="I84" s="23"/>
      <c r="J84" s="7"/>
      <c r="K84" s="7"/>
      <c r="L84" s="24"/>
      <c r="M84" s="11" t="s">
        <v>186</v>
      </c>
    </row>
    <row r="85" spans="1:13">
      <c r="A85" s="82" t="s">
        <v>187</v>
      </c>
      <c r="B85" s="130">
        <v>-3.52</v>
      </c>
      <c r="C85" s="71"/>
      <c r="D85" s="12">
        <v>0.14358294446577732</v>
      </c>
      <c r="E85" s="10">
        <v>6</v>
      </c>
      <c r="F85" s="10">
        <v>248</v>
      </c>
      <c r="G85" s="6">
        <v>2.65</v>
      </c>
      <c r="H85" s="14">
        <f t="shared" si="0"/>
        <v>-4.38</v>
      </c>
      <c r="I85" s="23"/>
      <c r="J85" s="7"/>
      <c r="K85" s="7"/>
      <c r="L85" s="24"/>
      <c r="M85" s="11" t="s">
        <v>188</v>
      </c>
    </row>
    <row r="86" spans="1:13">
      <c r="A86" s="82" t="s">
        <v>189</v>
      </c>
      <c r="B86" s="130">
        <v>-3.57</v>
      </c>
      <c r="C86" s="71"/>
      <c r="D86" s="12">
        <v>0.15384096988991314</v>
      </c>
      <c r="E86" s="10">
        <v>11</v>
      </c>
      <c r="F86" s="10">
        <v>173</v>
      </c>
      <c r="G86" s="6">
        <v>2.1800000000000002</v>
      </c>
      <c r="H86" s="14">
        <f t="shared" si="0"/>
        <v>-3.16</v>
      </c>
      <c r="I86" s="23"/>
      <c r="J86" s="7"/>
      <c r="K86" s="7"/>
      <c r="L86" s="24"/>
      <c r="M86" s="11" t="s">
        <v>190</v>
      </c>
    </row>
    <row r="87" spans="1:13">
      <c r="A87" s="82" t="s">
        <v>191</v>
      </c>
      <c r="B87" s="130">
        <v>-4.1100000000000003</v>
      </c>
      <c r="C87" s="71"/>
      <c r="D87" s="12">
        <v>0.14176528631434945</v>
      </c>
      <c r="E87" s="10">
        <v>5</v>
      </c>
      <c r="F87" s="10">
        <v>143.75</v>
      </c>
      <c r="G87" s="6">
        <v>2.76</v>
      </c>
      <c r="H87" s="14">
        <f t="shared" ref="H87:H122" si="1">0.5-G87-0.01*(F87-25)</f>
        <v>-3.4474999999999998</v>
      </c>
      <c r="I87" s="23"/>
      <c r="J87" s="7"/>
      <c r="K87" s="7"/>
      <c r="L87" s="24"/>
      <c r="M87" s="11" t="s">
        <v>192</v>
      </c>
    </row>
    <row r="88" spans="1:13">
      <c r="A88" s="82" t="s">
        <v>193</v>
      </c>
      <c r="B88" s="130">
        <v>-3.08</v>
      </c>
      <c r="C88" s="71"/>
      <c r="D88" s="12">
        <v>0.16213928191469343</v>
      </c>
      <c r="E88" s="10">
        <v>19</v>
      </c>
      <c r="F88" s="10">
        <v>220.5</v>
      </c>
      <c r="G88" s="6">
        <v>1.27</v>
      </c>
      <c r="H88" s="14">
        <f t="shared" si="1"/>
        <v>-2.7250000000000001</v>
      </c>
      <c r="I88" s="23"/>
      <c r="J88" s="7"/>
      <c r="K88" s="7"/>
      <c r="L88" s="24"/>
      <c r="M88" s="11" t="s">
        <v>194</v>
      </c>
    </row>
    <row r="89" spans="1:13">
      <c r="A89" s="82" t="s">
        <v>195</v>
      </c>
      <c r="B89" s="130">
        <v>-4.5199999999999996</v>
      </c>
      <c r="C89" s="71"/>
      <c r="D89" s="12">
        <v>0.16127920198135692</v>
      </c>
      <c r="E89" s="10">
        <v>5</v>
      </c>
      <c r="F89" s="10">
        <v>214</v>
      </c>
      <c r="G89" s="6">
        <v>3.83</v>
      </c>
      <c r="H89" s="14">
        <f t="shared" si="1"/>
        <v>-5.2200000000000006</v>
      </c>
      <c r="I89" s="23"/>
      <c r="J89" s="7"/>
      <c r="K89" s="7"/>
      <c r="L89" s="24"/>
      <c r="M89" s="11" t="s">
        <v>196</v>
      </c>
    </row>
    <row r="90" spans="1:13">
      <c r="A90" s="83" t="s">
        <v>197</v>
      </c>
      <c r="B90" s="130">
        <v>-4.47</v>
      </c>
      <c r="C90" s="71"/>
      <c r="D90" s="12">
        <v>0.13869006117838048</v>
      </c>
      <c r="E90" s="10">
        <v>3</v>
      </c>
      <c r="F90" s="10">
        <v>176</v>
      </c>
      <c r="G90" s="6">
        <v>2.88</v>
      </c>
      <c r="H90" s="14">
        <f t="shared" si="1"/>
        <v>-3.8899999999999997</v>
      </c>
      <c r="I90" s="23"/>
      <c r="J90" s="7"/>
      <c r="K90" s="7"/>
      <c r="L90" s="24"/>
      <c r="M90" s="11" t="s">
        <v>198</v>
      </c>
    </row>
    <row r="91" spans="1:13">
      <c r="A91" s="85" t="s">
        <v>199</v>
      </c>
      <c r="B91" s="130">
        <v>-3.45</v>
      </c>
      <c r="C91" s="72"/>
      <c r="D91" s="4">
        <v>0.1259834086188602</v>
      </c>
      <c r="E91" s="2">
        <v>14</v>
      </c>
      <c r="F91" s="10">
        <v>253.5</v>
      </c>
      <c r="G91" s="6">
        <v>1.54</v>
      </c>
      <c r="H91" s="14">
        <f t="shared" si="1"/>
        <v>-3.3250000000000002</v>
      </c>
      <c r="I91" s="23"/>
      <c r="J91" s="7"/>
      <c r="K91" s="7"/>
      <c r="L91" s="24"/>
      <c r="M91" s="11" t="s">
        <v>200</v>
      </c>
    </row>
    <row r="92" spans="1:13">
      <c r="A92" s="82" t="s">
        <v>201</v>
      </c>
      <c r="B92" s="130">
        <v>-3.72</v>
      </c>
      <c r="C92" s="71"/>
      <c r="D92" s="12">
        <v>0.16504944177542516</v>
      </c>
      <c r="E92" s="10">
        <v>5</v>
      </c>
      <c r="F92" s="10">
        <v>205.50000000000003</v>
      </c>
      <c r="G92" s="6">
        <v>2.4500000000000002</v>
      </c>
      <c r="H92" s="14">
        <f t="shared" si="1"/>
        <v>-3.7550000000000008</v>
      </c>
      <c r="I92" s="23"/>
      <c r="J92" s="7"/>
      <c r="K92" s="7"/>
      <c r="L92" s="24"/>
      <c r="M92" s="11" t="s">
        <v>202</v>
      </c>
    </row>
    <row r="93" spans="1:13">
      <c r="A93" s="83" t="s">
        <v>203</v>
      </c>
      <c r="B93" s="130">
        <v>-4.17</v>
      </c>
      <c r="C93" s="71"/>
      <c r="D93" s="12">
        <v>0.19426266518058349</v>
      </c>
      <c r="E93" s="10">
        <v>3</v>
      </c>
      <c r="F93" s="10">
        <v>96</v>
      </c>
      <c r="G93" s="6">
        <v>3.49</v>
      </c>
      <c r="H93" s="14">
        <f t="shared" si="1"/>
        <v>-3.7</v>
      </c>
      <c r="I93" s="23"/>
      <c r="J93" s="7"/>
      <c r="K93" s="7"/>
      <c r="L93" s="24"/>
      <c r="M93" s="11" t="s">
        <v>204</v>
      </c>
    </row>
    <row r="94" spans="1:13">
      <c r="A94" s="82" t="s">
        <v>205</v>
      </c>
      <c r="B94" s="130">
        <v>-4.6900000000000004</v>
      </c>
      <c r="C94" s="71"/>
      <c r="D94" s="12">
        <v>0.18894337149737056</v>
      </c>
      <c r="E94" s="10">
        <v>12</v>
      </c>
      <c r="F94" s="10">
        <v>147.25</v>
      </c>
      <c r="G94" s="6">
        <v>3.86</v>
      </c>
      <c r="H94" s="14">
        <f t="shared" si="1"/>
        <v>-4.5824999999999996</v>
      </c>
      <c r="I94" s="23"/>
      <c r="J94" s="7"/>
      <c r="K94" s="7"/>
      <c r="L94" s="24"/>
      <c r="M94" s="11" t="s">
        <v>206</v>
      </c>
    </row>
    <row r="95" spans="1:13">
      <c r="A95" s="82" t="s">
        <v>207</v>
      </c>
      <c r="B95" s="130">
        <v>-4.5999999999999996</v>
      </c>
      <c r="C95" s="71"/>
      <c r="D95" s="12">
        <v>0.17391407185160324</v>
      </c>
      <c r="E95" s="10">
        <v>6</v>
      </c>
      <c r="F95" s="10">
        <v>97</v>
      </c>
      <c r="G95" s="6">
        <v>3.94</v>
      </c>
      <c r="H95" s="14">
        <f t="shared" si="1"/>
        <v>-4.16</v>
      </c>
      <c r="I95" s="23"/>
      <c r="J95" s="7"/>
      <c r="K95" s="7"/>
      <c r="L95" s="24"/>
      <c r="M95" s="11" t="s">
        <v>208</v>
      </c>
    </row>
    <row r="96" spans="1:13">
      <c r="A96" s="81" t="s">
        <v>209</v>
      </c>
      <c r="B96" s="130">
        <v>-1.78</v>
      </c>
      <c r="C96" s="71"/>
      <c r="D96" s="12">
        <v>0.13764369691033657</v>
      </c>
      <c r="E96" s="10">
        <v>10</v>
      </c>
      <c r="F96" s="10">
        <v>134.5</v>
      </c>
      <c r="G96" s="6">
        <v>2.04</v>
      </c>
      <c r="H96" s="14">
        <f t="shared" si="1"/>
        <v>-2.6349999999999998</v>
      </c>
      <c r="I96" s="23"/>
      <c r="J96" s="7"/>
      <c r="K96" s="7"/>
      <c r="L96" s="24"/>
      <c r="M96" s="11" t="s">
        <v>210</v>
      </c>
    </row>
    <row r="97" spans="1:13">
      <c r="A97" s="82" t="s">
        <v>211</v>
      </c>
      <c r="B97" s="130">
        <v>-3.2</v>
      </c>
      <c r="C97" s="71"/>
      <c r="D97" s="12">
        <v>0.16245746888591447</v>
      </c>
      <c r="E97" s="10">
        <v>7</v>
      </c>
      <c r="F97" s="10">
        <v>139</v>
      </c>
      <c r="G97" s="6">
        <v>2.66</v>
      </c>
      <c r="H97" s="14">
        <f t="shared" si="1"/>
        <v>-3.3000000000000003</v>
      </c>
      <c r="I97" s="23"/>
      <c r="J97" s="7"/>
      <c r="K97" s="7"/>
      <c r="L97" s="24"/>
      <c r="M97" s="11" t="s">
        <v>212</v>
      </c>
    </row>
    <row r="98" spans="1:13">
      <c r="A98" s="82" t="s">
        <v>213</v>
      </c>
      <c r="B98" s="130">
        <v>-2.96</v>
      </c>
      <c r="C98" s="71"/>
      <c r="D98" s="12">
        <v>0.15322122505052199</v>
      </c>
      <c r="E98" s="10">
        <v>9</v>
      </c>
      <c r="F98" s="10">
        <v>170</v>
      </c>
      <c r="G98" s="6">
        <v>1.91</v>
      </c>
      <c r="H98" s="14">
        <f t="shared" si="1"/>
        <v>-2.86</v>
      </c>
      <c r="I98" s="23"/>
      <c r="J98" s="7"/>
      <c r="K98" s="7"/>
      <c r="L98" s="24"/>
      <c r="M98" s="11" t="s">
        <v>214</v>
      </c>
    </row>
    <row r="99" spans="1:13">
      <c r="A99" s="81" t="s">
        <v>215</v>
      </c>
      <c r="B99" s="130">
        <v>-2.71</v>
      </c>
      <c r="C99" s="71"/>
      <c r="D99" s="12">
        <v>0.15273607916541068</v>
      </c>
      <c r="E99" s="10">
        <v>10</v>
      </c>
      <c r="F99" s="10">
        <v>326</v>
      </c>
      <c r="G99" s="6">
        <v>2.44</v>
      </c>
      <c r="H99" s="14">
        <f t="shared" si="1"/>
        <v>-4.95</v>
      </c>
      <c r="I99" s="23"/>
      <c r="J99" s="7"/>
      <c r="K99" s="7"/>
      <c r="L99" s="24"/>
      <c r="M99" s="11" t="s">
        <v>216</v>
      </c>
    </row>
    <row r="100" spans="1:13">
      <c r="A100" s="82" t="s">
        <v>217</v>
      </c>
      <c r="B100" s="130">
        <v>-3.14</v>
      </c>
      <c r="C100" s="71"/>
      <c r="D100" s="12">
        <v>0.18404701512102448</v>
      </c>
      <c r="E100" s="10">
        <v>5</v>
      </c>
      <c r="F100" s="10">
        <v>232.50000000000003</v>
      </c>
      <c r="G100" s="6">
        <v>1.8</v>
      </c>
      <c r="H100" s="14">
        <f t="shared" si="1"/>
        <v>-3.375</v>
      </c>
      <c r="I100" s="23"/>
      <c r="J100" s="7"/>
      <c r="K100" s="7"/>
      <c r="L100" s="24"/>
      <c r="M100" s="11" t="s">
        <v>218</v>
      </c>
    </row>
    <row r="101" spans="1:13">
      <c r="A101" s="82" t="s">
        <v>219</v>
      </c>
      <c r="B101" s="130">
        <v>-2.2799999999999998</v>
      </c>
      <c r="C101" s="71"/>
      <c r="D101" s="12">
        <v>0.13604063752604376</v>
      </c>
      <c r="E101" s="10">
        <v>4</v>
      </c>
      <c r="F101" s="10">
        <v>281.5</v>
      </c>
      <c r="G101" s="6">
        <v>0.54</v>
      </c>
      <c r="H101" s="14">
        <f t="shared" si="1"/>
        <v>-2.605</v>
      </c>
      <c r="I101" s="23"/>
      <c r="J101" s="7"/>
      <c r="K101" s="7"/>
      <c r="L101" s="24"/>
      <c r="M101" s="11" t="s">
        <v>220</v>
      </c>
    </row>
    <row r="102" spans="1:13">
      <c r="A102" s="82" t="s">
        <v>221</v>
      </c>
      <c r="B102" s="130">
        <v>-3.7</v>
      </c>
      <c r="C102" s="71"/>
      <c r="D102" s="12">
        <v>0.19798964803022484</v>
      </c>
      <c r="E102" s="10">
        <v>4</v>
      </c>
      <c r="F102" s="10">
        <v>197.1</v>
      </c>
      <c r="G102" s="6">
        <v>2.2000000000000002</v>
      </c>
      <c r="H102" s="14">
        <f t="shared" si="1"/>
        <v>-3.4210000000000003</v>
      </c>
      <c r="I102" s="23"/>
      <c r="J102" s="7"/>
      <c r="K102" s="7"/>
      <c r="L102" s="24"/>
      <c r="M102" s="11" t="s">
        <v>222</v>
      </c>
    </row>
    <row r="103" spans="1:13">
      <c r="A103" s="83" t="s">
        <v>223</v>
      </c>
      <c r="B103" s="130">
        <v>-4.25</v>
      </c>
      <c r="C103" s="71"/>
      <c r="D103" s="12">
        <v>0.13486720020739137</v>
      </c>
      <c r="E103" s="10">
        <v>4</v>
      </c>
      <c r="F103" s="10">
        <v>33</v>
      </c>
      <c r="G103" s="6">
        <v>4.24</v>
      </c>
      <c r="H103" s="14">
        <f t="shared" si="1"/>
        <v>-3.8200000000000003</v>
      </c>
      <c r="I103" s="23"/>
      <c r="J103" s="7"/>
      <c r="K103" s="7"/>
      <c r="L103" s="24"/>
      <c r="M103" s="11" t="s">
        <v>224</v>
      </c>
    </row>
    <row r="104" spans="1:13">
      <c r="A104" s="82" t="s">
        <v>225</v>
      </c>
      <c r="B104" s="130">
        <v>-4.54</v>
      </c>
      <c r="C104" s="71"/>
      <c r="D104" s="12">
        <v>0.18801274760604275</v>
      </c>
      <c r="E104" s="10">
        <v>11</v>
      </c>
      <c r="F104" s="10">
        <v>60</v>
      </c>
      <c r="G104" s="6">
        <v>4.24</v>
      </c>
      <c r="H104" s="14">
        <f t="shared" si="1"/>
        <v>-4.09</v>
      </c>
      <c r="I104" s="23"/>
      <c r="J104" s="7"/>
      <c r="K104" s="7"/>
      <c r="L104" s="24"/>
      <c r="M104" s="11" t="s">
        <v>226</v>
      </c>
    </row>
    <row r="105" spans="1:13">
      <c r="A105" s="82" t="s">
        <v>227</v>
      </c>
      <c r="B105" s="130">
        <v>-5.82</v>
      </c>
      <c r="C105" s="71"/>
      <c r="D105" s="12">
        <v>0.1664014074224209</v>
      </c>
      <c r="E105" s="10">
        <v>4</v>
      </c>
      <c r="F105" s="10">
        <v>130.5</v>
      </c>
      <c r="G105" s="6">
        <v>5.22</v>
      </c>
      <c r="H105" s="14">
        <f t="shared" si="1"/>
        <v>-5.7749999999999995</v>
      </c>
      <c r="I105" s="23"/>
      <c r="J105" s="7"/>
      <c r="K105" s="7"/>
      <c r="L105" s="24"/>
      <c r="M105" s="11" t="s">
        <v>228</v>
      </c>
    </row>
    <row r="106" spans="1:13">
      <c r="A106" s="83" t="s">
        <v>103</v>
      </c>
      <c r="B106" s="130">
        <v>-3.53</v>
      </c>
      <c r="C106" s="71"/>
      <c r="D106" s="12">
        <v>0.17506472136100007</v>
      </c>
      <c r="E106" s="10">
        <v>7</v>
      </c>
      <c r="F106" s="10">
        <v>254</v>
      </c>
      <c r="G106" s="6">
        <v>2.97</v>
      </c>
      <c r="H106" s="14">
        <f t="shared" si="1"/>
        <v>-4.76</v>
      </c>
      <c r="I106" s="23"/>
      <c r="J106" s="7"/>
      <c r="K106" s="7"/>
      <c r="L106" s="24"/>
      <c r="M106" s="11" t="s">
        <v>229</v>
      </c>
    </row>
    <row r="107" spans="1:13">
      <c r="A107" s="83" t="s">
        <v>230</v>
      </c>
      <c r="B107" s="130">
        <v>-6.64</v>
      </c>
      <c r="C107" s="71"/>
      <c r="D107" s="12">
        <v>0.1605416460069265</v>
      </c>
      <c r="E107" s="10">
        <v>5</v>
      </c>
      <c r="F107" s="10">
        <v>121</v>
      </c>
      <c r="G107" s="6">
        <v>5.91</v>
      </c>
      <c r="H107" s="14">
        <f t="shared" si="1"/>
        <v>-6.37</v>
      </c>
      <c r="I107" s="23"/>
      <c r="J107" s="7"/>
      <c r="K107" s="7"/>
      <c r="L107" s="24"/>
      <c r="M107" s="11" t="s">
        <v>231</v>
      </c>
    </row>
    <row r="108" spans="1:13">
      <c r="A108" s="82" t="s">
        <v>232</v>
      </c>
      <c r="B108" s="130">
        <v>-4.34</v>
      </c>
      <c r="C108" s="71"/>
      <c r="D108" s="12">
        <v>0.15756984748208766</v>
      </c>
      <c r="E108" s="10">
        <v>5</v>
      </c>
      <c r="F108" s="10">
        <v>206.99999999999997</v>
      </c>
      <c r="G108" s="6">
        <v>2.56</v>
      </c>
      <c r="H108" s="14">
        <f t="shared" si="1"/>
        <v>-3.88</v>
      </c>
      <c r="I108" s="23"/>
      <c r="J108" s="7"/>
      <c r="K108" s="7"/>
      <c r="L108" s="24"/>
      <c r="M108" s="11" t="s">
        <v>233</v>
      </c>
    </row>
    <row r="109" spans="1:13">
      <c r="A109" s="81" t="s">
        <v>234</v>
      </c>
      <c r="B109" s="130">
        <v>-4.1500000000000004</v>
      </c>
      <c r="C109" s="71"/>
      <c r="D109" s="12">
        <v>0.16160362353179636</v>
      </c>
      <c r="E109" s="10">
        <v>6</v>
      </c>
      <c r="F109" s="10">
        <v>134.5</v>
      </c>
      <c r="G109" s="6">
        <v>4.8499999999999996</v>
      </c>
      <c r="H109" s="14">
        <f t="shared" si="1"/>
        <v>-5.4449999999999994</v>
      </c>
      <c r="I109" s="23"/>
      <c r="J109" s="7"/>
      <c r="K109" s="7"/>
      <c r="L109" s="24"/>
      <c r="M109" s="11" t="s">
        <v>235</v>
      </c>
    </row>
    <row r="110" spans="1:13">
      <c r="A110" s="81" t="s">
        <v>236</v>
      </c>
      <c r="B110" s="130">
        <v>-3.22</v>
      </c>
      <c r="C110" s="71"/>
      <c r="D110" s="12">
        <v>0.18685765827673947</v>
      </c>
      <c r="E110" s="10">
        <v>6</v>
      </c>
      <c r="F110" s="10">
        <v>275</v>
      </c>
      <c r="G110" s="6">
        <v>2.09</v>
      </c>
      <c r="H110" s="14">
        <f t="shared" si="1"/>
        <v>-4.09</v>
      </c>
      <c r="I110" s="23"/>
      <c r="J110" s="7"/>
      <c r="K110" s="7"/>
      <c r="L110" s="24"/>
      <c r="M110" s="11" t="s">
        <v>237</v>
      </c>
    </row>
    <row r="111" spans="1:13">
      <c r="A111" s="82" t="s">
        <v>238</v>
      </c>
      <c r="B111" s="130">
        <v>-5.26</v>
      </c>
      <c r="C111" s="71"/>
      <c r="D111" s="12">
        <v>0.13950112944748669</v>
      </c>
      <c r="E111" s="10">
        <v>9</v>
      </c>
      <c r="F111" s="10">
        <v>220.00000000000003</v>
      </c>
      <c r="G111" s="6">
        <v>1.8</v>
      </c>
      <c r="H111" s="14">
        <f t="shared" si="1"/>
        <v>-3.2500000000000004</v>
      </c>
      <c r="I111" s="23"/>
      <c r="J111" s="7"/>
      <c r="K111" s="7"/>
      <c r="L111" s="24"/>
      <c r="M111" s="11" t="s">
        <v>239</v>
      </c>
    </row>
    <row r="112" spans="1:13">
      <c r="A112" s="85" t="s">
        <v>240</v>
      </c>
      <c r="B112" s="130">
        <v>-3.19</v>
      </c>
      <c r="C112" s="72"/>
      <c r="D112" s="4">
        <v>0.22014005046870977</v>
      </c>
      <c r="E112" s="2">
        <v>9</v>
      </c>
      <c r="F112" s="10">
        <v>202</v>
      </c>
      <c r="G112" s="6">
        <v>1.53</v>
      </c>
      <c r="H112" s="14">
        <f t="shared" si="1"/>
        <v>-2.8</v>
      </c>
      <c r="I112" s="23"/>
      <c r="J112" s="7"/>
      <c r="K112" s="7"/>
      <c r="L112" s="24"/>
      <c r="M112" s="11" t="s">
        <v>241</v>
      </c>
    </row>
    <row r="113" spans="1:28">
      <c r="A113" s="82" t="s">
        <v>242</v>
      </c>
      <c r="B113" s="130">
        <v>-3.45</v>
      </c>
      <c r="C113" s="71"/>
      <c r="D113" s="12">
        <v>0.14014083879485537</v>
      </c>
      <c r="E113" s="10">
        <v>3</v>
      </c>
      <c r="F113" s="10">
        <v>243.00000000000003</v>
      </c>
      <c r="G113" s="6">
        <v>1.48</v>
      </c>
      <c r="H113" s="14">
        <f t="shared" si="1"/>
        <v>-3.16</v>
      </c>
      <c r="I113" s="23"/>
      <c r="J113" s="7"/>
      <c r="K113" s="7"/>
      <c r="L113" s="24"/>
      <c r="M113" s="11" t="s">
        <v>243</v>
      </c>
    </row>
    <row r="114" spans="1:28">
      <c r="A114" s="83" t="s">
        <v>244</v>
      </c>
      <c r="B114" s="130">
        <v>-3.51</v>
      </c>
      <c r="C114" s="71"/>
      <c r="D114" s="12">
        <v>0.13726989684757951</v>
      </c>
      <c r="E114" s="10">
        <v>3</v>
      </c>
      <c r="F114" s="10">
        <v>191</v>
      </c>
      <c r="G114" s="6">
        <v>1.67</v>
      </c>
      <c r="H114" s="14">
        <f t="shared" si="1"/>
        <v>-2.83</v>
      </c>
      <c r="I114" s="23"/>
      <c r="J114" s="7"/>
      <c r="K114" s="7"/>
      <c r="L114" s="24"/>
      <c r="M114" s="11" t="s">
        <v>245</v>
      </c>
    </row>
    <row r="115" spans="1:28">
      <c r="A115" s="82" t="s">
        <v>246</v>
      </c>
      <c r="B115" s="130">
        <v>-4.67</v>
      </c>
      <c r="C115" s="71"/>
      <c r="D115" s="12">
        <v>0.21357402153711522</v>
      </c>
      <c r="E115" s="10">
        <v>7</v>
      </c>
      <c r="F115" s="10">
        <v>183.5</v>
      </c>
      <c r="G115" s="6">
        <v>4.37</v>
      </c>
      <c r="H115" s="14">
        <f t="shared" si="1"/>
        <v>-5.4550000000000001</v>
      </c>
      <c r="I115" s="23"/>
      <c r="J115" s="7"/>
      <c r="K115" s="7"/>
      <c r="L115" s="24"/>
      <c r="M115" s="11" t="s">
        <v>247</v>
      </c>
    </row>
    <row r="116" spans="1:28">
      <c r="A116" s="82" t="s">
        <v>248</v>
      </c>
      <c r="B116" s="130">
        <v>-2.71</v>
      </c>
      <c r="C116" s="71"/>
      <c r="D116" s="12">
        <v>0.10564411177747912</v>
      </c>
      <c r="E116" s="10">
        <v>3</v>
      </c>
      <c r="F116" s="10">
        <v>149</v>
      </c>
      <c r="G116" s="6">
        <v>2.62</v>
      </c>
      <c r="H116" s="14">
        <f t="shared" si="1"/>
        <v>-3.3600000000000003</v>
      </c>
      <c r="I116" s="23"/>
      <c r="J116" s="7"/>
      <c r="K116" s="7"/>
      <c r="L116" s="24"/>
      <c r="M116" s="11" t="s">
        <v>249</v>
      </c>
    </row>
    <row r="117" spans="1:28">
      <c r="A117" s="81" t="s">
        <v>250</v>
      </c>
      <c r="B117" s="130">
        <v>-3.85</v>
      </c>
      <c r="C117" s="71"/>
      <c r="D117" s="12">
        <v>0.14623917640453388</v>
      </c>
      <c r="E117" s="10">
        <v>8</v>
      </c>
      <c r="F117" s="10">
        <v>165</v>
      </c>
      <c r="G117" s="6">
        <v>-0.37</v>
      </c>
      <c r="H117" s="14">
        <f t="shared" si="1"/>
        <v>-0.53000000000000014</v>
      </c>
      <c r="I117" s="23"/>
      <c r="J117" s="7"/>
      <c r="K117" s="7"/>
      <c r="L117" s="24"/>
      <c r="M117" s="11" t="s">
        <v>251</v>
      </c>
    </row>
    <row r="118" spans="1:28">
      <c r="A118" s="82" t="s">
        <v>252</v>
      </c>
      <c r="B118" s="130">
        <v>-2.06</v>
      </c>
      <c r="C118" s="71"/>
      <c r="D118" s="12">
        <v>0.16291639539032501</v>
      </c>
      <c r="E118" s="10">
        <v>10</v>
      </c>
      <c r="F118" s="10">
        <v>225</v>
      </c>
      <c r="G118" s="6">
        <v>0.81</v>
      </c>
      <c r="H118" s="14">
        <f t="shared" si="1"/>
        <v>-2.31</v>
      </c>
      <c r="I118" s="23"/>
      <c r="J118" s="7"/>
      <c r="K118" s="7"/>
      <c r="L118" s="24"/>
      <c r="M118" s="11" t="s">
        <v>253</v>
      </c>
    </row>
    <row r="119" spans="1:28">
      <c r="A119" s="82" t="s">
        <v>254</v>
      </c>
      <c r="B119" s="130">
        <v>-3.11</v>
      </c>
      <c r="C119" s="71"/>
      <c r="D119" s="12">
        <v>0.21166647357477791</v>
      </c>
      <c r="E119" s="10">
        <v>5</v>
      </c>
      <c r="F119" s="10">
        <v>270</v>
      </c>
      <c r="G119" s="6">
        <v>0.62</v>
      </c>
      <c r="H119" s="14">
        <f t="shared" si="1"/>
        <v>-2.5700000000000003</v>
      </c>
      <c r="I119" s="23"/>
      <c r="J119" s="7"/>
      <c r="K119" s="7"/>
      <c r="L119" s="24"/>
      <c r="M119" s="11" t="s">
        <v>255</v>
      </c>
    </row>
    <row r="120" spans="1:28">
      <c r="A120" s="81" t="s">
        <v>256</v>
      </c>
      <c r="B120" s="130">
        <v>-3.47</v>
      </c>
      <c r="C120" s="71"/>
      <c r="D120" s="12">
        <v>0.14175650298978676</v>
      </c>
      <c r="E120" s="10">
        <v>9</v>
      </c>
      <c r="F120" s="10">
        <v>312.66666666666669</v>
      </c>
      <c r="G120" s="6">
        <v>0.83</v>
      </c>
      <c r="H120" s="14">
        <f t="shared" si="1"/>
        <v>-3.206666666666667</v>
      </c>
      <c r="I120" s="23"/>
      <c r="J120" s="7"/>
      <c r="K120" s="7"/>
      <c r="L120" s="24"/>
      <c r="M120" s="11" t="s">
        <v>257</v>
      </c>
    </row>
    <row r="121" spans="1:28">
      <c r="A121" s="82" t="s">
        <v>258</v>
      </c>
      <c r="B121" s="130">
        <v>-3.76</v>
      </c>
      <c r="C121" s="71"/>
      <c r="D121" s="12">
        <v>0.2034688635346244</v>
      </c>
      <c r="E121" s="10">
        <v>11</v>
      </c>
      <c r="F121" s="10">
        <v>161</v>
      </c>
      <c r="G121" s="6">
        <v>3.61</v>
      </c>
      <c r="H121" s="14">
        <f t="shared" si="1"/>
        <v>-4.47</v>
      </c>
      <c r="I121" s="23"/>
      <c r="J121" s="7"/>
      <c r="K121" s="7"/>
      <c r="L121" s="24"/>
      <c r="M121" s="11" t="s">
        <v>259</v>
      </c>
    </row>
    <row r="122" spans="1:28">
      <c r="A122" s="81" t="s">
        <v>109</v>
      </c>
      <c r="B122" s="130">
        <v>-1.92</v>
      </c>
      <c r="C122" s="71"/>
      <c r="D122" s="12">
        <v>0.20579636821699754</v>
      </c>
      <c r="E122" s="10">
        <v>3</v>
      </c>
      <c r="F122" s="10">
        <v>300</v>
      </c>
      <c r="G122" s="6">
        <v>-1.06</v>
      </c>
      <c r="H122" s="14">
        <f t="shared" si="1"/>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s="120">
        <v>-1.02</v>
      </c>
      <c r="C129" s="73" t="s">
        <v>30</v>
      </c>
      <c r="D129" s="12">
        <v>0.50033555401430185</v>
      </c>
      <c r="E129" s="10">
        <v>3</v>
      </c>
      <c r="F129" s="10">
        <v>180</v>
      </c>
      <c r="G129" s="1">
        <v>1.91</v>
      </c>
      <c r="H129" s="14">
        <f t="shared" ref="H129:H160" si="2">0.5-G129-0.01*(F129-25)</f>
        <v>-2.96</v>
      </c>
      <c r="I129" s="53" t="s">
        <v>31</v>
      </c>
      <c r="J129" s="54" t="s">
        <v>367</v>
      </c>
      <c r="K129" s="14"/>
      <c r="L129" s="14"/>
      <c r="M129" s="3" t="s">
        <v>269</v>
      </c>
    </row>
    <row r="130" spans="1:13">
      <c r="A130" s="82" t="s">
        <v>270</v>
      </c>
      <c r="B130" s="29">
        <v>-8.58</v>
      </c>
      <c r="C130" s="73" t="s">
        <v>36</v>
      </c>
      <c r="D130" s="12">
        <v>0.5</v>
      </c>
      <c r="E130" s="6">
        <v>5</v>
      </c>
      <c r="F130" s="10">
        <v>156</v>
      </c>
      <c r="G130" s="1">
        <v>6.94</v>
      </c>
      <c r="H130" s="14">
        <f t="shared" si="2"/>
        <v>-7.75</v>
      </c>
      <c r="I130" s="53" t="s">
        <v>37</v>
      </c>
      <c r="J130" s="54"/>
      <c r="K130" s="14"/>
      <c r="L130" s="14"/>
      <c r="M130" s="3" t="s">
        <v>271</v>
      </c>
    </row>
    <row r="131" spans="1:13">
      <c r="A131" s="83" t="s">
        <v>272</v>
      </c>
      <c r="B131" s="121">
        <v>-5.54</v>
      </c>
      <c r="C131" s="73" t="s">
        <v>41</v>
      </c>
      <c r="D131" s="12">
        <v>0.6530957900260097</v>
      </c>
      <c r="E131" s="10">
        <v>3</v>
      </c>
      <c r="F131" s="10">
        <v>208</v>
      </c>
      <c r="G131" s="1">
        <v>5.18</v>
      </c>
      <c r="H131" s="14">
        <f t="shared" si="2"/>
        <v>-6.51</v>
      </c>
      <c r="I131" s="53" t="s">
        <v>42</v>
      </c>
      <c r="J131" s="54"/>
      <c r="K131" s="14"/>
      <c r="L131" s="14"/>
      <c r="M131" s="3" t="s">
        <v>273</v>
      </c>
    </row>
    <row r="132" spans="1:13">
      <c r="A132" s="82" t="s">
        <v>274</v>
      </c>
      <c r="B132" s="121">
        <v>-2.21</v>
      </c>
      <c r="C132" s="73" t="s">
        <v>46</v>
      </c>
      <c r="D132" s="12">
        <v>0.59285217963150294</v>
      </c>
      <c r="E132" s="10">
        <v>3</v>
      </c>
      <c r="F132" s="10">
        <v>100</v>
      </c>
      <c r="G132" s="1">
        <v>2.37</v>
      </c>
      <c r="H132" s="14">
        <f t="shared" si="2"/>
        <v>-2.62</v>
      </c>
      <c r="I132" s="15" t="s">
        <v>47</v>
      </c>
      <c r="J132" s="29"/>
      <c r="K132" s="14"/>
      <c r="L132" s="14"/>
      <c r="M132" s="3" t="s">
        <v>275</v>
      </c>
    </row>
    <row r="133" spans="1:13">
      <c r="A133" s="82" t="s">
        <v>276</v>
      </c>
      <c r="B133" s="121">
        <v>-5.95</v>
      </c>
      <c r="C133" s="73" t="s">
        <v>51</v>
      </c>
      <c r="D133" s="12">
        <v>0.51067901383936642</v>
      </c>
      <c r="E133" s="10">
        <v>5</v>
      </c>
      <c r="F133" s="10">
        <v>217</v>
      </c>
      <c r="G133" s="1">
        <v>3.19</v>
      </c>
      <c r="H133" s="14">
        <f t="shared" si="2"/>
        <v>-4.6099999999999994</v>
      </c>
      <c r="I133" s="15" t="s">
        <v>52</v>
      </c>
      <c r="J133" s="29"/>
      <c r="K133" s="14"/>
      <c r="L133" s="14"/>
      <c r="M133" s="3" t="s">
        <v>277</v>
      </c>
    </row>
    <row r="134" spans="1:13">
      <c r="A134" s="82" t="s">
        <v>278</v>
      </c>
      <c r="B134" s="121">
        <v>-5.0599999999999996</v>
      </c>
      <c r="C134" s="71"/>
      <c r="D134" s="12">
        <v>0.83065522865171437</v>
      </c>
      <c r="E134" s="10">
        <v>3</v>
      </c>
      <c r="F134" s="10">
        <v>209.50000000000003</v>
      </c>
      <c r="G134" s="1">
        <v>4.41</v>
      </c>
      <c r="H134" s="14">
        <f t="shared" si="2"/>
        <v>-5.7550000000000008</v>
      </c>
      <c r="I134" s="15" t="s">
        <v>56</v>
      </c>
      <c r="J134" s="29"/>
      <c r="K134" s="14"/>
      <c r="L134" s="14"/>
      <c r="M134" s="3" t="s">
        <v>279</v>
      </c>
    </row>
    <row r="135" spans="1:13">
      <c r="A135" s="82" t="s">
        <v>280</v>
      </c>
      <c r="B135" s="121">
        <v>-5.45</v>
      </c>
      <c r="C135" s="71"/>
      <c r="D135" s="12">
        <v>0.51097181417141646</v>
      </c>
      <c r="E135" s="10">
        <v>6</v>
      </c>
      <c r="F135" s="10">
        <v>97.5</v>
      </c>
      <c r="G135" s="1">
        <v>5.19</v>
      </c>
      <c r="H135" s="14">
        <f t="shared" si="2"/>
        <v>-5.415</v>
      </c>
      <c r="I135" s="15" t="s">
        <v>60</v>
      </c>
      <c r="J135" s="31"/>
      <c r="K135" s="14"/>
      <c r="L135" s="14"/>
      <c r="M135" s="3" t="s">
        <v>281</v>
      </c>
    </row>
    <row r="136" spans="1:13">
      <c r="A136" s="81" t="s">
        <v>282</v>
      </c>
      <c r="B136" s="121">
        <v>-8.25</v>
      </c>
      <c r="C136" s="71"/>
      <c r="D136" s="12">
        <v>0.92735432696895004</v>
      </c>
      <c r="E136" s="10">
        <v>5</v>
      </c>
      <c r="F136" s="10">
        <v>211</v>
      </c>
      <c r="G136" s="1">
        <v>7.49</v>
      </c>
      <c r="H136" s="14">
        <f t="shared" si="2"/>
        <v>-8.85</v>
      </c>
      <c r="I136" s="30" t="s">
        <v>64</v>
      </c>
      <c r="J136" s="32"/>
      <c r="K136" s="33"/>
      <c r="L136" s="34"/>
      <c r="M136" s="3" t="s">
        <v>283</v>
      </c>
    </row>
    <row r="137" spans="1:13">
      <c r="A137" s="82" t="s">
        <v>112</v>
      </c>
      <c r="B137" s="121">
        <v>-4.21</v>
      </c>
      <c r="C137" s="71"/>
      <c r="D137" s="12">
        <v>0.68239272333923895</v>
      </c>
      <c r="E137" s="10">
        <v>3</v>
      </c>
      <c r="F137" s="10">
        <v>177</v>
      </c>
      <c r="G137" s="1">
        <v>3.37</v>
      </c>
      <c r="H137" s="14">
        <f t="shared" si="2"/>
        <v>-4.3900000000000006</v>
      </c>
      <c r="J137" s="14"/>
      <c r="K137" s="14"/>
      <c r="L137" s="14"/>
      <c r="M137" s="3" t="s">
        <v>284</v>
      </c>
    </row>
    <row r="138" spans="1:13">
      <c r="A138" s="82" t="s">
        <v>285</v>
      </c>
      <c r="B138" s="121">
        <v>-5.33</v>
      </c>
      <c r="C138" s="71"/>
      <c r="D138" s="12">
        <v>0.520951861602862</v>
      </c>
      <c r="E138" s="10">
        <v>10</v>
      </c>
      <c r="F138" s="10">
        <v>228.6</v>
      </c>
      <c r="G138" s="1">
        <v>4.22</v>
      </c>
      <c r="H138" s="14">
        <f t="shared" si="2"/>
        <v>-5.7560000000000002</v>
      </c>
      <c r="I138" s="16" t="s">
        <v>286</v>
      </c>
      <c r="J138" s="17"/>
      <c r="K138" s="17"/>
      <c r="L138" s="18"/>
      <c r="M138" s="3" t="s">
        <v>287</v>
      </c>
    </row>
    <row r="139" spans="1:13">
      <c r="A139" s="81" t="s">
        <v>288</v>
      </c>
      <c r="B139" s="121">
        <v>-2.42</v>
      </c>
      <c r="C139" s="71"/>
      <c r="D139" s="12">
        <v>0.53906642829149898</v>
      </c>
      <c r="E139" s="10">
        <v>3</v>
      </c>
      <c r="F139" s="10">
        <v>161.5</v>
      </c>
      <c r="G139" s="1">
        <v>-0.21</v>
      </c>
      <c r="H139" s="14">
        <f t="shared" si="2"/>
        <v>-0.65500000000000003</v>
      </c>
      <c r="I139" s="20" t="s">
        <v>613</v>
      </c>
      <c r="J139" s="21"/>
      <c r="K139" s="21"/>
      <c r="L139" s="22"/>
      <c r="M139" s="3" t="s">
        <v>289</v>
      </c>
    </row>
    <row r="140" spans="1:13">
      <c r="A140" s="81" t="s">
        <v>290</v>
      </c>
      <c r="B140" s="121">
        <v>-3.83</v>
      </c>
      <c r="C140" s="71"/>
      <c r="D140" s="12">
        <v>0.56233984781338708</v>
      </c>
      <c r="E140" s="10">
        <v>11</v>
      </c>
      <c r="F140" s="10">
        <v>213.49999999999997</v>
      </c>
      <c r="G140" s="1">
        <v>3.04</v>
      </c>
      <c r="H140" s="14">
        <f t="shared" si="2"/>
        <v>-4.4249999999999998</v>
      </c>
      <c r="I140" s="23"/>
      <c r="J140" s="7"/>
      <c r="K140" s="7"/>
      <c r="L140" s="24"/>
      <c r="M140" s="3" t="s">
        <v>291</v>
      </c>
    </row>
    <row r="141" spans="1:13">
      <c r="A141" s="83" t="s">
        <v>292</v>
      </c>
      <c r="B141" s="121">
        <v>-3.33</v>
      </c>
      <c r="C141" s="71"/>
      <c r="D141" s="12">
        <v>0.54710381306524825</v>
      </c>
      <c r="E141" s="10">
        <v>4</v>
      </c>
      <c r="F141" s="10">
        <v>168.5</v>
      </c>
      <c r="G141" s="1">
        <v>3.35</v>
      </c>
      <c r="H141" s="14">
        <f t="shared" si="2"/>
        <v>-4.2850000000000001</v>
      </c>
      <c r="I141" s="23"/>
      <c r="J141" s="7"/>
      <c r="K141" s="7"/>
      <c r="L141" s="24"/>
      <c r="M141" s="3" t="s">
        <v>293</v>
      </c>
    </row>
    <row r="142" spans="1:13">
      <c r="A142" s="81" t="s">
        <v>114</v>
      </c>
      <c r="B142" s="121">
        <v>-2.68</v>
      </c>
      <c r="C142" s="71"/>
      <c r="D142" s="12">
        <v>0.54612637818466869</v>
      </c>
      <c r="E142" s="10">
        <v>3</v>
      </c>
      <c r="F142" s="13">
        <v>124.1</v>
      </c>
      <c r="G142" s="1">
        <v>2.81</v>
      </c>
      <c r="H142" s="14">
        <f t="shared" si="2"/>
        <v>-3.3010000000000002</v>
      </c>
      <c r="I142" s="25"/>
      <c r="J142" s="7"/>
      <c r="K142" s="7"/>
      <c r="L142" s="24"/>
      <c r="M142" s="3" t="s">
        <v>294</v>
      </c>
    </row>
    <row r="143" spans="1:13">
      <c r="A143" s="81" t="s">
        <v>295</v>
      </c>
      <c r="B143" s="121">
        <v>-5.44</v>
      </c>
      <c r="C143" s="71"/>
      <c r="D143" s="12">
        <v>0.51160213896594608</v>
      </c>
      <c r="E143" s="10">
        <v>4</v>
      </c>
      <c r="F143" s="10">
        <v>165</v>
      </c>
      <c r="G143" s="1">
        <v>4.8899999999999997</v>
      </c>
      <c r="H143" s="14">
        <f t="shared" si="2"/>
        <v>-5.79</v>
      </c>
      <c r="I143" s="25"/>
      <c r="J143" s="7"/>
      <c r="K143" s="7"/>
      <c r="L143" s="24"/>
      <c r="M143" s="3" t="s">
        <v>296</v>
      </c>
    </row>
    <row r="144" spans="1:13">
      <c r="A144" s="81" t="s">
        <v>117</v>
      </c>
      <c r="B144" s="121">
        <v>-5.32</v>
      </c>
      <c r="C144" s="71"/>
      <c r="D144" s="12">
        <v>0.65141515533308314</v>
      </c>
      <c r="E144" s="10">
        <v>4</v>
      </c>
      <c r="F144" s="10">
        <v>161.1</v>
      </c>
      <c r="G144" s="1">
        <v>4.76</v>
      </c>
      <c r="H144" s="14">
        <f t="shared" si="2"/>
        <v>-5.6209999999999996</v>
      </c>
      <c r="I144" s="25"/>
      <c r="J144" s="7"/>
      <c r="K144" s="7"/>
      <c r="L144" s="24"/>
      <c r="M144" s="3" t="s">
        <v>297</v>
      </c>
    </row>
    <row r="145" spans="1:28">
      <c r="A145" s="83" t="s">
        <v>298</v>
      </c>
      <c r="B145" s="121">
        <v>-3.83</v>
      </c>
      <c r="C145" s="71"/>
      <c r="D145" s="12">
        <v>0.65883215509381909</v>
      </c>
      <c r="E145" s="10">
        <v>3</v>
      </c>
      <c r="F145" s="10">
        <v>155</v>
      </c>
      <c r="G145" s="1">
        <v>3.74</v>
      </c>
      <c r="H145" s="14">
        <f t="shared" si="2"/>
        <v>-4.54</v>
      </c>
      <c r="I145" s="25"/>
      <c r="J145" s="7"/>
      <c r="K145" s="7"/>
      <c r="L145" s="24"/>
      <c r="M145" s="3" t="s">
        <v>299</v>
      </c>
    </row>
    <row r="146" spans="1:28">
      <c r="A146" s="82" t="s">
        <v>300</v>
      </c>
      <c r="B146" s="121">
        <v>-8.0299999999999994</v>
      </c>
      <c r="C146" s="71"/>
      <c r="D146" s="12">
        <v>0.61400477095750339</v>
      </c>
      <c r="E146" s="10">
        <v>3</v>
      </c>
      <c r="F146" s="10">
        <v>165.4</v>
      </c>
      <c r="G146" s="1">
        <v>5.58</v>
      </c>
      <c r="H146" s="14">
        <f t="shared" si="2"/>
        <v>-6.484</v>
      </c>
      <c r="I146" s="25"/>
      <c r="J146" s="7"/>
      <c r="K146" s="7"/>
      <c r="L146" s="24"/>
      <c r="M146" s="3" t="s">
        <v>301</v>
      </c>
    </row>
    <row r="147" spans="1:28">
      <c r="A147" s="82" t="s">
        <v>302</v>
      </c>
      <c r="B147" s="121">
        <v>-6.22</v>
      </c>
      <c r="C147" s="71"/>
      <c r="D147" s="12">
        <v>0.50406532001413251</v>
      </c>
      <c r="E147" s="10">
        <v>6</v>
      </c>
      <c r="F147" s="10">
        <v>161</v>
      </c>
      <c r="G147" s="1">
        <v>6.45</v>
      </c>
      <c r="H147" s="14">
        <f t="shared" si="2"/>
        <v>-7.3100000000000005</v>
      </c>
      <c r="I147" s="26"/>
      <c r="J147" s="27"/>
      <c r="K147" s="27"/>
      <c r="L147" s="28"/>
      <c r="M147" s="3" t="s">
        <v>303</v>
      </c>
    </row>
    <row r="148" spans="1:28">
      <c r="A148" s="82" t="s">
        <v>304</v>
      </c>
      <c r="B148" s="121">
        <v>-6.34</v>
      </c>
      <c r="C148" s="71"/>
      <c r="D148" s="12">
        <v>0.75493366325441691</v>
      </c>
      <c r="E148" s="10">
        <v>4</v>
      </c>
      <c r="F148" s="10">
        <v>193.5</v>
      </c>
      <c r="G148" s="1">
        <v>5.41</v>
      </c>
      <c r="H148" s="14">
        <f t="shared" si="2"/>
        <v>-6.5950000000000006</v>
      </c>
      <c r="J148" s="14"/>
      <c r="K148" s="14"/>
      <c r="L148" s="14"/>
      <c r="M148" s="3" t="s">
        <v>305</v>
      </c>
    </row>
    <row r="149" spans="1:28">
      <c r="A149" s="82" t="s">
        <v>306</v>
      </c>
      <c r="B149" s="121">
        <v>-4.4800000000000004</v>
      </c>
      <c r="C149" s="71"/>
      <c r="D149" s="12">
        <v>0.50089358058597189</v>
      </c>
      <c r="E149" s="10">
        <v>3</v>
      </c>
      <c r="F149" s="10">
        <v>156</v>
      </c>
      <c r="G149" s="1">
        <v>2.9</v>
      </c>
      <c r="H149" s="14">
        <f t="shared" si="2"/>
        <v>-3.71</v>
      </c>
      <c r="I149" s="70" t="s">
        <v>133</v>
      </c>
      <c r="J149" s="75">
        <v>81</v>
      </c>
      <c r="K149" s="34"/>
      <c r="L149" s="14"/>
      <c r="M149" s="3" t="s">
        <v>307</v>
      </c>
    </row>
    <row r="150" spans="1:28">
      <c r="A150" s="83" t="s">
        <v>308</v>
      </c>
      <c r="B150" s="121">
        <v>-4.4000000000000004</v>
      </c>
      <c r="C150" s="71"/>
      <c r="D150" s="12">
        <v>0.6587984329866341</v>
      </c>
      <c r="E150" s="10">
        <v>4</v>
      </c>
      <c r="F150" s="10">
        <v>183.5</v>
      </c>
      <c r="G150" s="1">
        <v>3.16</v>
      </c>
      <c r="H150" s="14">
        <f t="shared" si="2"/>
        <v>-4.2450000000000001</v>
      </c>
      <c r="I150" s="70" t="s">
        <v>136</v>
      </c>
      <c r="J150" s="75">
        <v>42</v>
      </c>
      <c r="K150" s="34"/>
      <c r="L150" s="14"/>
      <c r="M150" s="3" t="s">
        <v>309</v>
      </c>
    </row>
    <row r="151" spans="1:28">
      <c r="A151" s="83" t="s">
        <v>310</v>
      </c>
      <c r="B151" s="121">
        <v>-2.14</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s="121">
        <v>-3.81</v>
      </c>
      <c r="C152" s="71"/>
      <c r="D152" s="12">
        <v>0.57115657899345518</v>
      </c>
      <c r="E152" s="10">
        <v>7</v>
      </c>
      <c r="F152" s="10">
        <v>177</v>
      </c>
      <c r="G152" s="1">
        <v>3.17</v>
      </c>
      <c r="H152" s="14">
        <f t="shared" si="2"/>
        <v>-4.1899999999999995</v>
      </c>
      <c r="I152" s="14"/>
      <c r="J152" s="14"/>
      <c r="K152" s="14"/>
      <c r="L152" s="14"/>
      <c r="M152" s="3" t="s">
        <v>313</v>
      </c>
    </row>
    <row r="153" spans="1:28">
      <c r="A153" s="81" t="s">
        <v>314</v>
      </c>
      <c r="B153" s="121">
        <v>-7.79</v>
      </c>
      <c r="C153" s="71"/>
      <c r="D153" s="12">
        <v>0.55807775121880254</v>
      </c>
      <c r="E153" s="10">
        <v>6</v>
      </c>
      <c r="F153" s="10">
        <v>145</v>
      </c>
      <c r="G153" s="1">
        <v>6.08</v>
      </c>
      <c r="H153" s="14">
        <f t="shared" si="2"/>
        <v>-6.78</v>
      </c>
      <c r="I153" s="19" t="s">
        <v>144</v>
      </c>
      <c r="J153" s="17"/>
      <c r="K153" s="17"/>
      <c r="L153" s="18"/>
      <c r="M153" s="3" t="s">
        <v>315</v>
      </c>
    </row>
    <row r="154" spans="1:28">
      <c r="A154" s="81" t="s">
        <v>316</v>
      </c>
      <c r="B154" s="121">
        <v>-5.68</v>
      </c>
      <c r="C154" s="71"/>
      <c r="D154" s="12">
        <v>0.66417698790166113</v>
      </c>
      <c r="E154" s="10">
        <v>3</v>
      </c>
      <c r="F154" s="13">
        <v>175.8</v>
      </c>
      <c r="G154" s="1">
        <v>4.62</v>
      </c>
      <c r="H154" s="14">
        <f t="shared" si="2"/>
        <v>-5.6280000000000001</v>
      </c>
      <c r="I154" s="124" t="s">
        <v>614</v>
      </c>
      <c r="J154" s="21"/>
      <c r="K154" s="21"/>
      <c r="L154" s="22"/>
      <c r="M154" s="3" t="s">
        <v>317</v>
      </c>
    </row>
    <row r="155" spans="1:28">
      <c r="A155" s="82" t="s">
        <v>318</v>
      </c>
      <c r="B155" s="121">
        <v>-5.32</v>
      </c>
      <c r="C155" s="71"/>
      <c r="D155" s="12">
        <v>0.57716593661781801</v>
      </c>
      <c r="E155" s="10">
        <v>3</v>
      </c>
      <c r="F155" s="10">
        <v>349.84</v>
      </c>
      <c r="G155" s="1">
        <v>3.09</v>
      </c>
      <c r="H155" s="14">
        <f t="shared" si="2"/>
        <v>-5.8384</v>
      </c>
      <c r="I155" s="23" t="s">
        <v>615</v>
      </c>
      <c r="J155" s="7"/>
      <c r="K155" s="7"/>
      <c r="L155" s="24"/>
      <c r="M155" s="3" t="s">
        <v>319</v>
      </c>
    </row>
    <row r="156" spans="1:28">
      <c r="A156" s="83" t="s">
        <v>320</v>
      </c>
      <c r="B156" s="121">
        <v>-3.7</v>
      </c>
      <c r="C156" s="71"/>
      <c r="D156" s="12">
        <v>0.70324590282883903</v>
      </c>
      <c r="E156" s="10">
        <v>3</v>
      </c>
      <c r="F156" s="10">
        <v>204</v>
      </c>
      <c r="G156" s="1">
        <v>0.88</v>
      </c>
      <c r="H156" s="14">
        <f t="shared" si="2"/>
        <v>-2.17</v>
      </c>
      <c r="I156" s="23" t="s">
        <v>616</v>
      </c>
      <c r="J156" s="7"/>
      <c r="K156" s="7"/>
      <c r="L156" s="24"/>
      <c r="M156" s="3" t="s">
        <v>321</v>
      </c>
    </row>
    <row r="157" spans="1:28">
      <c r="A157" s="82" t="s">
        <v>322</v>
      </c>
      <c r="B157" s="121">
        <v>-7.04</v>
      </c>
      <c r="C157" s="71"/>
      <c r="D157" s="12">
        <v>0.7237903588794764</v>
      </c>
      <c r="E157" s="10">
        <v>7</v>
      </c>
      <c r="F157" s="10">
        <v>97.8</v>
      </c>
      <c r="G157" s="1">
        <v>6</v>
      </c>
      <c r="H157" s="14">
        <f t="shared" si="2"/>
        <v>-6.2279999999999998</v>
      </c>
      <c r="I157" s="23"/>
      <c r="J157" s="7"/>
      <c r="K157" s="7"/>
      <c r="L157" s="24"/>
      <c r="M157" s="3" t="s">
        <v>323</v>
      </c>
    </row>
    <row r="158" spans="1:28">
      <c r="A158" s="82" t="s">
        <v>324</v>
      </c>
      <c r="B158" s="121">
        <v>-10.23</v>
      </c>
      <c r="C158" s="71"/>
      <c r="D158" s="12">
        <v>0.84033450922624497</v>
      </c>
      <c r="E158" s="10">
        <v>5</v>
      </c>
      <c r="F158" s="10">
        <v>262</v>
      </c>
      <c r="G158" s="1">
        <v>7.26</v>
      </c>
      <c r="H158" s="14">
        <f t="shared" si="2"/>
        <v>-9.129999999999999</v>
      </c>
      <c r="I158" s="23"/>
      <c r="J158" s="7"/>
      <c r="K158" s="7"/>
      <c r="L158" s="24"/>
      <c r="M158" s="3" t="s">
        <v>325</v>
      </c>
    </row>
    <row r="159" spans="1:28">
      <c r="A159" s="82" t="s">
        <v>326</v>
      </c>
      <c r="B159" s="121">
        <v>-7.41</v>
      </c>
      <c r="C159" s="71"/>
      <c r="D159" s="12">
        <v>0.70969645885144073</v>
      </c>
      <c r="E159" s="10">
        <v>11</v>
      </c>
      <c r="F159" s="10">
        <v>149.6</v>
      </c>
      <c r="G159" s="1">
        <v>6.45</v>
      </c>
      <c r="H159" s="14">
        <f t="shared" si="2"/>
        <v>-7.1959999999999997</v>
      </c>
      <c r="I159" s="23"/>
      <c r="J159" s="7"/>
      <c r="K159" s="7"/>
      <c r="L159" s="24"/>
      <c r="M159" s="3" t="s">
        <v>327</v>
      </c>
    </row>
    <row r="160" spans="1:28" s="62" customFormat="1">
      <c r="A160" s="81" t="s">
        <v>328</v>
      </c>
      <c r="B160" s="121">
        <v>-3.35</v>
      </c>
      <c r="C160" s="71"/>
      <c r="D160" s="12">
        <v>0.49644864464459931</v>
      </c>
      <c r="E160" s="10">
        <v>4</v>
      </c>
      <c r="F160" s="10">
        <v>304.5</v>
      </c>
      <c r="G160" s="1">
        <v>2.69</v>
      </c>
      <c r="H160" s="14">
        <f t="shared" si="2"/>
        <v>-4.9849999999999994</v>
      </c>
      <c r="I160" s="35"/>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146" t="s">
        <v>617</v>
      </c>
      <c r="B194" s="44"/>
      <c r="C194" s="44"/>
      <c r="D194" s="44"/>
      <c r="E194" s="44"/>
      <c r="F194" s="44"/>
      <c r="G194" s="44"/>
      <c r="H194" s="44"/>
      <c r="I194" s="44"/>
      <c r="J194" s="44"/>
      <c r="K194" s="44"/>
      <c r="L194" s="44"/>
      <c r="M194" s="48"/>
      <c r="N194" s="44"/>
      <c r="O194" s="44"/>
      <c r="P194" s="44"/>
      <c r="Q194" s="45"/>
    </row>
  </sheetData>
  <pageMargins left="0" right="0" top="0" bottom="0" header="0.3" footer="0.3"/>
  <pageSetup scale="54"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058487-1C40-4731-88C3-91F898C29350}">
  <dimension ref="A1:IV195"/>
  <sheetViews>
    <sheetView workbookViewId="0">
      <selection activeCell="B4" sqref="B4:B9"/>
    </sheetView>
  </sheetViews>
  <sheetFormatPr baseColWidth="10" defaultColWidth="9.1640625" defaultRowHeight="15"/>
  <cols>
    <col min="1" max="1" width="18.83203125" style="147" customWidth="1"/>
    <col min="2" max="3" width="11.33203125" style="147" customWidth="1"/>
    <col min="4" max="4" width="7.6640625" style="147" customWidth="1"/>
    <col min="5" max="5" width="7.83203125" style="147" customWidth="1"/>
    <col min="6" max="6" width="10.1640625" style="147" customWidth="1"/>
    <col min="7" max="7" width="11.5" style="147" customWidth="1"/>
    <col min="8" max="8" width="9.1640625" style="147"/>
    <col min="9" max="9" width="13.1640625" style="147" customWidth="1"/>
    <col min="10" max="10" width="4.5" style="147" customWidth="1"/>
    <col min="11" max="12" width="9.1640625" style="147"/>
    <col min="13" max="13" width="9" style="147" customWidth="1"/>
    <col min="14" max="16384" width="9.1640625" style="147"/>
  </cols>
  <sheetData>
    <row r="1" spans="1:256" ht="34">
      <c r="B1" s="148" t="s">
        <v>0</v>
      </c>
      <c r="C1" s="149"/>
      <c r="Y1" s="150"/>
    </row>
    <row r="2" spans="1:256" ht="21">
      <c r="B2" s="151" t="s">
        <v>1</v>
      </c>
      <c r="C2" s="152"/>
      <c r="Y2" s="153"/>
    </row>
    <row r="3" spans="1:256" ht="19">
      <c r="B3" s="154" t="s">
        <v>2</v>
      </c>
      <c r="C3" s="152"/>
      <c r="Y3" s="155"/>
    </row>
    <row r="4" spans="1:256">
      <c r="A4" s="156" t="s">
        <v>3</v>
      </c>
      <c r="B4" s="157"/>
      <c r="C4" s="158"/>
      <c r="D4" s="158"/>
      <c r="E4" s="158"/>
      <c r="F4" s="158"/>
      <c r="G4" s="158"/>
      <c r="H4" s="158"/>
      <c r="I4" s="158"/>
      <c r="J4" s="158"/>
      <c r="K4" s="158"/>
      <c r="L4" s="158"/>
      <c r="M4" s="158"/>
      <c r="N4" s="158"/>
      <c r="O4" s="158"/>
      <c r="P4" s="158"/>
      <c r="Q4" s="158"/>
      <c r="R4" s="159"/>
    </row>
    <row r="5" spans="1:256">
      <c r="A5" s="156" t="s">
        <v>618</v>
      </c>
      <c r="B5" s="160"/>
      <c r="C5" s="160"/>
      <c r="D5" s="160"/>
      <c r="E5" s="160"/>
      <c r="F5" s="160"/>
      <c r="G5" s="160"/>
      <c r="H5" s="160"/>
      <c r="I5" s="160"/>
      <c r="J5" s="160"/>
      <c r="K5" s="160"/>
      <c r="L5" s="160"/>
      <c r="M5" s="160"/>
      <c r="N5" s="160"/>
      <c r="O5" s="160"/>
      <c r="P5" s="160"/>
      <c r="Q5" s="160"/>
      <c r="R5" s="161"/>
    </row>
    <row r="6" spans="1:256">
      <c r="A6" s="162" t="s">
        <v>5</v>
      </c>
      <c r="B6" s="157"/>
      <c r="C6" s="158"/>
      <c r="D6" s="158"/>
      <c r="E6" s="158"/>
      <c r="F6" s="158"/>
      <c r="G6" s="158"/>
      <c r="H6" s="158"/>
      <c r="I6" s="158"/>
      <c r="J6" s="158"/>
      <c r="K6" s="158"/>
      <c r="L6" s="158"/>
      <c r="M6" s="158"/>
      <c r="N6" s="158"/>
      <c r="O6" s="158"/>
      <c r="P6" s="158"/>
      <c r="Q6" s="158"/>
      <c r="R6" s="159"/>
    </row>
    <row r="7" spans="1:256">
      <c r="A7" s="163"/>
      <c r="B7" s="164"/>
      <c r="C7" s="160"/>
      <c r="D7" s="160"/>
      <c r="E7" s="160"/>
      <c r="F7" s="160"/>
      <c r="G7" s="160"/>
      <c r="H7" s="160"/>
      <c r="I7" s="160"/>
      <c r="J7" s="160"/>
      <c r="K7" s="160"/>
      <c r="L7" s="160"/>
      <c r="M7" s="160"/>
      <c r="N7" s="160"/>
      <c r="O7" s="160"/>
      <c r="P7" s="160"/>
      <c r="Q7" s="160"/>
      <c r="R7" s="161"/>
    </row>
    <row r="8" spans="1:256">
      <c r="A8" s="162" t="s">
        <v>6</v>
      </c>
      <c r="B8" s="165"/>
      <c r="C8" s="158"/>
      <c r="D8" s="158"/>
      <c r="E8" s="158"/>
      <c r="F8" s="158"/>
      <c r="G8" s="158"/>
      <c r="H8" s="158"/>
      <c r="I8" s="158"/>
      <c r="J8" s="158"/>
      <c r="K8" s="158"/>
      <c r="L8" s="158"/>
      <c r="M8" s="158"/>
      <c r="N8" s="158"/>
      <c r="O8" s="158"/>
      <c r="P8" s="158"/>
      <c r="Q8" s="158"/>
      <c r="R8" s="159"/>
    </row>
    <row r="9" spans="1:256">
      <c r="A9" s="166" t="s">
        <v>7</v>
      </c>
      <c r="B9" s="167"/>
      <c r="C9" s="168"/>
      <c r="D9" s="168"/>
      <c r="E9" s="168"/>
      <c r="F9" s="168"/>
      <c r="G9" s="168"/>
      <c r="H9" s="168"/>
      <c r="I9" s="168"/>
      <c r="J9" s="168"/>
      <c r="K9" s="168"/>
      <c r="L9" s="168"/>
      <c r="M9" s="168"/>
      <c r="N9" s="168"/>
      <c r="O9" s="168"/>
      <c r="P9" s="168"/>
      <c r="Q9" s="168"/>
      <c r="R9" s="169"/>
    </row>
    <row r="10" spans="1:256">
      <c r="A10" s="170"/>
    </row>
    <row r="11" spans="1:256" ht="27">
      <c r="A11" s="171" t="s">
        <v>619</v>
      </c>
      <c r="B11" s="171"/>
      <c r="C11" s="171"/>
      <c r="D11" s="171"/>
      <c r="E11" s="171"/>
      <c r="F11" s="171"/>
      <c r="G11" s="171"/>
      <c r="H11" s="171"/>
      <c r="I11" s="171"/>
      <c r="J11" s="171"/>
      <c r="K11" s="171"/>
      <c r="L11" s="171"/>
      <c r="M11" s="171"/>
      <c r="N11" s="171"/>
      <c r="O11" s="171"/>
      <c r="P11" s="171"/>
      <c r="Q11" s="171"/>
      <c r="R11" s="171"/>
      <c r="S11" s="171"/>
      <c r="T11" s="171"/>
      <c r="U11" s="171"/>
      <c r="V11" s="171"/>
      <c r="W11" s="171"/>
      <c r="X11" s="171"/>
      <c r="Y11" s="171"/>
      <c r="Z11" s="171"/>
      <c r="AA11" s="171"/>
      <c r="AB11" s="171"/>
      <c r="AC11" s="171"/>
      <c r="AD11" s="171"/>
      <c r="AE11" s="171"/>
      <c r="AF11" s="171"/>
      <c r="AG11" s="171"/>
      <c r="AH11" s="171"/>
      <c r="AI11" s="171"/>
      <c r="AJ11" s="171"/>
      <c r="AK11" s="171"/>
      <c r="AL11" s="171"/>
      <c r="AM11" s="171"/>
      <c r="AN11" s="171"/>
      <c r="AO11" s="171"/>
      <c r="AP11" s="171"/>
      <c r="AQ11" s="171"/>
      <c r="AR11" s="171"/>
      <c r="AS11" s="171"/>
      <c r="AT11" s="171"/>
      <c r="AU11" s="171"/>
      <c r="AV11" s="171"/>
      <c r="AW11" s="171"/>
      <c r="AX11" s="171"/>
      <c r="AY11" s="171"/>
      <c r="AZ11" s="171"/>
      <c r="BA11" s="171"/>
      <c r="BB11" s="171"/>
      <c r="BC11" s="171"/>
      <c r="BD11" s="171"/>
      <c r="BE11" s="171"/>
      <c r="BF11" s="171"/>
      <c r="BG11" s="171"/>
      <c r="BH11" s="171"/>
      <c r="BI11" s="171"/>
      <c r="BJ11" s="171"/>
      <c r="BK11" s="171"/>
      <c r="BL11" s="171"/>
      <c r="BM11" s="171"/>
      <c r="BN11" s="171"/>
      <c r="BO11" s="171"/>
      <c r="BP11" s="171"/>
      <c r="BQ11" s="171"/>
      <c r="BR11" s="171"/>
      <c r="BS11" s="171"/>
      <c r="BT11" s="171"/>
      <c r="BU11" s="171"/>
      <c r="BV11" s="171"/>
      <c r="BW11" s="171"/>
      <c r="BX11" s="171"/>
      <c r="BY11" s="171"/>
      <c r="BZ11" s="171"/>
      <c r="CA11" s="171"/>
      <c r="CB11" s="171"/>
      <c r="CC11" s="171"/>
      <c r="CD11" s="171"/>
      <c r="CE11" s="171"/>
      <c r="CF11" s="171"/>
      <c r="CG11" s="171"/>
      <c r="CH11" s="171"/>
      <c r="CI11" s="171"/>
      <c r="CJ11" s="171"/>
      <c r="CK11" s="171"/>
      <c r="CL11" s="171"/>
      <c r="CM11" s="171"/>
      <c r="CN11" s="171"/>
      <c r="CO11" s="171"/>
      <c r="CP11" s="171"/>
      <c r="CQ11" s="171"/>
      <c r="CR11" s="171"/>
      <c r="CS11" s="171"/>
      <c r="CT11" s="171"/>
      <c r="CU11" s="171"/>
      <c r="CV11" s="171"/>
      <c r="CW11" s="171"/>
      <c r="CX11" s="171"/>
      <c r="CY11" s="171"/>
      <c r="CZ11" s="171"/>
      <c r="DA11" s="171"/>
      <c r="DB11" s="171"/>
      <c r="DC11" s="171"/>
      <c r="DD11" s="171"/>
      <c r="DE11" s="171"/>
      <c r="DF11" s="171"/>
      <c r="DG11" s="171"/>
      <c r="DH11" s="171"/>
      <c r="DI11" s="171"/>
      <c r="DJ11" s="171"/>
      <c r="DK11" s="171"/>
      <c r="DL11" s="171"/>
      <c r="DM11" s="171"/>
      <c r="DN11" s="171"/>
      <c r="DO11" s="171"/>
      <c r="DP11" s="171"/>
      <c r="DQ11" s="171"/>
      <c r="DR11" s="171"/>
      <c r="DS11" s="171"/>
      <c r="DT11" s="171"/>
      <c r="DU11" s="171"/>
      <c r="DV11" s="171"/>
      <c r="DW11" s="171"/>
      <c r="DX11" s="171"/>
      <c r="DY11" s="171"/>
      <c r="DZ11" s="171"/>
      <c r="EA11" s="171"/>
      <c r="EB11" s="171"/>
      <c r="EC11" s="171"/>
      <c r="ED11" s="171"/>
      <c r="EE11" s="171"/>
      <c r="EF11" s="171"/>
      <c r="EG11" s="171"/>
      <c r="EH11" s="171"/>
      <c r="EI11" s="171"/>
      <c r="EJ11" s="171"/>
      <c r="EK11" s="171"/>
      <c r="EL11" s="171"/>
      <c r="EM11" s="171"/>
      <c r="EN11" s="171"/>
      <c r="EO11" s="171"/>
      <c r="EP11" s="171"/>
      <c r="EQ11" s="171"/>
      <c r="ER11" s="171"/>
      <c r="ES11" s="171"/>
      <c r="ET11" s="171"/>
      <c r="EU11" s="171"/>
      <c r="EV11" s="171"/>
      <c r="EW11" s="171"/>
      <c r="EX11" s="171"/>
      <c r="EY11" s="171"/>
      <c r="EZ11" s="171"/>
      <c r="FA11" s="171"/>
      <c r="FB11" s="171"/>
      <c r="FC11" s="171"/>
      <c r="FD11" s="171"/>
      <c r="FE11" s="171"/>
      <c r="FF11" s="171"/>
      <c r="FG11" s="171"/>
      <c r="FH11" s="171"/>
      <c r="FI11" s="171"/>
      <c r="FJ11" s="171"/>
      <c r="FK11" s="171"/>
      <c r="FL11" s="171"/>
      <c r="FM11" s="171"/>
      <c r="FN11" s="171"/>
      <c r="FO11" s="171"/>
      <c r="FP11" s="171"/>
      <c r="FQ11" s="171"/>
      <c r="FR11" s="171"/>
      <c r="FS11" s="171"/>
      <c r="FT11" s="171"/>
      <c r="FU11" s="171"/>
      <c r="FV11" s="171"/>
      <c r="FW11" s="171"/>
      <c r="FX11" s="171"/>
      <c r="FY11" s="171"/>
      <c r="FZ11" s="171"/>
      <c r="GA11" s="171"/>
      <c r="GB11" s="171"/>
      <c r="GC11" s="171"/>
      <c r="GD11" s="171"/>
      <c r="GE11" s="171"/>
      <c r="GF11" s="171"/>
      <c r="GG11" s="171"/>
      <c r="GH11" s="171"/>
      <c r="GI11" s="171"/>
      <c r="GJ11" s="171"/>
      <c r="GK11" s="171"/>
      <c r="GL11" s="171"/>
      <c r="GM11" s="171"/>
      <c r="GN11" s="171"/>
      <c r="GO11" s="171"/>
      <c r="GP11" s="171"/>
      <c r="GQ11" s="171"/>
      <c r="GR11" s="171"/>
      <c r="GS11" s="171"/>
      <c r="GT11" s="171"/>
      <c r="GU11" s="171"/>
      <c r="GV11" s="171"/>
      <c r="GW11" s="171"/>
      <c r="GX11" s="171"/>
      <c r="GY11" s="171"/>
      <c r="GZ11" s="171"/>
      <c r="HA11" s="171"/>
      <c r="HB11" s="171"/>
      <c r="HC11" s="171"/>
      <c r="HD11" s="171"/>
      <c r="HE11" s="171"/>
      <c r="HF11" s="171"/>
      <c r="HG11" s="171"/>
      <c r="HH11" s="171"/>
      <c r="HI11" s="171"/>
      <c r="HJ11" s="171"/>
      <c r="HK11" s="171"/>
      <c r="HL11" s="171"/>
      <c r="HM11" s="171"/>
      <c r="HN11" s="171"/>
      <c r="HO11" s="171"/>
      <c r="HP11" s="171"/>
      <c r="HQ11" s="171"/>
      <c r="HR11" s="171"/>
      <c r="HS11" s="171"/>
      <c r="HT11" s="171"/>
      <c r="HU11" s="171"/>
      <c r="HV11" s="171"/>
      <c r="HW11" s="171"/>
      <c r="HX11" s="171"/>
      <c r="HY11" s="171"/>
      <c r="HZ11" s="171"/>
      <c r="IA11" s="171"/>
      <c r="IB11" s="171"/>
      <c r="IC11" s="171"/>
      <c r="ID11" s="171"/>
      <c r="IE11" s="171"/>
      <c r="IF11" s="171"/>
      <c r="IG11" s="171"/>
      <c r="IH11" s="171"/>
      <c r="II11" s="171"/>
      <c r="IJ11" s="171"/>
      <c r="IK11" s="171"/>
      <c r="IL11" s="171"/>
      <c r="IM11" s="171"/>
      <c r="IN11" s="171"/>
      <c r="IO11" s="171"/>
      <c r="IP11" s="171"/>
      <c r="IQ11" s="171"/>
      <c r="IR11" s="171"/>
      <c r="IS11" s="171"/>
      <c r="IT11" s="171"/>
      <c r="IU11" s="171"/>
      <c r="IV11" s="171"/>
    </row>
    <row r="12" spans="1:256">
      <c r="B12" s="172" t="s">
        <v>620</v>
      </c>
    </row>
    <row r="13" spans="1:256">
      <c r="A13" s="173" t="s">
        <v>621</v>
      </c>
      <c r="B13" s="174"/>
      <c r="C13" s="174"/>
      <c r="D13" s="174"/>
      <c r="E13" s="174"/>
      <c r="F13" s="174"/>
      <c r="G13" s="174"/>
      <c r="H13" s="174"/>
      <c r="I13" s="174"/>
      <c r="J13" s="174"/>
      <c r="K13" s="174"/>
      <c r="L13" s="174"/>
      <c r="M13" s="174"/>
      <c r="N13" s="174"/>
      <c r="O13" s="174"/>
      <c r="P13" s="174"/>
      <c r="Q13" s="174"/>
      <c r="R13" s="174"/>
      <c r="S13" s="174"/>
      <c r="T13" s="174"/>
      <c r="U13" s="174"/>
      <c r="V13" s="174"/>
      <c r="W13" s="174"/>
      <c r="X13" s="174"/>
      <c r="Y13" s="174"/>
      <c r="Z13" s="174"/>
      <c r="AA13" s="174"/>
      <c r="AB13" s="174"/>
      <c r="AC13" s="174"/>
      <c r="AD13" s="174"/>
      <c r="AE13" s="174"/>
      <c r="AF13" s="174"/>
      <c r="AG13" s="174"/>
      <c r="AH13" s="174"/>
      <c r="AI13" s="174"/>
      <c r="AJ13" s="174"/>
      <c r="AK13" s="174"/>
      <c r="AL13" s="174"/>
      <c r="AM13" s="174"/>
      <c r="AN13" s="174"/>
      <c r="AO13" s="174"/>
      <c r="AP13" s="174"/>
      <c r="AQ13" s="174"/>
      <c r="AR13" s="174"/>
      <c r="AS13" s="174"/>
      <c r="AT13" s="174"/>
      <c r="AU13" s="174"/>
      <c r="AV13" s="174"/>
      <c r="AW13" s="174"/>
      <c r="AX13" s="174"/>
      <c r="AY13" s="174"/>
      <c r="AZ13" s="174"/>
      <c r="BA13" s="174"/>
      <c r="BB13" s="174"/>
      <c r="BC13" s="174"/>
      <c r="BD13" s="174"/>
      <c r="BE13" s="174"/>
      <c r="BF13" s="174"/>
      <c r="BG13" s="174"/>
      <c r="BH13" s="174"/>
      <c r="BI13" s="174"/>
      <c r="BJ13" s="174"/>
      <c r="BK13" s="174"/>
      <c r="BL13" s="174"/>
      <c r="BM13" s="174"/>
      <c r="BN13" s="174"/>
      <c r="BO13" s="174"/>
      <c r="BP13" s="174"/>
      <c r="BQ13" s="174"/>
      <c r="BR13" s="174"/>
      <c r="BS13" s="174"/>
      <c r="BT13" s="174"/>
      <c r="BU13" s="174"/>
      <c r="BV13" s="174"/>
      <c r="BW13" s="174"/>
      <c r="BX13" s="174"/>
      <c r="BY13" s="174"/>
      <c r="BZ13" s="174"/>
      <c r="CA13" s="174"/>
      <c r="CB13" s="174"/>
      <c r="CC13" s="174"/>
      <c r="CD13" s="174"/>
      <c r="CE13" s="174"/>
      <c r="CF13" s="174"/>
      <c r="CG13" s="174"/>
      <c r="CH13" s="174"/>
      <c r="CI13" s="174"/>
      <c r="CJ13" s="174"/>
      <c r="CK13" s="174"/>
      <c r="CL13" s="174"/>
      <c r="CM13" s="174"/>
      <c r="CN13" s="174"/>
      <c r="CO13" s="174"/>
      <c r="CP13" s="174"/>
      <c r="CQ13" s="174"/>
      <c r="CR13" s="174"/>
      <c r="CS13" s="174"/>
      <c r="CT13" s="174"/>
      <c r="CU13" s="174"/>
      <c r="CV13" s="174"/>
      <c r="CW13" s="174"/>
      <c r="CX13" s="174"/>
      <c r="CY13" s="174"/>
      <c r="CZ13" s="174"/>
      <c r="DA13" s="174"/>
      <c r="DB13" s="174"/>
      <c r="DC13" s="174"/>
      <c r="DD13" s="174"/>
      <c r="DE13" s="174"/>
      <c r="DF13" s="174"/>
      <c r="DG13" s="174"/>
      <c r="DH13" s="174"/>
      <c r="DI13" s="174"/>
      <c r="DJ13" s="174"/>
      <c r="DK13" s="174"/>
      <c r="DL13" s="174"/>
      <c r="DM13" s="174"/>
      <c r="DN13" s="174"/>
      <c r="DO13" s="174"/>
      <c r="DP13" s="174"/>
      <c r="DQ13" s="174"/>
      <c r="DR13" s="174"/>
      <c r="DS13" s="174"/>
      <c r="DT13" s="174"/>
      <c r="DU13" s="174"/>
      <c r="DV13" s="174"/>
      <c r="DW13" s="174"/>
      <c r="DX13" s="174"/>
      <c r="DY13" s="174"/>
      <c r="DZ13" s="174"/>
      <c r="EA13" s="174"/>
      <c r="EB13" s="174"/>
      <c r="EC13" s="174"/>
      <c r="ED13" s="174"/>
      <c r="EE13" s="174"/>
      <c r="EF13" s="174"/>
      <c r="EG13" s="174"/>
      <c r="EH13" s="174"/>
      <c r="EI13" s="174"/>
      <c r="EJ13" s="174"/>
      <c r="EK13" s="174"/>
      <c r="EL13" s="174"/>
      <c r="EM13" s="174"/>
      <c r="EN13" s="174"/>
      <c r="EO13" s="174"/>
      <c r="EP13" s="174"/>
      <c r="EQ13" s="174"/>
      <c r="ER13" s="174"/>
      <c r="ES13" s="174"/>
      <c r="ET13" s="174"/>
      <c r="EU13" s="174"/>
      <c r="EV13" s="174"/>
      <c r="EW13" s="174"/>
      <c r="EX13" s="174"/>
      <c r="EY13" s="174"/>
      <c r="EZ13" s="174"/>
      <c r="FA13" s="174"/>
      <c r="FB13" s="174"/>
      <c r="FC13" s="174"/>
      <c r="FD13" s="174"/>
      <c r="FE13" s="174"/>
      <c r="FF13" s="174"/>
      <c r="FG13" s="174"/>
      <c r="FH13" s="174"/>
      <c r="FI13" s="174"/>
      <c r="FJ13" s="174"/>
      <c r="FK13" s="174"/>
      <c r="FL13" s="174"/>
      <c r="FM13" s="174"/>
      <c r="FN13" s="174"/>
      <c r="FO13" s="174"/>
      <c r="FP13" s="174"/>
      <c r="FQ13" s="174"/>
      <c r="FR13" s="174"/>
      <c r="FS13" s="174"/>
      <c r="FT13" s="174"/>
      <c r="FU13" s="174"/>
      <c r="FV13" s="174"/>
      <c r="FW13" s="174"/>
      <c r="FX13" s="174"/>
      <c r="FY13" s="174"/>
      <c r="FZ13" s="174"/>
      <c r="GA13" s="174"/>
      <c r="GB13" s="174"/>
      <c r="GC13" s="174"/>
      <c r="GD13" s="174"/>
      <c r="GE13" s="174"/>
      <c r="GF13" s="174"/>
      <c r="GG13" s="174"/>
      <c r="GH13" s="174"/>
      <c r="GI13" s="174"/>
      <c r="GJ13" s="174"/>
      <c r="GK13" s="174"/>
      <c r="GL13" s="174"/>
      <c r="GM13" s="174"/>
      <c r="GN13" s="174"/>
      <c r="GO13" s="174"/>
      <c r="GP13" s="174"/>
      <c r="GQ13" s="174"/>
      <c r="GR13" s="174"/>
      <c r="GS13" s="174"/>
      <c r="GT13" s="174"/>
      <c r="GU13" s="174"/>
      <c r="GV13" s="174"/>
      <c r="GW13" s="174"/>
      <c r="GX13" s="174"/>
      <c r="GY13" s="174"/>
      <c r="GZ13" s="174"/>
      <c r="HA13" s="174"/>
      <c r="HB13" s="174"/>
      <c r="HC13" s="174"/>
      <c r="HD13" s="174"/>
      <c r="HE13" s="174"/>
      <c r="HF13" s="174"/>
      <c r="HG13" s="174"/>
      <c r="HH13" s="174"/>
      <c r="HI13" s="174"/>
      <c r="HJ13" s="174"/>
      <c r="HK13" s="174"/>
      <c r="HL13" s="174"/>
      <c r="HM13" s="174"/>
      <c r="HN13" s="174"/>
      <c r="HO13" s="174"/>
      <c r="HP13" s="174"/>
      <c r="HQ13" s="174"/>
      <c r="HR13" s="174"/>
      <c r="HS13" s="174"/>
      <c r="HT13" s="174"/>
      <c r="HU13" s="174"/>
      <c r="HV13" s="174"/>
      <c r="HW13" s="174"/>
      <c r="HX13" s="174"/>
      <c r="HY13" s="174"/>
      <c r="HZ13" s="174"/>
      <c r="IA13" s="174"/>
      <c r="IB13" s="174"/>
      <c r="IC13" s="174"/>
      <c r="ID13" s="174"/>
      <c r="IE13" s="174"/>
      <c r="IF13" s="174"/>
      <c r="IG13" s="174"/>
      <c r="IH13" s="174"/>
      <c r="II13" s="174"/>
      <c r="IJ13" s="174"/>
      <c r="IK13" s="174"/>
      <c r="IL13" s="174"/>
      <c r="IM13" s="174"/>
      <c r="IN13" s="174"/>
      <c r="IO13" s="174"/>
      <c r="IP13" s="174"/>
      <c r="IQ13" s="174"/>
      <c r="IR13" s="174"/>
      <c r="IS13" s="174"/>
      <c r="IT13" s="174"/>
      <c r="IU13" s="174"/>
      <c r="IV13" s="174"/>
    </row>
    <row r="14" spans="1:256">
      <c r="B14" s="175" t="s">
        <v>367</v>
      </c>
      <c r="C14" s="176" t="s">
        <v>622</v>
      </c>
    </row>
    <row r="15" spans="1:256">
      <c r="A15" s="173" t="s">
        <v>623</v>
      </c>
      <c r="B15" s="174"/>
      <c r="C15" s="174"/>
      <c r="D15" s="174"/>
      <c r="E15" s="174"/>
      <c r="F15" s="174"/>
      <c r="G15" s="174"/>
      <c r="H15" s="174"/>
      <c r="I15" s="174"/>
      <c r="J15" s="174"/>
      <c r="K15" s="174"/>
      <c r="L15" s="174"/>
      <c r="M15" s="174"/>
      <c r="N15" s="174"/>
      <c r="O15" s="174"/>
      <c r="P15" s="174"/>
      <c r="Q15" s="174"/>
      <c r="R15" s="174"/>
      <c r="S15" s="174"/>
      <c r="T15" s="174"/>
      <c r="U15" s="174"/>
      <c r="V15" s="174"/>
      <c r="W15" s="174"/>
      <c r="X15" s="174"/>
      <c r="Y15" s="174"/>
      <c r="Z15" s="174"/>
      <c r="AA15" s="174"/>
      <c r="AB15" s="174"/>
      <c r="AC15" s="174"/>
      <c r="AD15" s="174"/>
      <c r="AE15" s="174"/>
      <c r="AF15" s="174"/>
      <c r="AG15" s="174"/>
      <c r="AH15" s="174"/>
      <c r="AI15" s="174"/>
      <c r="AJ15" s="174"/>
      <c r="AK15" s="174"/>
      <c r="AL15" s="174"/>
      <c r="AM15" s="174"/>
      <c r="AN15" s="174"/>
      <c r="AO15" s="174"/>
      <c r="AP15" s="174"/>
      <c r="AQ15" s="174"/>
      <c r="AR15" s="174"/>
      <c r="AS15" s="174"/>
      <c r="AT15" s="174"/>
      <c r="AU15" s="174"/>
      <c r="AV15" s="174"/>
      <c r="AW15" s="174"/>
      <c r="AX15" s="174"/>
      <c r="AY15" s="174"/>
      <c r="AZ15" s="174"/>
      <c r="BA15" s="174"/>
      <c r="BB15" s="174"/>
      <c r="BC15" s="174"/>
      <c r="BD15" s="174"/>
      <c r="BE15" s="174"/>
      <c r="BF15" s="174"/>
      <c r="BG15" s="174"/>
      <c r="BH15" s="174"/>
      <c r="BI15" s="174"/>
      <c r="BJ15" s="174"/>
      <c r="BK15" s="174"/>
      <c r="BL15" s="174"/>
      <c r="BM15" s="174"/>
      <c r="BN15" s="174"/>
      <c r="BO15" s="174"/>
      <c r="BP15" s="174"/>
      <c r="BQ15" s="174"/>
      <c r="BR15" s="174"/>
      <c r="BS15" s="174"/>
      <c r="BT15" s="174"/>
      <c r="BU15" s="174"/>
      <c r="BV15" s="174"/>
      <c r="BW15" s="174"/>
      <c r="BX15" s="174"/>
      <c r="BY15" s="174"/>
      <c r="BZ15" s="174"/>
      <c r="CA15" s="174"/>
      <c r="CB15" s="174"/>
      <c r="CC15" s="174"/>
      <c r="CD15" s="174"/>
      <c r="CE15" s="174"/>
      <c r="CF15" s="174"/>
      <c r="CG15" s="174"/>
      <c r="CH15" s="174"/>
      <c r="CI15" s="174"/>
      <c r="CJ15" s="174"/>
      <c r="CK15" s="174"/>
      <c r="CL15" s="174"/>
      <c r="CM15" s="174"/>
      <c r="CN15" s="174"/>
      <c r="CO15" s="174"/>
      <c r="CP15" s="174"/>
      <c r="CQ15" s="174"/>
      <c r="CR15" s="174"/>
      <c r="CS15" s="174"/>
      <c r="CT15" s="174"/>
      <c r="CU15" s="174"/>
      <c r="CV15" s="174"/>
      <c r="CW15" s="174"/>
      <c r="CX15" s="174"/>
      <c r="CY15" s="174"/>
      <c r="CZ15" s="174"/>
      <c r="DA15" s="174"/>
      <c r="DB15" s="174"/>
      <c r="DC15" s="174"/>
      <c r="DD15" s="174"/>
      <c r="DE15" s="174"/>
      <c r="DF15" s="174"/>
      <c r="DG15" s="174"/>
      <c r="DH15" s="174"/>
      <c r="DI15" s="174"/>
      <c r="DJ15" s="174"/>
      <c r="DK15" s="174"/>
      <c r="DL15" s="174"/>
      <c r="DM15" s="174"/>
      <c r="DN15" s="174"/>
      <c r="DO15" s="174"/>
      <c r="DP15" s="174"/>
      <c r="DQ15" s="174"/>
      <c r="DR15" s="174"/>
      <c r="DS15" s="174"/>
      <c r="DT15" s="174"/>
      <c r="DU15" s="174"/>
      <c r="DV15" s="174"/>
      <c r="DW15" s="174"/>
      <c r="DX15" s="174"/>
      <c r="DY15" s="174"/>
      <c r="DZ15" s="174"/>
      <c r="EA15" s="174"/>
      <c r="EB15" s="174"/>
      <c r="EC15" s="174"/>
      <c r="ED15" s="174"/>
      <c r="EE15" s="174"/>
      <c r="EF15" s="174"/>
      <c r="EG15" s="174"/>
      <c r="EH15" s="174"/>
      <c r="EI15" s="174"/>
      <c r="EJ15" s="174"/>
      <c r="EK15" s="174"/>
      <c r="EL15" s="174"/>
      <c r="EM15" s="174"/>
      <c r="EN15" s="174"/>
      <c r="EO15" s="174"/>
      <c r="EP15" s="174"/>
      <c r="EQ15" s="174"/>
      <c r="ER15" s="174"/>
      <c r="ES15" s="174"/>
      <c r="ET15" s="174"/>
      <c r="EU15" s="174"/>
      <c r="EV15" s="174"/>
      <c r="EW15" s="174"/>
      <c r="EX15" s="174"/>
      <c r="EY15" s="174"/>
      <c r="EZ15" s="174"/>
      <c r="FA15" s="174"/>
      <c r="FB15" s="174"/>
      <c r="FC15" s="174"/>
      <c r="FD15" s="174"/>
      <c r="FE15" s="174"/>
      <c r="FF15" s="174"/>
      <c r="FG15" s="174"/>
      <c r="FH15" s="174"/>
      <c r="FI15" s="174"/>
      <c r="FJ15" s="174"/>
      <c r="FK15" s="174"/>
      <c r="FL15" s="174"/>
      <c r="FM15" s="174"/>
      <c r="FN15" s="174"/>
      <c r="FO15" s="174"/>
      <c r="FP15" s="174"/>
      <c r="FQ15" s="174"/>
      <c r="FR15" s="174"/>
      <c r="FS15" s="174"/>
      <c r="FT15" s="174"/>
      <c r="FU15" s="174"/>
      <c r="FV15" s="174"/>
      <c r="FW15" s="174"/>
      <c r="FX15" s="174"/>
      <c r="FY15" s="174"/>
      <c r="FZ15" s="174"/>
      <c r="GA15" s="174"/>
      <c r="GB15" s="174"/>
      <c r="GC15" s="174"/>
      <c r="GD15" s="174"/>
      <c r="GE15" s="174"/>
      <c r="GF15" s="174"/>
      <c r="GG15" s="174"/>
      <c r="GH15" s="174"/>
      <c r="GI15" s="174"/>
      <c r="GJ15" s="174"/>
      <c r="GK15" s="174"/>
      <c r="GL15" s="174"/>
      <c r="GM15" s="174"/>
      <c r="GN15" s="174"/>
      <c r="GO15" s="174"/>
      <c r="GP15" s="174"/>
      <c r="GQ15" s="174"/>
      <c r="GR15" s="174"/>
      <c r="GS15" s="174"/>
      <c r="GT15" s="174"/>
      <c r="GU15" s="174"/>
      <c r="GV15" s="174"/>
      <c r="GW15" s="174"/>
      <c r="GX15" s="174"/>
      <c r="GY15" s="174"/>
      <c r="GZ15" s="174"/>
      <c r="HA15" s="174"/>
      <c r="HB15" s="174"/>
      <c r="HC15" s="174"/>
      <c r="HD15" s="174"/>
      <c r="HE15" s="174"/>
      <c r="HF15" s="174"/>
      <c r="HG15" s="174"/>
      <c r="HH15" s="174"/>
      <c r="HI15" s="174"/>
      <c r="HJ15" s="174"/>
      <c r="HK15" s="174"/>
      <c r="HL15" s="174"/>
      <c r="HM15" s="174"/>
      <c r="HN15" s="174"/>
      <c r="HO15" s="174"/>
      <c r="HP15" s="174"/>
      <c r="HQ15" s="174"/>
      <c r="HR15" s="174"/>
      <c r="HS15" s="174"/>
      <c r="HT15" s="174"/>
      <c r="HU15" s="174"/>
      <c r="HV15" s="174"/>
      <c r="HW15" s="174"/>
      <c r="HX15" s="174"/>
      <c r="HY15" s="174"/>
      <c r="HZ15" s="174"/>
      <c r="IA15" s="174"/>
      <c r="IB15" s="174"/>
      <c r="IC15" s="174"/>
      <c r="ID15" s="174"/>
      <c r="IE15" s="174"/>
      <c r="IF15" s="174"/>
      <c r="IG15" s="174"/>
      <c r="IH15" s="174"/>
      <c r="II15" s="174"/>
      <c r="IJ15" s="174"/>
      <c r="IK15" s="174"/>
      <c r="IL15" s="174"/>
      <c r="IM15" s="174"/>
      <c r="IN15" s="174"/>
      <c r="IO15" s="174"/>
      <c r="IP15" s="174"/>
      <c r="IQ15" s="174"/>
      <c r="IR15" s="174"/>
      <c r="IS15" s="174"/>
      <c r="IT15" s="174"/>
      <c r="IU15" s="174"/>
      <c r="IV15" s="174"/>
    </row>
    <row r="16" spans="1:256">
      <c r="B16" s="175"/>
      <c r="C16" s="176" t="s">
        <v>622</v>
      </c>
    </row>
    <row r="17" spans="1:256">
      <c r="A17" s="173" t="s">
        <v>624</v>
      </c>
      <c r="B17" s="174"/>
      <c r="C17" s="174"/>
      <c r="D17" s="174"/>
      <c r="E17" s="174"/>
      <c r="F17" s="174"/>
      <c r="G17" s="174"/>
      <c r="H17" s="174"/>
      <c r="I17" s="174"/>
      <c r="J17" s="174"/>
      <c r="K17" s="174"/>
      <c r="L17" s="174"/>
      <c r="M17" s="174"/>
      <c r="N17" s="174"/>
      <c r="O17" s="174"/>
      <c r="P17" s="174"/>
      <c r="Q17" s="174"/>
      <c r="R17" s="174"/>
      <c r="S17" s="174"/>
      <c r="T17" s="174"/>
      <c r="U17" s="174"/>
      <c r="V17" s="174"/>
      <c r="W17" s="174"/>
      <c r="X17" s="174"/>
      <c r="Y17" s="174"/>
      <c r="Z17" s="174"/>
      <c r="AA17" s="174"/>
      <c r="AB17" s="174"/>
      <c r="AC17" s="174"/>
      <c r="AD17" s="174"/>
      <c r="AE17" s="174"/>
      <c r="AF17" s="174"/>
      <c r="AG17" s="174"/>
      <c r="AH17" s="174"/>
      <c r="AI17" s="174"/>
      <c r="AJ17" s="174"/>
      <c r="AK17" s="174"/>
      <c r="AL17" s="174"/>
      <c r="AM17" s="174"/>
      <c r="AN17" s="174"/>
      <c r="AO17" s="174"/>
      <c r="AP17" s="174"/>
      <c r="AQ17" s="174"/>
      <c r="AR17" s="174"/>
      <c r="AS17" s="174"/>
      <c r="AT17" s="174"/>
      <c r="AU17" s="174"/>
      <c r="AV17" s="174"/>
      <c r="AW17" s="174"/>
      <c r="AX17" s="174"/>
      <c r="AY17" s="174"/>
      <c r="AZ17" s="174"/>
      <c r="BA17" s="174"/>
      <c r="BB17" s="174"/>
      <c r="BC17" s="174"/>
      <c r="BD17" s="174"/>
      <c r="BE17" s="174"/>
      <c r="BF17" s="174"/>
      <c r="BG17" s="174"/>
      <c r="BH17" s="174"/>
      <c r="BI17" s="174"/>
      <c r="BJ17" s="174"/>
      <c r="BK17" s="174"/>
      <c r="BL17" s="174"/>
      <c r="BM17" s="174"/>
      <c r="BN17" s="174"/>
      <c r="BO17" s="174"/>
      <c r="BP17" s="174"/>
      <c r="BQ17" s="174"/>
      <c r="BR17" s="174"/>
      <c r="BS17" s="174"/>
      <c r="BT17" s="174"/>
      <c r="BU17" s="174"/>
      <c r="BV17" s="174"/>
      <c r="BW17" s="174"/>
      <c r="BX17" s="174"/>
      <c r="BY17" s="174"/>
      <c r="BZ17" s="174"/>
      <c r="CA17" s="174"/>
      <c r="CB17" s="174"/>
      <c r="CC17" s="174"/>
      <c r="CD17" s="174"/>
      <c r="CE17" s="174"/>
      <c r="CF17" s="174"/>
      <c r="CG17" s="174"/>
      <c r="CH17" s="174"/>
      <c r="CI17" s="174"/>
      <c r="CJ17" s="174"/>
      <c r="CK17" s="174"/>
      <c r="CL17" s="174"/>
      <c r="CM17" s="174"/>
      <c r="CN17" s="174"/>
      <c r="CO17" s="174"/>
      <c r="CP17" s="174"/>
      <c r="CQ17" s="174"/>
      <c r="CR17" s="174"/>
      <c r="CS17" s="174"/>
      <c r="CT17" s="174"/>
      <c r="CU17" s="174"/>
      <c r="CV17" s="174"/>
      <c r="CW17" s="174"/>
      <c r="CX17" s="174"/>
      <c r="CY17" s="174"/>
      <c r="CZ17" s="174"/>
      <c r="DA17" s="174"/>
      <c r="DB17" s="174"/>
      <c r="DC17" s="174"/>
      <c r="DD17" s="174"/>
      <c r="DE17" s="174"/>
      <c r="DF17" s="174"/>
      <c r="DG17" s="174"/>
      <c r="DH17" s="174"/>
      <c r="DI17" s="174"/>
      <c r="DJ17" s="174"/>
      <c r="DK17" s="174"/>
      <c r="DL17" s="174"/>
      <c r="DM17" s="174"/>
      <c r="DN17" s="174"/>
      <c r="DO17" s="174"/>
      <c r="DP17" s="174"/>
      <c r="DQ17" s="174"/>
      <c r="DR17" s="174"/>
      <c r="DS17" s="174"/>
      <c r="DT17" s="174"/>
      <c r="DU17" s="174"/>
      <c r="DV17" s="174"/>
      <c r="DW17" s="174"/>
      <c r="DX17" s="174"/>
      <c r="DY17" s="174"/>
      <c r="DZ17" s="174"/>
      <c r="EA17" s="174"/>
      <c r="EB17" s="174"/>
      <c r="EC17" s="174"/>
      <c r="ED17" s="174"/>
      <c r="EE17" s="174"/>
      <c r="EF17" s="174"/>
      <c r="EG17" s="174"/>
      <c r="EH17" s="174"/>
      <c r="EI17" s="174"/>
      <c r="EJ17" s="174"/>
      <c r="EK17" s="174"/>
      <c r="EL17" s="174"/>
      <c r="EM17" s="174"/>
      <c r="EN17" s="174"/>
      <c r="EO17" s="174"/>
      <c r="EP17" s="174"/>
      <c r="EQ17" s="174"/>
      <c r="ER17" s="174"/>
      <c r="ES17" s="174"/>
      <c r="ET17" s="174"/>
      <c r="EU17" s="174"/>
      <c r="EV17" s="174"/>
      <c r="EW17" s="174"/>
      <c r="EX17" s="174"/>
      <c r="EY17" s="174"/>
      <c r="EZ17" s="174"/>
      <c r="FA17" s="174"/>
      <c r="FB17" s="174"/>
      <c r="FC17" s="174"/>
      <c r="FD17" s="174"/>
      <c r="FE17" s="174"/>
      <c r="FF17" s="174"/>
      <c r="FG17" s="174"/>
      <c r="FH17" s="174"/>
      <c r="FI17" s="174"/>
      <c r="FJ17" s="174"/>
      <c r="FK17" s="174"/>
      <c r="FL17" s="174"/>
      <c r="FM17" s="174"/>
      <c r="FN17" s="174"/>
      <c r="FO17" s="174"/>
      <c r="FP17" s="174"/>
      <c r="FQ17" s="174"/>
      <c r="FR17" s="174"/>
      <c r="FS17" s="174"/>
      <c r="FT17" s="174"/>
      <c r="FU17" s="174"/>
      <c r="FV17" s="174"/>
      <c r="FW17" s="174"/>
      <c r="FX17" s="174"/>
      <c r="FY17" s="174"/>
      <c r="FZ17" s="174"/>
      <c r="GA17" s="174"/>
      <c r="GB17" s="174"/>
      <c r="GC17" s="174"/>
      <c r="GD17" s="174"/>
      <c r="GE17" s="174"/>
      <c r="GF17" s="174"/>
      <c r="GG17" s="174"/>
      <c r="GH17" s="174"/>
      <c r="GI17" s="174"/>
      <c r="GJ17" s="174"/>
      <c r="GK17" s="174"/>
      <c r="GL17" s="174"/>
      <c r="GM17" s="174"/>
      <c r="GN17" s="174"/>
      <c r="GO17" s="174"/>
      <c r="GP17" s="174"/>
      <c r="GQ17" s="174"/>
      <c r="GR17" s="174"/>
      <c r="GS17" s="174"/>
      <c r="GT17" s="174"/>
      <c r="GU17" s="174"/>
      <c r="GV17" s="174"/>
      <c r="GW17" s="174"/>
      <c r="GX17" s="174"/>
      <c r="GY17" s="174"/>
      <c r="GZ17" s="174"/>
      <c r="HA17" s="174"/>
      <c r="HB17" s="174"/>
      <c r="HC17" s="174"/>
      <c r="HD17" s="174"/>
      <c r="HE17" s="174"/>
      <c r="HF17" s="174"/>
      <c r="HG17" s="174"/>
      <c r="HH17" s="174"/>
      <c r="HI17" s="174"/>
      <c r="HJ17" s="174"/>
      <c r="HK17" s="174"/>
      <c r="HL17" s="174"/>
      <c r="HM17" s="174"/>
      <c r="HN17" s="174"/>
      <c r="HO17" s="174"/>
      <c r="HP17" s="174"/>
      <c r="HQ17" s="174"/>
      <c r="HR17" s="174"/>
      <c r="HS17" s="174"/>
      <c r="HT17" s="174"/>
      <c r="HU17" s="174"/>
      <c r="HV17" s="174"/>
      <c r="HW17" s="174"/>
      <c r="HX17" s="174"/>
      <c r="HY17" s="174"/>
      <c r="HZ17" s="174"/>
      <c r="IA17" s="174"/>
      <c r="IB17" s="174"/>
      <c r="IC17" s="174"/>
      <c r="ID17" s="174"/>
      <c r="IE17" s="174"/>
      <c r="IF17" s="174"/>
      <c r="IG17" s="174"/>
      <c r="IH17" s="174"/>
      <c r="II17" s="174"/>
      <c r="IJ17" s="174"/>
      <c r="IK17" s="174"/>
      <c r="IL17" s="174"/>
      <c r="IM17" s="174"/>
      <c r="IN17" s="174"/>
      <c r="IO17" s="174"/>
      <c r="IP17" s="174"/>
      <c r="IQ17" s="174"/>
      <c r="IR17" s="174"/>
      <c r="IS17" s="174"/>
      <c r="IT17" s="174"/>
      <c r="IU17" s="174"/>
      <c r="IV17" s="174"/>
    </row>
    <row r="18" spans="1:256">
      <c r="B18" s="157"/>
      <c r="C18" s="158"/>
      <c r="D18" s="158"/>
      <c r="E18" s="158"/>
      <c r="F18" s="158"/>
      <c r="G18" s="158"/>
      <c r="H18" s="158"/>
      <c r="I18" s="158"/>
      <c r="J18" s="158"/>
      <c r="K18" s="158"/>
      <c r="L18" s="158"/>
      <c r="M18" s="158"/>
      <c r="N18" s="158"/>
      <c r="O18" s="158"/>
      <c r="P18" s="158"/>
      <c r="Q18" s="158"/>
      <c r="R18" s="159"/>
      <c r="S18" s="176" t="s">
        <v>625</v>
      </c>
    </row>
    <row r="20" spans="1:256">
      <c r="A20" s="177" t="s">
        <v>626</v>
      </c>
      <c r="B20" s="177"/>
      <c r="C20" s="177"/>
      <c r="D20" s="177"/>
      <c r="E20" s="177"/>
      <c r="F20" s="177"/>
      <c r="G20" s="177"/>
      <c r="H20" s="177"/>
      <c r="I20" s="177"/>
      <c r="J20" s="177"/>
      <c r="K20" s="177"/>
      <c r="L20" s="177"/>
      <c r="M20" s="177"/>
      <c r="N20" s="177"/>
      <c r="O20" s="177"/>
      <c r="P20" s="177"/>
      <c r="Q20" s="177"/>
      <c r="R20" s="177"/>
      <c r="S20" s="177"/>
      <c r="T20" s="177"/>
      <c r="U20" s="177"/>
      <c r="V20" s="177"/>
      <c r="W20" s="177"/>
      <c r="X20" s="177"/>
      <c r="Y20" s="177"/>
      <c r="Z20" s="177"/>
      <c r="AA20" s="177"/>
      <c r="AB20" s="177"/>
      <c r="AC20" s="177"/>
      <c r="AD20" s="177"/>
      <c r="AE20" s="177"/>
      <c r="AF20" s="177"/>
      <c r="AG20" s="177"/>
      <c r="AH20" s="177"/>
      <c r="AI20" s="177"/>
      <c r="AJ20" s="177"/>
      <c r="AK20" s="177"/>
      <c r="AL20" s="177"/>
      <c r="AM20" s="177"/>
      <c r="AN20" s="177"/>
      <c r="AO20" s="177"/>
      <c r="AP20" s="177"/>
      <c r="AQ20" s="177"/>
      <c r="AR20" s="177"/>
      <c r="AS20" s="177"/>
      <c r="AT20" s="177"/>
      <c r="AU20" s="177"/>
      <c r="AV20" s="177"/>
      <c r="AW20" s="177"/>
      <c r="AX20" s="177"/>
      <c r="AY20" s="177"/>
      <c r="AZ20" s="177"/>
      <c r="BA20" s="177"/>
      <c r="BB20" s="177"/>
      <c r="BC20" s="177"/>
      <c r="BD20" s="177"/>
      <c r="BE20" s="177"/>
      <c r="BF20" s="177"/>
      <c r="BG20" s="177"/>
      <c r="BH20" s="177"/>
      <c r="BI20" s="177"/>
      <c r="BJ20" s="177"/>
      <c r="BK20" s="177"/>
      <c r="BL20" s="177"/>
      <c r="BM20" s="177"/>
      <c r="BN20" s="177"/>
      <c r="BO20" s="177"/>
      <c r="BP20" s="177"/>
      <c r="BQ20" s="177"/>
      <c r="BR20" s="177"/>
      <c r="BS20" s="177"/>
      <c r="BT20" s="177"/>
      <c r="BU20" s="177"/>
      <c r="BV20" s="177"/>
      <c r="BW20" s="177"/>
      <c r="BX20" s="177"/>
      <c r="BY20" s="177"/>
      <c r="BZ20" s="177"/>
      <c r="CA20" s="177"/>
      <c r="CB20" s="177"/>
      <c r="CC20" s="177"/>
      <c r="CD20" s="177"/>
      <c r="CE20" s="177"/>
      <c r="CF20" s="177"/>
      <c r="CG20" s="177"/>
      <c r="CH20" s="177"/>
      <c r="CI20" s="177"/>
      <c r="CJ20" s="177"/>
      <c r="CK20" s="177"/>
      <c r="CL20" s="177"/>
      <c r="CM20" s="177"/>
      <c r="CN20" s="177"/>
      <c r="CO20" s="177"/>
      <c r="CP20" s="177"/>
      <c r="CQ20" s="177"/>
      <c r="CR20" s="177"/>
      <c r="CS20" s="177"/>
      <c r="CT20" s="177"/>
      <c r="CU20" s="177"/>
      <c r="CV20" s="177"/>
      <c r="CW20" s="177"/>
      <c r="CX20" s="177"/>
      <c r="CY20" s="177"/>
      <c r="CZ20" s="177"/>
      <c r="DA20" s="177"/>
      <c r="DB20" s="177"/>
      <c r="DC20" s="177"/>
      <c r="DD20" s="177"/>
      <c r="DE20" s="177"/>
      <c r="DF20" s="177"/>
      <c r="DG20" s="177"/>
      <c r="DH20" s="177"/>
      <c r="DI20" s="177"/>
      <c r="DJ20" s="177"/>
      <c r="DK20" s="177"/>
      <c r="DL20" s="177"/>
      <c r="DM20" s="177"/>
      <c r="DN20" s="177"/>
      <c r="DO20" s="177"/>
      <c r="DP20" s="177"/>
      <c r="DQ20" s="177"/>
      <c r="DR20" s="177"/>
      <c r="DS20" s="177"/>
      <c r="DT20" s="177"/>
      <c r="DU20" s="177"/>
      <c r="DV20" s="177"/>
      <c r="DW20" s="177"/>
      <c r="DX20" s="177"/>
      <c r="DY20" s="177"/>
      <c r="DZ20" s="177"/>
      <c r="EA20" s="177"/>
      <c r="EB20" s="177"/>
      <c r="EC20" s="177"/>
      <c r="ED20" s="177"/>
      <c r="EE20" s="177"/>
      <c r="EF20" s="177"/>
      <c r="EG20" s="177"/>
      <c r="EH20" s="177"/>
      <c r="EI20" s="177"/>
      <c r="EJ20" s="177"/>
      <c r="EK20" s="177"/>
      <c r="EL20" s="177"/>
      <c r="EM20" s="177"/>
      <c r="EN20" s="177"/>
      <c r="EO20" s="177"/>
      <c r="EP20" s="177"/>
      <c r="EQ20" s="177"/>
      <c r="ER20" s="177"/>
      <c r="ES20" s="177"/>
      <c r="ET20" s="177"/>
      <c r="EU20" s="177"/>
      <c r="EV20" s="177"/>
      <c r="EW20" s="177"/>
      <c r="EX20" s="177"/>
      <c r="EY20" s="177"/>
      <c r="EZ20" s="177"/>
      <c r="FA20" s="177"/>
      <c r="FB20" s="177"/>
      <c r="FC20" s="177"/>
      <c r="FD20" s="177"/>
      <c r="FE20" s="177"/>
      <c r="FF20" s="177"/>
      <c r="FG20" s="177"/>
      <c r="FH20" s="177"/>
      <c r="FI20" s="177"/>
      <c r="FJ20" s="177"/>
      <c r="FK20" s="177"/>
      <c r="FL20" s="177"/>
      <c r="FM20" s="177"/>
      <c r="FN20" s="177"/>
      <c r="FO20" s="177"/>
      <c r="FP20" s="177"/>
      <c r="FQ20" s="177"/>
      <c r="FR20" s="177"/>
      <c r="FS20" s="177"/>
      <c r="FT20" s="177"/>
      <c r="FU20" s="177"/>
      <c r="FV20" s="177"/>
      <c r="FW20" s="177"/>
      <c r="FX20" s="177"/>
      <c r="FY20" s="177"/>
      <c r="FZ20" s="177"/>
      <c r="GA20" s="177"/>
      <c r="GB20" s="177"/>
      <c r="GC20" s="177"/>
      <c r="GD20" s="177"/>
      <c r="GE20" s="177"/>
      <c r="GF20" s="177"/>
      <c r="GG20" s="177"/>
      <c r="GH20" s="177"/>
      <c r="GI20" s="177"/>
      <c r="GJ20" s="177"/>
      <c r="GK20" s="177"/>
      <c r="GL20" s="177"/>
      <c r="GM20" s="177"/>
      <c r="GN20" s="177"/>
      <c r="GO20" s="177"/>
      <c r="GP20" s="177"/>
      <c r="GQ20" s="177"/>
      <c r="GR20" s="177"/>
      <c r="GS20" s="177"/>
      <c r="GT20" s="177"/>
      <c r="GU20" s="177"/>
      <c r="GV20" s="177"/>
      <c r="GW20" s="177"/>
      <c r="GX20" s="177"/>
      <c r="GY20" s="177"/>
      <c r="GZ20" s="177"/>
      <c r="HA20" s="177"/>
      <c r="HB20" s="177"/>
      <c r="HC20" s="177"/>
      <c r="HD20" s="177"/>
      <c r="HE20" s="177"/>
      <c r="HF20" s="177"/>
      <c r="HG20" s="177"/>
      <c r="HH20" s="177"/>
      <c r="HI20" s="177"/>
      <c r="HJ20" s="177"/>
      <c r="HK20" s="177"/>
      <c r="HL20" s="177"/>
      <c r="HM20" s="177"/>
      <c r="HN20" s="177"/>
      <c r="HO20" s="177"/>
      <c r="HP20" s="177"/>
      <c r="HQ20" s="177"/>
      <c r="HR20" s="177"/>
      <c r="HS20" s="177"/>
      <c r="HT20" s="177"/>
      <c r="HU20" s="177"/>
      <c r="HV20" s="177"/>
      <c r="HW20" s="177"/>
      <c r="HX20" s="177"/>
      <c r="HY20" s="177"/>
      <c r="HZ20" s="177"/>
      <c r="IA20" s="177"/>
      <c r="IB20" s="177"/>
      <c r="IC20" s="177"/>
      <c r="ID20" s="177"/>
      <c r="IE20" s="177"/>
      <c r="IF20" s="177"/>
      <c r="IG20" s="177"/>
      <c r="IH20" s="177"/>
      <c r="II20" s="177"/>
      <c r="IJ20" s="177"/>
      <c r="IK20" s="177"/>
      <c r="IL20" s="177"/>
      <c r="IM20" s="177"/>
      <c r="IN20" s="177"/>
      <c r="IO20" s="177"/>
      <c r="IP20" s="177"/>
      <c r="IQ20" s="177"/>
      <c r="IR20" s="177"/>
      <c r="IS20" s="177"/>
      <c r="IT20" s="177"/>
      <c r="IU20" s="177"/>
      <c r="IV20" s="177"/>
    </row>
    <row r="21" spans="1:256" ht="29" thickBot="1">
      <c r="A21" s="178" t="s">
        <v>627</v>
      </c>
      <c r="B21" s="179"/>
      <c r="C21" s="179"/>
      <c r="D21" s="179"/>
      <c r="E21" s="179"/>
      <c r="F21" s="179"/>
      <c r="G21" s="179"/>
      <c r="H21" s="179"/>
      <c r="I21" s="179"/>
      <c r="J21" s="179"/>
      <c r="K21" s="179"/>
      <c r="L21" s="179"/>
      <c r="M21" s="180"/>
      <c r="AC21" s="181"/>
      <c r="AD21" s="181"/>
      <c r="AE21" s="181"/>
      <c r="AF21" s="181"/>
      <c r="AG21" s="181"/>
      <c r="AH21" s="181"/>
      <c r="AI21" s="181"/>
      <c r="AJ21" s="181"/>
      <c r="AK21" s="181"/>
      <c r="AL21" s="181"/>
      <c r="AM21" s="181"/>
      <c r="AN21" s="181"/>
      <c r="AO21" s="181"/>
      <c r="AP21" s="181"/>
      <c r="AQ21" s="181"/>
      <c r="AR21" s="181"/>
      <c r="AS21" s="181"/>
      <c r="AT21" s="181"/>
      <c r="AU21" s="181"/>
      <c r="AV21" s="181"/>
      <c r="AW21" s="181"/>
      <c r="AX21" s="181"/>
      <c r="AY21" s="181"/>
      <c r="AZ21" s="181"/>
      <c r="BA21" s="181"/>
      <c r="BB21" s="181"/>
      <c r="BC21" s="181"/>
      <c r="BD21" s="181"/>
      <c r="BE21" s="181"/>
      <c r="BF21" s="181"/>
      <c r="BG21" s="181"/>
      <c r="BH21" s="181"/>
      <c r="BI21" s="181"/>
      <c r="BJ21" s="181"/>
      <c r="BK21" s="181"/>
      <c r="BL21" s="181"/>
      <c r="BM21" s="181"/>
      <c r="BN21" s="181"/>
      <c r="BO21" s="181"/>
      <c r="BP21" s="181"/>
      <c r="BQ21" s="181"/>
      <c r="BR21" s="181"/>
      <c r="BS21" s="181"/>
      <c r="BT21" s="181"/>
      <c r="BU21" s="181"/>
      <c r="BV21" s="181"/>
      <c r="BW21" s="181"/>
      <c r="BX21" s="181"/>
      <c r="BY21" s="181"/>
      <c r="BZ21" s="181"/>
      <c r="CA21" s="181"/>
      <c r="CB21" s="181"/>
      <c r="CC21" s="181"/>
      <c r="CD21" s="181"/>
      <c r="CE21" s="181"/>
      <c r="CF21" s="181"/>
      <c r="CG21" s="181"/>
      <c r="CH21" s="181"/>
      <c r="CI21" s="181"/>
      <c r="CJ21" s="181"/>
      <c r="CK21" s="181"/>
      <c r="CL21" s="181"/>
      <c r="CM21" s="181"/>
      <c r="CN21" s="181"/>
      <c r="CO21" s="181"/>
      <c r="CP21" s="181"/>
      <c r="CQ21" s="181"/>
      <c r="CR21" s="181"/>
      <c r="CS21" s="181"/>
      <c r="CT21" s="181"/>
      <c r="CU21" s="181"/>
      <c r="CV21" s="181"/>
      <c r="CW21" s="181"/>
      <c r="CX21" s="181"/>
      <c r="CY21" s="181"/>
      <c r="CZ21" s="181"/>
      <c r="DA21" s="181"/>
      <c r="DB21" s="181"/>
      <c r="DC21" s="181"/>
      <c r="DD21" s="181"/>
      <c r="DE21" s="181"/>
      <c r="DF21" s="181"/>
      <c r="DG21" s="181"/>
      <c r="DH21" s="181"/>
      <c r="DI21" s="181"/>
      <c r="DJ21" s="181"/>
      <c r="DK21" s="181"/>
      <c r="DL21" s="181"/>
      <c r="DM21" s="181"/>
      <c r="DN21" s="181"/>
      <c r="DO21" s="181"/>
      <c r="DP21" s="181"/>
      <c r="DQ21" s="181"/>
      <c r="DR21" s="181"/>
      <c r="DS21" s="181"/>
      <c r="DT21" s="181"/>
      <c r="DU21" s="181"/>
      <c r="DV21" s="181"/>
      <c r="DW21" s="181"/>
      <c r="DX21" s="181"/>
      <c r="DY21" s="181"/>
      <c r="DZ21" s="181"/>
      <c r="EA21" s="181"/>
      <c r="EB21" s="181"/>
      <c r="EC21" s="181"/>
      <c r="ED21" s="181"/>
      <c r="EE21" s="181"/>
      <c r="EF21" s="181"/>
      <c r="EG21" s="181"/>
      <c r="EH21" s="181"/>
      <c r="EI21" s="181"/>
      <c r="EJ21" s="181"/>
      <c r="EK21" s="181"/>
      <c r="EL21" s="181"/>
      <c r="EM21" s="181"/>
      <c r="EN21" s="181"/>
      <c r="EO21" s="181"/>
      <c r="EP21" s="181"/>
      <c r="EQ21" s="181"/>
      <c r="ER21" s="181"/>
      <c r="ES21" s="181"/>
      <c r="ET21" s="181"/>
      <c r="EU21" s="181"/>
      <c r="EV21" s="181"/>
      <c r="EW21" s="181"/>
      <c r="EX21" s="181"/>
      <c r="EY21" s="181"/>
      <c r="EZ21" s="181"/>
      <c r="FA21" s="181"/>
      <c r="FB21" s="181"/>
      <c r="FC21" s="181"/>
      <c r="FD21" s="181"/>
      <c r="FE21" s="181"/>
      <c r="FF21" s="181"/>
      <c r="FG21" s="181"/>
      <c r="FH21" s="181"/>
      <c r="FI21" s="181"/>
      <c r="FJ21" s="181"/>
      <c r="FK21" s="181"/>
      <c r="FL21" s="181"/>
      <c r="FM21" s="181"/>
      <c r="FN21" s="181"/>
      <c r="FO21" s="181"/>
      <c r="FP21" s="181"/>
      <c r="FQ21" s="181"/>
      <c r="FR21" s="181"/>
      <c r="FS21" s="181"/>
      <c r="FT21" s="181"/>
      <c r="FU21" s="181"/>
      <c r="FV21" s="181"/>
      <c r="FW21" s="181"/>
      <c r="FX21" s="181"/>
      <c r="FY21" s="181"/>
      <c r="FZ21" s="181"/>
      <c r="GA21" s="181"/>
      <c r="GB21" s="181"/>
      <c r="GC21" s="181"/>
      <c r="GD21" s="181"/>
      <c r="GE21" s="181"/>
      <c r="GF21" s="181"/>
      <c r="GG21" s="181"/>
      <c r="GH21" s="181"/>
      <c r="GI21" s="181"/>
      <c r="GJ21" s="181"/>
      <c r="GK21" s="181"/>
      <c r="GL21" s="181"/>
      <c r="GM21" s="181"/>
      <c r="GN21" s="181"/>
      <c r="GO21" s="181"/>
      <c r="GP21" s="181"/>
      <c r="GQ21" s="181"/>
      <c r="GR21" s="181"/>
      <c r="GS21" s="181"/>
      <c r="GT21" s="181"/>
      <c r="GU21" s="181"/>
      <c r="GV21" s="181"/>
      <c r="GW21" s="181"/>
      <c r="GX21" s="181"/>
      <c r="GY21" s="181"/>
      <c r="GZ21" s="181"/>
      <c r="HA21" s="181"/>
      <c r="HB21" s="181"/>
      <c r="HC21" s="181"/>
      <c r="HD21" s="181"/>
      <c r="HE21" s="181"/>
      <c r="HF21" s="181"/>
      <c r="HG21" s="181"/>
      <c r="HH21" s="181"/>
      <c r="HI21" s="181"/>
      <c r="HJ21" s="181"/>
      <c r="HK21" s="181"/>
      <c r="HL21" s="181"/>
      <c r="HM21" s="181"/>
      <c r="HN21" s="181"/>
      <c r="HO21" s="181"/>
      <c r="HP21" s="181"/>
      <c r="HQ21" s="181"/>
      <c r="HR21" s="181"/>
      <c r="HS21" s="181"/>
      <c r="HT21" s="181"/>
      <c r="HU21" s="181"/>
      <c r="HV21" s="181"/>
      <c r="HW21" s="181"/>
      <c r="HX21" s="181"/>
      <c r="HY21" s="181"/>
      <c r="HZ21" s="181"/>
      <c r="IA21" s="181"/>
      <c r="IB21" s="181"/>
      <c r="IC21" s="181"/>
      <c r="ID21" s="181"/>
      <c r="IE21" s="181"/>
      <c r="IF21" s="181"/>
      <c r="IG21" s="181"/>
      <c r="IH21" s="181"/>
      <c r="II21" s="181"/>
      <c r="IJ21" s="181"/>
      <c r="IK21" s="181"/>
      <c r="IL21" s="181"/>
      <c r="IM21" s="181"/>
      <c r="IN21" s="181"/>
      <c r="IO21" s="181"/>
      <c r="IP21" s="181"/>
      <c r="IQ21" s="181"/>
      <c r="IR21" s="181"/>
      <c r="IS21" s="181"/>
      <c r="IT21" s="181"/>
      <c r="IU21" s="181"/>
      <c r="IV21" s="181"/>
    </row>
    <row r="22" spans="1:256" ht="41.25" customHeight="1" thickBot="1">
      <c r="A22" s="182" t="s">
        <v>18</v>
      </c>
      <c r="B22" s="183" t="s">
        <v>628</v>
      </c>
      <c r="C22" s="183" t="s">
        <v>629</v>
      </c>
      <c r="D22" s="183" t="s">
        <v>21</v>
      </c>
      <c r="E22" s="183" t="s">
        <v>22</v>
      </c>
      <c r="F22" s="183" t="s">
        <v>23</v>
      </c>
      <c r="G22" s="183" t="s">
        <v>630</v>
      </c>
      <c r="H22" s="183" t="s">
        <v>631</v>
      </c>
      <c r="I22" s="184"/>
      <c r="J22" s="185" t="s">
        <v>27</v>
      </c>
      <c r="K22" s="185"/>
      <c r="L22" s="185"/>
      <c r="M22" s="186" t="s">
        <v>28</v>
      </c>
      <c r="N22" s="187"/>
      <c r="O22" s="187"/>
      <c r="P22" s="187"/>
      <c r="Q22" s="187"/>
      <c r="R22" s="187"/>
      <c r="S22" s="187"/>
      <c r="T22" s="188"/>
      <c r="U22" s="181"/>
      <c r="V22" s="181"/>
      <c r="W22" s="181"/>
      <c r="X22" s="181"/>
      <c r="Y22" s="181"/>
      <c r="Z22" s="181"/>
      <c r="AA22" s="181"/>
      <c r="AB22" s="181"/>
    </row>
    <row r="23" spans="1:256">
      <c r="A23" s="189" t="s">
        <v>29</v>
      </c>
      <c r="B23" s="190">
        <v>-1.544</v>
      </c>
      <c r="C23" s="191" t="s">
        <v>30</v>
      </c>
      <c r="D23" s="192">
        <v>0.17592262140645501</v>
      </c>
      <c r="E23" s="193">
        <v>11</v>
      </c>
      <c r="F23" s="193">
        <v>258.5</v>
      </c>
      <c r="G23" s="194">
        <v>-0.86</v>
      </c>
      <c r="H23" s="192">
        <f t="shared" ref="H23:H86" si="0">0.5-G23-0.01*(F23-25)</f>
        <v>-0.97500000000000009</v>
      </c>
      <c r="I23" s="195" t="s">
        <v>31</v>
      </c>
      <c r="J23" s="196" t="s">
        <v>367</v>
      </c>
      <c r="K23" s="192"/>
      <c r="L23" s="192"/>
      <c r="M23" s="197" t="s">
        <v>33</v>
      </c>
    </row>
    <row r="24" spans="1:256">
      <c r="A24" s="198" t="s">
        <v>35</v>
      </c>
      <c r="B24" s="190">
        <v>-2.528</v>
      </c>
      <c r="C24" s="191" t="s">
        <v>36</v>
      </c>
      <c r="D24" s="192">
        <v>0.14701293131372209</v>
      </c>
      <c r="E24" s="193">
        <v>16</v>
      </c>
      <c r="F24" s="193">
        <v>142.4</v>
      </c>
      <c r="G24" s="194">
        <v>1.31</v>
      </c>
      <c r="H24" s="192">
        <f t="shared" si="0"/>
        <v>-1.9840000000000002</v>
      </c>
      <c r="I24" s="195" t="s">
        <v>37</v>
      </c>
      <c r="J24" s="196"/>
      <c r="K24" s="192"/>
      <c r="L24" s="192"/>
      <c r="M24" s="197" t="s">
        <v>38</v>
      </c>
    </row>
    <row r="25" spans="1:256">
      <c r="A25" s="189" t="s">
        <v>40</v>
      </c>
      <c r="B25" s="190">
        <v>-3.282</v>
      </c>
      <c r="C25" s="191" t="s">
        <v>41</v>
      </c>
      <c r="D25" s="192">
        <v>0.15746026945991629</v>
      </c>
      <c r="E25" s="193">
        <v>4</v>
      </c>
      <c r="F25" s="193">
        <v>92</v>
      </c>
      <c r="G25" s="194">
        <v>2.5299999999999998</v>
      </c>
      <c r="H25" s="192">
        <f t="shared" si="0"/>
        <v>-2.6999999999999997</v>
      </c>
      <c r="I25" s="195" t="s">
        <v>42</v>
      </c>
      <c r="J25" s="196"/>
      <c r="K25" s="192"/>
      <c r="L25" s="192"/>
      <c r="M25" s="197" t="s">
        <v>43</v>
      </c>
    </row>
    <row r="26" spans="1:256">
      <c r="A26" s="198" t="s">
        <v>45</v>
      </c>
      <c r="B26" s="190">
        <v>-4.0339999999999998</v>
      </c>
      <c r="C26" s="191" t="s">
        <v>46</v>
      </c>
      <c r="D26" s="192">
        <v>0.16999222507469616</v>
      </c>
      <c r="E26" s="193">
        <v>3</v>
      </c>
      <c r="F26" s="193">
        <v>234</v>
      </c>
      <c r="G26" s="194">
        <v>3.19</v>
      </c>
      <c r="H26" s="192">
        <f t="shared" si="0"/>
        <v>-4.7799999999999994</v>
      </c>
      <c r="I26" s="199" t="s">
        <v>47</v>
      </c>
      <c r="J26" s="200"/>
      <c r="K26" s="192"/>
      <c r="L26" s="192"/>
      <c r="M26" s="197" t="s">
        <v>48</v>
      </c>
    </row>
    <row r="27" spans="1:256">
      <c r="A27" s="198" t="s">
        <v>50</v>
      </c>
      <c r="B27" s="190">
        <v>-5.23</v>
      </c>
      <c r="C27" s="191" t="s">
        <v>51</v>
      </c>
      <c r="D27" s="192">
        <v>0.21168830858587184</v>
      </c>
      <c r="E27" s="193">
        <v>3</v>
      </c>
      <c r="F27" s="193">
        <v>139.25</v>
      </c>
      <c r="G27" s="194">
        <v>4.8600000000000003</v>
      </c>
      <c r="H27" s="192">
        <f t="shared" si="0"/>
        <v>-5.5025000000000004</v>
      </c>
      <c r="I27" s="199" t="s">
        <v>52</v>
      </c>
      <c r="J27" s="200"/>
      <c r="K27" s="192"/>
      <c r="L27" s="192"/>
      <c r="M27" s="197" t="s">
        <v>53</v>
      </c>
    </row>
    <row r="28" spans="1:256">
      <c r="A28" s="189" t="s">
        <v>55</v>
      </c>
      <c r="B28" s="190">
        <v>-5.9379999999999997</v>
      </c>
      <c r="C28" s="201"/>
      <c r="D28" s="192">
        <v>0.18412396392404196</v>
      </c>
      <c r="E28" s="193">
        <v>3</v>
      </c>
      <c r="F28" s="193">
        <v>224.00000000000003</v>
      </c>
      <c r="G28" s="194">
        <v>5.51</v>
      </c>
      <c r="H28" s="192">
        <f t="shared" si="0"/>
        <v>-7</v>
      </c>
      <c r="I28" s="199" t="s">
        <v>56</v>
      </c>
      <c r="J28" s="200"/>
      <c r="K28" s="192"/>
      <c r="L28" s="192"/>
      <c r="M28" s="197" t="s">
        <v>57</v>
      </c>
    </row>
    <row r="29" spans="1:256">
      <c r="A29" s="189" t="s">
        <v>59</v>
      </c>
      <c r="B29" s="190">
        <v>-2.91</v>
      </c>
      <c r="C29" s="201"/>
      <c r="D29" s="192">
        <v>0.14933733874523175</v>
      </c>
      <c r="E29" s="193">
        <v>6</v>
      </c>
      <c r="F29" s="193">
        <v>172.5</v>
      </c>
      <c r="G29" s="194">
        <v>1.78</v>
      </c>
      <c r="H29" s="192">
        <f t="shared" si="0"/>
        <v>-2.7549999999999999</v>
      </c>
      <c r="I29" s="199" t="s">
        <v>60</v>
      </c>
      <c r="J29" s="202"/>
      <c r="K29" s="192"/>
      <c r="L29" s="192"/>
      <c r="M29" s="197" t="s">
        <v>61</v>
      </c>
    </row>
    <row r="30" spans="1:256">
      <c r="A30" s="189" t="s">
        <v>63</v>
      </c>
      <c r="B30" s="190">
        <v>-2.988</v>
      </c>
      <c r="C30" s="201"/>
      <c r="D30" s="192">
        <v>0.14842266063120066</v>
      </c>
      <c r="E30" s="193">
        <v>4</v>
      </c>
      <c r="F30" s="193">
        <v>207.50000000000003</v>
      </c>
      <c r="G30" s="194">
        <v>1.86</v>
      </c>
      <c r="H30" s="192">
        <f t="shared" si="0"/>
        <v>-3.1850000000000005</v>
      </c>
      <c r="I30" s="203" t="s">
        <v>64</v>
      </c>
      <c r="J30" s="204"/>
      <c r="K30" s="205"/>
      <c r="L30" s="206"/>
      <c r="M30" s="197" t="s">
        <v>65</v>
      </c>
    </row>
    <row r="31" spans="1:256">
      <c r="A31" s="207" t="s">
        <v>66</v>
      </c>
      <c r="B31" s="190">
        <v>-2.2850000000000001</v>
      </c>
      <c r="C31" s="201"/>
      <c r="D31" s="192">
        <v>0.1617973106900604</v>
      </c>
      <c r="E31" s="193">
        <v>10</v>
      </c>
      <c r="F31" s="193">
        <v>166.5</v>
      </c>
      <c r="G31" s="194">
        <v>0.79</v>
      </c>
      <c r="H31" s="192">
        <f t="shared" si="0"/>
        <v>-1.7050000000000001</v>
      </c>
      <c r="J31" s="192"/>
      <c r="K31" s="192"/>
      <c r="L31" s="192"/>
      <c r="M31" s="197" t="s">
        <v>67</v>
      </c>
    </row>
    <row r="32" spans="1:256">
      <c r="A32" s="198" t="s">
        <v>68</v>
      </c>
      <c r="B32" s="190">
        <v>-4.2359999999999998</v>
      </c>
      <c r="C32" s="201"/>
      <c r="D32" s="192">
        <v>0.21543706061278237</v>
      </c>
      <c r="E32" s="193">
        <v>6</v>
      </c>
      <c r="F32" s="193">
        <v>231.5</v>
      </c>
      <c r="G32" s="194">
        <v>2.4300000000000002</v>
      </c>
      <c r="H32" s="192">
        <f t="shared" si="0"/>
        <v>-3.9950000000000001</v>
      </c>
      <c r="I32" s="208" t="s">
        <v>69</v>
      </c>
      <c r="J32" s="209"/>
      <c r="K32" s="209"/>
      <c r="L32" s="210"/>
      <c r="M32" s="197" t="s">
        <v>70</v>
      </c>
    </row>
    <row r="33" spans="1:13">
      <c r="A33" s="198" t="s">
        <v>71</v>
      </c>
      <c r="B33" s="190">
        <v>-3.4990000000000001</v>
      </c>
      <c r="C33" s="201"/>
      <c r="D33" s="192">
        <v>0.12912520605069597</v>
      </c>
      <c r="E33" s="193">
        <v>3</v>
      </c>
      <c r="F33" s="211">
        <v>192.7</v>
      </c>
      <c r="G33" s="194">
        <v>2.63</v>
      </c>
      <c r="H33" s="192">
        <f t="shared" si="0"/>
        <v>-3.8069999999999995</v>
      </c>
      <c r="I33" s="212" t="s">
        <v>632</v>
      </c>
      <c r="J33" s="213"/>
      <c r="K33" s="213"/>
      <c r="L33" s="214"/>
      <c r="M33" s="197" t="s">
        <v>72</v>
      </c>
    </row>
    <row r="34" spans="1:13">
      <c r="A34" s="189" t="s">
        <v>74</v>
      </c>
      <c r="B34" s="190">
        <v>-8.1080000000000005</v>
      </c>
      <c r="C34" s="201"/>
      <c r="D34" s="192">
        <v>0.14911462098310888</v>
      </c>
      <c r="E34" s="193">
        <v>6</v>
      </c>
      <c r="F34" s="193">
        <v>167</v>
      </c>
      <c r="G34" s="194">
        <v>6.32</v>
      </c>
      <c r="H34" s="192">
        <f t="shared" si="0"/>
        <v>-7.24</v>
      </c>
      <c r="I34" s="215"/>
      <c r="J34" s="216"/>
      <c r="K34" s="216"/>
      <c r="L34" s="217"/>
      <c r="M34" s="197" t="s">
        <v>75</v>
      </c>
    </row>
    <row r="35" spans="1:13">
      <c r="A35" s="198" t="s">
        <v>77</v>
      </c>
      <c r="B35" s="190">
        <v>-4.0049999999999999</v>
      </c>
      <c r="C35" s="201"/>
      <c r="D35" s="192">
        <v>0.15809078703524676</v>
      </c>
      <c r="E35" s="193">
        <v>15</v>
      </c>
      <c r="F35" s="193">
        <v>191.5</v>
      </c>
      <c r="G35" s="194">
        <v>3.39</v>
      </c>
      <c r="H35" s="192">
        <f t="shared" si="0"/>
        <v>-4.5549999999999997</v>
      </c>
      <c r="I35" s="215"/>
      <c r="J35" s="216"/>
      <c r="K35" s="216"/>
      <c r="L35" s="217"/>
      <c r="M35" s="197" t="s">
        <v>78</v>
      </c>
    </row>
    <row r="36" spans="1:13">
      <c r="A36" s="207" t="s">
        <v>80</v>
      </c>
      <c r="B36" s="190">
        <v>-3.4409999999999998</v>
      </c>
      <c r="C36" s="201"/>
      <c r="D36" s="192">
        <v>0.1911503089068218</v>
      </c>
      <c r="E36" s="193">
        <v>3</v>
      </c>
      <c r="F36" s="193">
        <v>246.2</v>
      </c>
      <c r="G36" s="194">
        <v>3.32</v>
      </c>
      <c r="H36" s="192">
        <f t="shared" si="0"/>
        <v>-5.032</v>
      </c>
      <c r="I36" s="218"/>
      <c r="J36" s="216"/>
      <c r="K36" s="216"/>
      <c r="L36" s="217"/>
      <c r="M36" s="197" t="s">
        <v>81</v>
      </c>
    </row>
    <row r="37" spans="1:13">
      <c r="A37" s="207" t="s">
        <v>73</v>
      </c>
      <c r="B37" s="190">
        <v>-2.9510000000000001</v>
      </c>
      <c r="C37" s="201"/>
      <c r="D37" s="192">
        <v>0.19050575600734274</v>
      </c>
      <c r="E37" s="193">
        <v>4</v>
      </c>
      <c r="F37" s="193">
        <v>304</v>
      </c>
      <c r="G37" s="194">
        <v>1.74</v>
      </c>
      <c r="H37" s="192">
        <f t="shared" si="0"/>
        <v>-4.03</v>
      </c>
      <c r="I37" s="218"/>
      <c r="J37" s="216"/>
      <c r="K37" s="216"/>
      <c r="L37" s="217"/>
      <c r="M37" s="197" t="s">
        <v>83</v>
      </c>
    </row>
    <row r="38" spans="1:13">
      <c r="A38" s="189" t="s">
        <v>76</v>
      </c>
      <c r="B38" s="190">
        <v>-2.7919999999999998</v>
      </c>
      <c r="C38" s="201"/>
      <c r="D38" s="192">
        <v>0.13682393527498057</v>
      </c>
      <c r="E38" s="193">
        <v>7</v>
      </c>
      <c r="F38" s="193">
        <v>187</v>
      </c>
      <c r="G38" s="194">
        <v>-0.87</v>
      </c>
      <c r="H38" s="192">
        <f t="shared" si="0"/>
        <v>-0.25</v>
      </c>
      <c r="I38" s="218"/>
      <c r="J38" s="216"/>
      <c r="K38" s="216"/>
      <c r="L38" s="217"/>
      <c r="M38" s="219" t="s">
        <v>85</v>
      </c>
    </row>
    <row r="39" spans="1:13">
      <c r="A39" s="189" t="s">
        <v>87</v>
      </c>
      <c r="B39" s="190">
        <v>-3.169</v>
      </c>
      <c r="C39" s="201"/>
      <c r="D39" s="192">
        <v>0.20462356367492032</v>
      </c>
      <c r="E39" s="193">
        <v>4</v>
      </c>
      <c r="F39" s="193">
        <v>221.5</v>
      </c>
      <c r="G39" s="194">
        <v>0.71</v>
      </c>
      <c r="H39" s="192">
        <f t="shared" si="0"/>
        <v>-2.1749999999999998</v>
      </c>
      <c r="I39" s="218"/>
      <c r="J39" s="216"/>
      <c r="K39" s="216"/>
      <c r="L39" s="217"/>
      <c r="M39" s="197" t="s">
        <v>88</v>
      </c>
    </row>
    <row r="40" spans="1:13">
      <c r="A40" s="189" t="s">
        <v>90</v>
      </c>
      <c r="B40" s="190">
        <v>-4.6390000000000002</v>
      </c>
      <c r="C40" s="201"/>
      <c r="D40" s="192">
        <v>0.18274602564465547</v>
      </c>
      <c r="E40" s="193">
        <v>6</v>
      </c>
      <c r="F40" s="193">
        <v>157.83333333333334</v>
      </c>
      <c r="G40" s="194">
        <v>3.51</v>
      </c>
      <c r="H40" s="192">
        <f t="shared" si="0"/>
        <v>-4.3383333333333329</v>
      </c>
      <c r="I40" s="218"/>
      <c r="J40" s="160"/>
      <c r="K40" s="160"/>
      <c r="L40" s="161"/>
      <c r="M40" s="197" t="s">
        <v>91</v>
      </c>
    </row>
    <row r="41" spans="1:13">
      <c r="A41" s="198" t="s">
        <v>93</v>
      </c>
      <c r="B41" s="190">
        <v>-2.528</v>
      </c>
      <c r="C41" s="201"/>
      <c r="D41" s="192">
        <v>0.12610247911779729</v>
      </c>
      <c r="E41" s="193">
        <v>8</v>
      </c>
      <c r="F41" s="193">
        <v>140</v>
      </c>
      <c r="G41" s="194">
        <v>0.35</v>
      </c>
      <c r="H41" s="192">
        <f t="shared" si="0"/>
        <v>-1</v>
      </c>
      <c r="I41" s="218"/>
      <c r="J41" s="160"/>
      <c r="K41" s="160"/>
      <c r="L41" s="161"/>
      <c r="M41" s="197" t="s">
        <v>94</v>
      </c>
    </row>
    <row r="42" spans="1:13">
      <c r="A42" s="198" t="s">
        <v>96</v>
      </c>
      <c r="B42" s="190">
        <v>-3.0859999999999999</v>
      </c>
      <c r="C42" s="201"/>
      <c r="D42" s="192">
        <v>0.14493441954543959</v>
      </c>
      <c r="E42" s="193">
        <v>7</v>
      </c>
      <c r="F42" s="193">
        <v>127.93333333333334</v>
      </c>
      <c r="G42" s="194">
        <v>1.74</v>
      </c>
      <c r="H42" s="192">
        <f t="shared" si="0"/>
        <v>-2.2693333333333334</v>
      </c>
      <c r="I42" s="218"/>
      <c r="J42" s="160"/>
      <c r="K42" s="160"/>
      <c r="L42" s="161"/>
      <c r="M42" s="197" t="s">
        <v>97</v>
      </c>
    </row>
    <row r="43" spans="1:13">
      <c r="A43" s="198" t="s">
        <v>79</v>
      </c>
      <c r="B43" s="190">
        <v>-5.4539999999999997</v>
      </c>
      <c r="C43" s="201"/>
      <c r="D43" s="192">
        <v>0.14861388626870758</v>
      </c>
      <c r="E43" s="193">
        <v>7</v>
      </c>
      <c r="F43" s="193">
        <v>176</v>
      </c>
      <c r="G43" s="194">
        <v>4.4800000000000004</v>
      </c>
      <c r="H43" s="192">
        <f t="shared" si="0"/>
        <v>-5.49</v>
      </c>
      <c r="I43" s="218"/>
      <c r="J43" s="160"/>
      <c r="K43" s="160"/>
      <c r="L43" s="161"/>
      <c r="M43" s="197" t="s">
        <v>99</v>
      </c>
    </row>
    <row r="44" spans="1:13">
      <c r="A44" s="189" t="s">
        <v>101</v>
      </c>
      <c r="B44" s="190">
        <v>-4.6630000000000003</v>
      </c>
      <c r="C44" s="201"/>
      <c r="D44" s="192">
        <v>0.1280711495400205</v>
      </c>
      <c r="E44" s="193">
        <v>3</v>
      </c>
      <c r="F44" s="193">
        <v>159.69999999999999</v>
      </c>
      <c r="G44" s="194">
        <v>3.46</v>
      </c>
      <c r="H44" s="192">
        <f t="shared" si="0"/>
        <v>-4.3070000000000004</v>
      </c>
      <c r="I44" s="218"/>
      <c r="J44" s="160"/>
      <c r="K44" s="160"/>
      <c r="L44" s="161"/>
      <c r="M44" s="197" t="s">
        <v>102</v>
      </c>
    </row>
    <row r="45" spans="1:13">
      <c r="A45" s="198" t="s">
        <v>104</v>
      </c>
      <c r="B45" s="190">
        <v>-2.343</v>
      </c>
      <c r="C45" s="201"/>
      <c r="D45" s="192">
        <v>0.21683500301481054</v>
      </c>
      <c r="E45" s="193">
        <v>8</v>
      </c>
      <c r="F45" s="193">
        <v>142</v>
      </c>
      <c r="G45" s="194">
        <v>0.6</v>
      </c>
      <c r="H45" s="192">
        <f t="shared" si="0"/>
        <v>-1.27</v>
      </c>
      <c r="I45" s="218"/>
      <c r="J45" s="160"/>
      <c r="K45" s="160"/>
      <c r="L45" s="161"/>
      <c r="M45" s="197" t="s">
        <v>105</v>
      </c>
    </row>
    <row r="46" spans="1:13">
      <c r="A46" s="198" t="s">
        <v>107</v>
      </c>
      <c r="B46" s="190">
        <v>-2.9430000000000001</v>
      </c>
      <c r="C46" s="201"/>
      <c r="D46" s="192">
        <v>0.18255878892749886</v>
      </c>
      <c r="E46" s="193">
        <v>20</v>
      </c>
      <c r="F46" s="193">
        <v>267</v>
      </c>
      <c r="G46" s="194">
        <v>1.58</v>
      </c>
      <c r="H46" s="192">
        <f t="shared" si="0"/>
        <v>-3.5</v>
      </c>
      <c r="I46" s="218"/>
      <c r="J46" s="160"/>
      <c r="K46" s="160"/>
      <c r="L46" s="161"/>
      <c r="M46" s="197" t="s">
        <v>108</v>
      </c>
    </row>
    <row r="47" spans="1:13">
      <c r="A47" s="189" t="s">
        <v>110</v>
      </c>
      <c r="B47" s="190">
        <v>-4.641</v>
      </c>
      <c r="C47" s="201"/>
      <c r="D47" s="192">
        <v>0.16704647063532602</v>
      </c>
      <c r="E47" s="193">
        <v>6</v>
      </c>
      <c r="F47" s="193">
        <v>110.00000000000001</v>
      </c>
      <c r="G47" s="194">
        <v>3.36</v>
      </c>
      <c r="H47" s="192">
        <f t="shared" si="0"/>
        <v>-3.71</v>
      </c>
      <c r="I47" s="218"/>
      <c r="J47" s="160"/>
      <c r="K47" s="160"/>
      <c r="L47" s="161"/>
      <c r="M47" s="197" t="s">
        <v>111</v>
      </c>
    </row>
    <row r="48" spans="1:13">
      <c r="A48" s="198" t="s">
        <v>82</v>
      </c>
      <c r="B48" s="190">
        <v>-3.863</v>
      </c>
      <c r="C48" s="201"/>
      <c r="D48" s="192">
        <v>0.17164501312359953</v>
      </c>
      <c r="E48" s="193">
        <v>7</v>
      </c>
      <c r="F48" s="193">
        <v>182</v>
      </c>
      <c r="G48" s="194">
        <v>2.67</v>
      </c>
      <c r="H48" s="192">
        <f t="shared" si="0"/>
        <v>-3.74</v>
      </c>
      <c r="I48" s="218"/>
      <c r="J48" s="160"/>
      <c r="K48" s="160"/>
      <c r="L48" s="161"/>
      <c r="M48" s="197" t="s">
        <v>113</v>
      </c>
    </row>
    <row r="49" spans="1:13">
      <c r="A49" s="198" t="s">
        <v>115</v>
      </c>
      <c r="B49" s="190">
        <v>-4.1580000000000004</v>
      </c>
      <c r="C49" s="201"/>
      <c r="D49" s="192">
        <v>0.12558353028546052</v>
      </c>
      <c r="E49" s="193">
        <v>4</v>
      </c>
      <c r="F49" s="193">
        <v>222.00000000000003</v>
      </c>
      <c r="G49" s="194">
        <v>2.56</v>
      </c>
      <c r="H49" s="192">
        <f t="shared" si="0"/>
        <v>-4.03</v>
      </c>
      <c r="I49" s="218"/>
      <c r="J49" s="160"/>
      <c r="K49" s="160"/>
      <c r="L49" s="161"/>
      <c r="M49" s="197" t="s">
        <v>116</v>
      </c>
    </row>
    <row r="50" spans="1:13">
      <c r="A50" s="198" t="s">
        <v>118</v>
      </c>
      <c r="B50" s="190">
        <v>-7.7690000000000001</v>
      </c>
      <c r="C50" s="201"/>
      <c r="D50" s="192">
        <v>0.1568133990664792</v>
      </c>
      <c r="E50" s="193">
        <v>6</v>
      </c>
      <c r="F50" s="193">
        <v>151</v>
      </c>
      <c r="G50" s="194">
        <v>3.27</v>
      </c>
      <c r="H50" s="192">
        <f t="shared" si="0"/>
        <v>-4.03</v>
      </c>
      <c r="I50" s="218"/>
      <c r="J50" s="160"/>
      <c r="K50" s="160"/>
      <c r="L50" s="161"/>
      <c r="M50" s="197" t="s">
        <v>119</v>
      </c>
    </row>
    <row r="51" spans="1:13">
      <c r="A51" s="189" t="s">
        <v>84</v>
      </c>
      <c r="B51" s="190">
        <v>-3.972</v>
      </c>
      <c r="C51" s="201"/>
      <c r="D51" s="192">
        <v>0.12789394574374285</v>
      </c>
      <c r="E51" s="193">
        <v>5</v>
      </c>
      <c r="F51" s="193">
        <v>330</v>
      </c>
      <c r="G51" s="194">
        <v>2.87</v>
      </c>
      <c r="H51" s="192">
        <f t="shared" si="0"/>
        <v>-5.42</v>
      </c>
      <c r="I51" s="218"/>
      <c r="J51" s="160"/>
      <c r="K51" s="160"/>
      <c r="L51" s="161"/>
      <c r="M51" s="197" t="s">
        <v>120</v>
      </c>
    </row>
    <row r="52" spans="1:13">
      <c r="A52" s="198" t="s">
        <v>121</v>
      </c>
      <c r="B52" s="190">
        <v>-3.613</v>
      </c>
      <c r="C52" s="201"/>
      <c r="D52" s="192">
        <v>0.18012800124370357</v>
      </c>
      <c r="E52" s="193">
        <v>3</v>
      </c>
      <c r="F52" s="193">
        <v>100</v>
      </c>
      <c r="G52" s="194">
        <v>3.53</v>
      </c>
      <c r="H52" s="192">
        <f t="shared" si="0"/>
        <v>-3.78</v>
      </c>
      <c r="I52" s="215"/>
      <c r="J52" s="216"/>
      <c r="K52" s="216"/>
      <c r="L52" s="217"/>
      <c r="M52" s="197" t="s">
        <v>122</v>
      </c>
    </row>
    <row r="53" spans="1:13">
      <c r="A53" s="189" t="s">
        <v>123</v>
      </c>
      <c r="B53" s="190">
        <v>-3.5449999999999999</v>
      </c>
      <c r="C53" s="201"/>
      <c r="D53" s="192">
        <v>0.18062104750721683</v>
      </c>
      <c r="E53" s="193">
        <v>16</v>
      </c>
      <c r="F53" s="193">
        <v>262.5</v>
      </c>
      <c r="G53" s="194">
        <v>1.9</v>
      </c>
      <c r="H53" s="192">
        <f t="shared" si="0"/>
        <v>-3.7749999999999999</v>
      </c>
      <c r="I53" s="215"/>
      <c r="J53" s="216"/>
      <c r="K53" s="216"/>
      <c r="L53" s="217"/>
      <c r="M53" s="197" t="s">
        <v>124</v>
      </c>
    </row>
    <row r="54" spans="1:13">
      <c r="A54" s="198" t="s">
        <v>125</v>
      </c>
      <c r="B54" s="190">
        <v>-2.76</v>
      </c>
      <c r="C54" s="201"/>
      <c r="D54" s="192">
        <v>0.22156244268660033</v>
      </c>
      <c r="E54" s="193">
        <v>4</v>
      </c>
      <c r="F54" s="193">
        <v>328.85</v>
      </c>
      <c r="G54" s="194">
        <v>1.87</v>
      </c>
      <c r="H54" s="192">
        <f t="shared" si="0"/>
        <v>-4.4085000000000001</v>
      </c>
      <c r="I54" s="215"/>
      <c r="J54" s="216"/>
      <c r="K54" s="216"/>
      <c r="L54" s="217"/>
      <c r="M54" s="197" t="s">
        <v>126</v>
      </c>
    </row>
    <row r="55" spans="1:13">
      <c r="A55" s="198" t="s">
        <v>127</v>
      </c>
      <c r="B55" s="190">
        <v>-4.8849999999999998</v>
      </c>
      <c r="C55" s="201"/>
      <c r="D55" s="192">
        <v>0.18450811780713378</v>
      </c>
      <c r="E55" s="193">
        <v>33</v>
      </c>
      <c r="F55" s="193">
        <v>167.5</v>
      </c>
      <c r="G55" s="194">
        <v>4.3600000000000003</v>
      </c>
      <c r="H55" s="192">
        <f t="shared" si="0"/>
        <v>-5.2850000000000001</v>
      </c>
      <c r="I55" s="215"/>
      <c r="J55" s="216"/>
      <c r="K55" s="216"/>
      <c r="L55" s="217"/>
      <c r="M55" s="197" t="s">
        <v>128</v>
      </c>
    </row>
    <row r="56" spans="1:13">
      <c r="A56" s="198" t="s">
        <v>86</v>
      </c>
      <c r="B56" s="190">
        <v>-4.6719999999999997</v>
      </c>
      <c r="C56" s="201"/>
      <c r="D56" s="192">
        <v>0.15609203233531485</v>
      </c>
      <c r="E56" s="193">
        <v>3</v>
      </c>
      <c r="F56" s="193">
        <v>223</v>
      </c>
      <c r="G56" s="194">
        <v>2.99</v>
      </c>
      <c r="H56" s="192">
        <f t="shared" si="0"/>
        <v>-4.4700000000000006</v>
      </c>
      <c r="I56" s="215"/>
      <c r="J56" s="216"/>
      <c r="K56" s="216"/>
      <c r="L56" s="217"/>
      <c r="M56" s="197" t="s">
        <v>129</v>
      </c>
    </row>
    <row r="57" spans="1:13">
      <c r="A57" s="198" t="s">
        <v>89</v>
      </c>
      <c r="B57" s="190">
        <v>-3.7610000000000001</v>
      </c>
      <c r="C57" s="201"/>
      <c r="D57" s="192">
        <v>0.20872343532408041</v>
      </c>
      <c r="E57" s="193">
        <v>3</v>
      </c>
      <c r="F57" s="193">
        <v>210.5</v>
      </c>
      <c r="G57" s="194">
        <v>2.72</v>
      </c>
      <c r="H57" s="192">
        <f t="shared" si="0"/>
        <v>-4.0750000000000002</v>
      </c>
      <c r="I57" s="164"/>
      <c r="J57" s="220"/>
      <c r="K57" s="220"/>
      <c r="L57" s="221"/>
      <c r="M57" s="197" t="s">
        <v>130</v>
      </c>
    </row>
    <row r="58" spans="1:13">
      <c r="A58" s="198" t="s">
        <v>131</v>
      </c>
      <c r="B58" s="190">
        <v>-4.2009999999999996</v>
      </c>
      <c r="C58" s="201"/>
      <c r="D58" s="192">
        <v>0.1297319013416561</v>
      </c>
      <c r="E58" s="193">
        <v>3</v>
      </c>
      <c r="F58" s="193">
        <v>209.75</v>
      </c>
      <c r="G58" s="194">
        <v>3.37</v>
      </c>
      <c r="H58" s="192">
        <f t="shared" si="0"/>
        <v>-4.7175000000000002</v>
      </c>
      <c r="J58" s="192"/>
      <c r="K58" s="192"/>
      <c r="L58" s="192"/>
      <c r="M58" s="197" t="s">
        <v>132</v>
      </c>
    </row>
    <row r="59" spans="1:13">
      <c r="A59" s="189" t="s">
        <v>92</v>
      </c>
      <c r="B59" s="190">
        <v>-3.472</v>
      </c>
      <c r="C59" s="201"/>
      <c r="D59" s="192">
        <v>0.14124198841117766</v>
      </c>
      <c r="E59" s="193">
        <v>3</v>
      </c>
      <c r="F59" s="193">
        <v>53.5</v>
      </c>
      <c r="G59" s="194">
        <v>3.43</v>
      </c>
      <c r="H59" s="192">
        <f t="shared" si="0"/>
        <v>-3.2150000000000003</v>
      </c>
      <c r="I59" s="222" t="s">
        <v>133</v>
      </c>
      <c r="J59" s="223">
        <v>346</v>
      </c>
      <c r="K59" s="206"/>
      <c r="L59" s="192"/>
      <c r="M59" s="197" t="s">
        <v>134</v>
      </c>
    </row>
    <row r="60" spans="1:13">
      <c r="A60" s="189" t="s">
        <v>135</v>
      </c>
      <c r="B60" s="190">
        <v>-2.1280000000000001</v>
      </c>
      <c r="C60" s="201"/>
      <c r="D60" s="192">
        <v>0.17069281866408892</v>
      </c>
      <c r="E60" s="193">
        <v>6</v>
      </c>
      <c r="F60" s="193">
        <v>270</v>
      </c>
      <c r="G60" s="194">
        <v>0.05</v>
      </c>
      <c r="H60" s="192">
        <f t="shared" si="0"/>
        <v>-2</v>
      </c>
      <c r="I60" s="222" t="s">
        <v>136</v>
      </c>
      <c r="J60" s="223">
        <v>90</v>
      </c>
      <c r="K60" s="206"/>
      <c r="L60" s="192"/>
      <c r="M60" s="197" t="s">
        <v>137</v>
      </c>
    </row>
    <row r="61" spans="1:13">
      <c r="A61" s="198" t="s">
        <v>138</v>
      </c>
      <c r="B61" s="190">
        <v>-3.3159999999999998</v>
      </c>
      <c r="C61" s="201"/>
      <c r="D61" s="192">
        <v>0.2061475968316322</v>
      </c>
      <c r="E61" s="193">
        <v>3</v>
      </c>
      <c r="F61" s="193">
        <v>143.75</v>
      </c>
      <c r="G61" s="194">
        <v>1.6</v>
      </c>
      <c r="H61" s="192">
        <f t="shared" si="0"/>
        <v>-2.2875000000000001</v>
      </c>
      <c r="I61" s="222" t="s">
        <v>139</v>
      </c>
      <c r="J61" s="223">
        <f>COUNTA(A23:A122)</f>
        <v>100</v>
      </c>
      <c r="K61" s="206"/>
      <c r="L61" s="192"/>
      <c r="M61" s="197" t="s">
        <v>140</v>
      </c>
    </row>
    <row r="62" spans="1:13">
      <c r="A62" s="189" t="s">
        <v>141</v>
      </c>
      <c r="B62" s="190">
        <v>-4.0960000000000001</v>
      </c>
      <c r="C62" s="201"/>
      <c r="D62" s="192">
        <v>0.18021422622763517</v>
      </c>
      <c r="E62" s="193">
        <v>5</v>
      </c>
      <c r="F62" s="193">
        <v>214.5</v>
      </c>
      <c r="G62" s="194">
        <v>3.61</v>
      </c>
      <c r="H62" s="192">
        <f t="shared" si="0"/>
        <v>-5.0049999999999999</v>
      </c>
      <c r="I62" s="192"/>
      <c r="J62" s="192"/>
      <c r="K62" s="192"/>
      <c r="L62" s="192"/>
      <c r="M62" s="197" t="s">
        <v>142</v>
      </c>
    </row>
    <row r="63" spans="1:13">
      <c r="A63" s="198" t="s">
        <v>143</v>
      </c>
      <c r="B63" s="190">
        <v>-4.22</v>
      </c>
      <c r="C63" s="201"/>
      <c r="D63" s="192">
        <v>0.19225415374507382</v>
      </c>
      <c r="E63" s="193">
        <v>8</v>
      </c>
      <c r="F63" s="193">
        <v>255.29999999999998</v>
      </c>
      <c r="G63" s="194">
        <v>3.82</v>
      </c>
      <c r="H63" s="192">
        <f t="shared" si="0"/>
        <v>-5.6229999999999993</v>
      </c>
      <c r="I63" s="224" t="s">
        <v>144</v>
      </c>
      <c r="J63" s="209"/>
      <c r="K63" s="209"/>
      <c r="L63" s="210"/>
      <c r="M63" s="197" t="s">
        <v>145</v>
      </c>
    </row>
    <row r="64" spans="1:13">
      <c r="A64" s="198" t="s">
        <v>146</v>
      </c>
      <c r="B64" s="190">
        <v>-2.8660000000000001</v>
      </c>
      <c r="C64" s="201"/>
      <c r="D64" s="192">
        <v>0.17</v>
      </c>
      <c r="E64" s="193">
        <v>3</v>
      </c>
      <c r="F64" s="193">
        <v>189</v>
      </c>
      <c r="G64" s="194">
        <v>1.34</v>
      </c>
      <c r="H64" s="192">
        <f t="shared" si="0"/>
        <v>-2.4800000000000004</v>
      </c>
      <c r="I64" s="225" t="s">
        <v>633</v>
      </c>
      <c r="J64" s="213"/>
      <c r="K64" s="213"/>
      <c r="L64" s="214"/>
      <c r="M64" s="197" t="s">
        <v>148</v>
      </c>
    </row>
    <row r="65" spans="1:13">
      <c r="A65" s="198" t="s">
        <v>149</v>
      </c>
      <c r="B65" s="190">
        <v>-4.1689999999999996</v>
      </c>
      <c r="C65" s="201"/>
      <c r="D65" s="192">
        <v>0.19794493160510693</v>
      </c>
      <c r="E65" s="193">
        <v>4</v>
      </c>
      <c r="F65" s="193">
        <v>243.5</v>
      </c>
      <c r="G65" s="194">
        <v>1.34</v>
      </c>
      <c r="H65" s="192">
        <f t="shared" si="0"/>
        <v>-3.0250000000000004</v>
      </c>
      <c r="I65" s="215" t="s">
        <v>634</v>
      </c>
      <c r="J65" s="216"/>
      <c r="K65" s="216"/>
      <c r="L65" s="217"/>
      <c r="M65" s="197" t="s">
        <v>151</v>
      </c>
    </row>
    <row r="66" spans="1:13">
      <c r="A66" s="189" t="s">
        <v>95</v>
      </c>
      <c r="B66" s="190">
        <v>-2.8420000000000001</v>
      </c>
      <c r="C66" s="201"/>
      <c r="D66" s="192">
        <v>0.21056099074293383</v>
      </c>
      <c r="E66" s="193">
        <v>3</v>
      </c>
      <c r="F66" s="193">
        <v>36.5</v>
      </c>
      <c r="G66" s="194">
        <v>2.74</v>
      </c>
      <c r="H66" s="192">
        <f t="shared" si="0"/>
        <v>-2.3550000000000004</v>
      </c>
      <c r="I66" s="215" t="s">
        <v>635</v>
      </c>
      <c r="J66" s="216"/>
      <c r="K66" s="216"/>
      <c r="L66" s="217"/>
      <c r="M66" s="197" t="s">
        <v>152</v>
      </c>
    </row>
    <row r="67" spans="1:13">
      <c r="A67" s="207" t="s">
        <v>153</v>
      </c>
      <c r="B67" s="190">
        <v>-4.1509999999999998</v>
      </c>
      <c r="C67" s="201"/>
      <c r="D67" s="192">
        <v>0.21092434073951916</v>
      </c>
      <c r="E67" s="193">
        <v>10</v>
      </c>
      <c r="F67" s="193">
        <v>186</v>
      </c>
      <c r="G67" s="194">
        <v>3.4</v>
      </c>
      <c r="H67" s="192">
        <f t="shared" si="0"/>
        <v>-4.51</v>
      </c>
      <c r="I67" s="215"/>
      <c r="J67" s="216"/>
      <c r="K67" s="216"/>
      <c r="L67" s="217"/>
      <c r="M67" s="197" t="s">
        <v>154</v>
      </c>
    </row>
    <row r="68" spans="1:13">
      <c r="A68" s="189" t="s">
        <v>98</v>
      </c>
      <c r="B68" s="190">
        <v>-3.3370000000000002</v>
      </c>
      <c r="C68" s="201"/>
      <c r="D68" s="192">
        <v>0.18695478693957188</v>
      </c>
      <c r="E68" s="193">
        <v>3</v>
      </c>
      <c r="F68" s="193">
        <v>252.99999999999997</v>
      </c>
      <c r="G68" s="194">
        <v>2.35</v>
      </c>
      <c r="H68" s="192">
        <f t="shared" si="0"/>
        <v>-4.13</v>
      </c>
      <c r="I68" s="215"/>
      <c r="J68" s="216"/>
      <c r="K68" s="216"/>
      <c r="L68" s="217"/>
      <c r="M68" s="197" t="s">
        <v>155</v>
      </c>
    </row>
    <row r="69" spans="1:13">
      <c r="A69" s="207" t="s">
        <v>156</v>
      </c>
      <c r="B69" s="190">
        <v>-4.1040000000000001</v>
      </c>
      <c r="C69" s="201"/>
      <c r="D69" s="192">
        <v>0.20491085989689112</v>
      </c>
      <c r="E69" s="193">
        <v>23</v>
      </c>
      <c r="F69" s="193">
        <v>111.00000000000001</v>
      </c>
      <c r="G69" s="194">
        <v>3.68</v>
      </c>
      <c r="H69" s="192">
        <f t="shared" si="0"/>
        <v>-4.04</v>
      </c>
      <c r="I69" s="215"/>
      <c r="J69" s="216"/>
      <c r="K69" s="216"/>
      <c r="L69" s="217"/>
      <c r="M69" s="197" t="s">
        <v>157</v>
      </c>
    </row>
    <row r="70" spans="1:13">
      <c r="A70" s="189" t="s">
        <v>158</v>
      </c>
      <c r="B70" s="190">
        <v>-3.8660000000000001</v>
      </c>
      <c r="C70" s="201"/>
      <c r="D70" s="192">
        <v>0.15545016183846921</v>
      </c>
      <c r="E70" s="193">
        <v>6</v>
      </c>
      <c r="F70" s="193">
        <v>250</v>
      </c>
      <c r="G70" s="194">
        <v>-0.04</v>
      </c>
      <c r="H70" s="192">
        <f t="shared" si="0"/>
        <v>-1.71</v>
      </c>
      <c r="I70" s="215"/>
      <c r="J70" s="216"/>
      <c r="K70" s="216"/>
      <c r="L70" s="217"/>
      <c r="M70" s="197" t="s">
        <v>159</v>
      </c>
    </row>
    <row r="71" spans="1:13">
      <c r="A71" s="198" t="s">
        <v>160</v>
      </c>
      <c r="B71" s="190">
        <v>-1</v>
      </c>
      <c r="C71" s="201"/>
      <c r="D71" s="192">
        <v>0.13261436390895148</v>
      </c>
      <c r="E71" s="193">
        <v>3</v>
      </c>
      <c r="F71" s="193">
        <v>250</v>
      </c>
      <c r="G71" s="194">
        <v>-1.97</v>
      </c>
      <c r="H71" s="192">
        <f t="shared" si="0"/>
        <v>0.21999999999999975</v>
      </c>
      <c r="I71" s="215"/>
      <c r="J71" s="216"/>
      <c r="K71" s="216"/>
      <c r="L71" s="217"/>
      <c r="M71" s="197" t="s">
        <v>161</v>
      </c>
    </row>
    <row r="72" spans="1:13">
      <c r="A72" s="198" t="s">
        <v>162</v>
      </c>
      <c r="B72" s="190">
        <v>-4.2869999999999999</v>
      </c>
      <c r="C72" s="201"/>
      <c r="D72" s="192">
        <v>0.21159815676624968</v>
      </c>
      <c r="E72" s="193">
        <v>9</v>
      </c>
      <c r="F72" s="193">
        <v>208.5</v>
      </c>
      <c r="G72" s="194">
        <v>2.08</v>
      </c>
      <c r="H72" s="192">
        <f t="shared" si="0"/>
        <v>-3.415</v>
      </c>
      <c r="I72" s="215"/>
      <c r="J72" s="216"/>
      <c r="K72" s="216"/>
      <c r="L72" s="217"/>
      <c r="M72" s="197" t="s">
        <v>163</v>
      </c>
    </row>
    <row r="73" spans="1:13">
      <c r="A73" s="198" t="s">
        <v>164</v>
      </c>
      <c r="B73" s="190">
        <v>-3.9260000000000002</v>
      </c>
      <c r="C73" s="201"/>
      <c r="D73" s="192">
        <v>0.1900151243705871</v>
      </c>
      <c r="E73" s="193">
        <v>15</v>
      </c>
      <c r="F73" s="193">
        <v>220.00000000000003</v>
      </c>
      <c r="G73" s="194">
        <v>2.69</v>
      </c>
      <c r="H73" s="192">
        <f t="shared" si="0"/>
        <v>-4.1400000000000006</v>
      </c>
      <c r="I73" s="215"/>
      <c r="J73" s="216"/>
      <c r="K73" s="216"/>
      <c r="L73" s="217"/>
      <c r="M73" s="197" t="s">
        <v>165</v>
      </c>
    </row>
    <row r="74" spans="1:13">
      <c r="A74" s="198" t="s">
        <v>166</v>
      </c>
      <c r="B74" s="190">
        <v>-4.7910000000000004</v>
      </c>
      <c r="C74" s="201"/>
      <c r="D74" s="192">
        <v>0.16978183023026608</v>
      </c>
      <c r="E74" s="193">
        <v>10</v>
      </c>
      <c r="F74" s="193">
        <v>151</v>
      </c>
      <c r="G74" s="194">
        <v>4.43</v>
      </c>
      <c r="H74" s="192">
        <f t="shared" si="0"/>
        <v>-5.1899999999999995</v>
      </c>
      <c r="I74" s="215"/>
      <c r="J74" s="216"/>
      <c r="K74" s="216"/>
      <c r="L74" s="217"/>
      <c r="M74" s="197" t="s">
        <v>167</v>
      </c>
    </row>
    <row r="75" spans="1:13">
      <c r="A75" s="207" t="s">
        <v>100</v>
      </c>
      <c r="B75" s="190">
        <v>-5.5880000000000001</v>
      </c>
      <c r="C75" s="201"/>
      <c r="D75" s="192">
        <v>0.19416214604145643</v>
      </c>
      <c r="E75" s="193">
        <v>7</v>
      </c>
      <c r="F75" s="193">
        <v>154.5</v>
      </c>
      <c r="G75" s="194">
        <v>4.22</v>
      </c>
      <c r="H75" s="192">
        <f t="shared" si="0"/>
        <v>-5.0149999999999997</v>
      </c>
      <c r="I75" s="215"/>
      <c r="J75" s="216"/>
      <c r="K75" s="216"/>
      <c r="L75" s="217"/>
      <c r="M75" s="197" t="s">
        <v>168</v>
      </c>
    </row>
    <row r="76" spans="1:13">
      <c r="A76" s="198" t="s">
        <v>169</v>
      </c>
      <c r="B76" s="190">
        <v>-4.7549999999999999</v>
      </c>
      <c r="C76" s="201"/>
      <c r="D76" s="192">
        <v>0.16048013551961601</v>
      </c>
      <c r="E76" s="193">
        <v>5</v>
      </c>
      <c r="F76" s="193">
        <v>167.75</v>
      </c>
      <c r="G76" s="194">
        <v>2.87</v>
      </c>
      <c r="H76" s="192">
        <f t="shared" si="0"/>
        <v>-3.7975000000000003</v>
      </c>
      <c r="I76" s="215"/>
      <c r="J76" s="216"/>
      <c r="K76" s="216"/>
      <c r="L76" s="217"/>
      <c r="M76" s="197" t="s">
        <v>170</v>
      </c>
    </row>
    <row r="77" spans="1:13">
      <c r="A77" s="198" t="s">
        <v>171</v>
      </c>
      <c r="B77" s="190">
        <v>-4.8330000000000002</v>
      </c>
      <c r="C77" s="201"/>
      <c r="D77" s="192">
        <v>0.22239504833634874</v>
      </c>
      <c r="E77" s="193">
        <v>21</v>
      </c>
      <c r="F77" s="193">
        <v>159</v>
      </c>
      <c r="G77" s="194">
        <v>3.93</v>
      </c>
      <c r="H77" s="192">
        <f t="shared" si="0"/>
        <v>-4.7700000000000005</v>
      </c>
      <c r="I77" s="215"/>
      <c r="J77" s="216"/>
      <c r="K77" s="216"/>
      <c r="L77" s="217"/>
      <c r="M77" s="197" t="s">
        <v>172</v>
      </c>
    </row>
    <row r="78" spans="1:13">
      <c r="A78" s="198" t="s">
        <v>173</v>
      </c>
      <c r="B78" s="190">
        <v>-3.8940000000000001</v>
      </c>
      <c r="C78" s="201"/>
      <c r="D78" s="192">
        <v>0.21209434799218393</v>
      </c>
      <c r="E78" s="193">
        <v>5</v>
      </c>
      <c r="F78" s="193">
        <v>213.49999999999997</v>
      </c>
      <c r="G78" s="194">
        <v>3.04</v>
      </c>
      <c r="H78" s="192">
        <f t="shared" si="0"/>
        <v>-4.4249999999999998</v>
      </c>
      <c r="I78" s="215"/>
      <c r="J78" s="216"/>
      <c r="K78" s="216"/>
      <c r="L78" s="217"/>
      <c r="M78" s="197" t="s">
        <v>174</v>
      </c>
    </row>
    <row r="79" spans="1:13">
      <c r="A79" s="198" t="s">
        <v>175</v>
      </c>
      <c r="B79" s="190">
        <v>-5.0780000000000003</v>
      </c>
      <c r="C79" s="201"/>
      <c r="D79" s="192">
        <v>0.1407224156406931</v>
      </c>
      <c r="E79" s="193">
        <v>11</v>
      </c>
      <c r="F79" s="193">
        <v>146</v>
      </c>
      <c r="G79" s="194">
        <v>4.21</v>
      </c>
      <c r="H79" s="192">
        <f t="shared" si="0"/>
        <v>-4.92</v>
      </c>
      <c r="I79" s="215"/>
      <c r="J79" s="216"/>
      <c r="K79" s="216"/>
      <c r="L79" s="217"/>
      <c r="M79" s="197" t="s">
        <v>176</v>
      </c>
    </row>
    <row r="80" spans="1:13">
      <c r="A80" s="198" t="s">
        <v>177</v>
      </c>
      <c r="B80" s="190">
        <v>-4.1349999999999998</v>
      </c>
      <c r="C80" s="201"/>
      <c r="D80" s="192">
        <v>0.21748916450754371</v>
      </c>
      <c r="E80" s="193">
        <v>5</v>
      </c>
      <c r="F80" s="193">
        <v>92.333333333333329</v>
      </c>
      <c r="G80" s="194">
        <v>4.21</v>
      </c>
      <c r="H80" s="192">
        <f t="shared" si="0"/>
        <v>-4.3833333333333329</v>
      </c>
      <c r="I80" s="215"/>
      <c r="J80" s="216"/>
      <c r="K80" s="216"/>
      <c r="L80" s="217"/>
      <c r="M80" s="197" t="s">
        <v>178</v>
      </c>
    </row>
    <row r="81" spans="1:13">
      <c r="A81" s="189" t="s">
        <v>179</v>
      </c>
      <c r="B81" s="190">
        <v>-4.2009999999999996</v>
      </c>
      <c r="C81" s="201"/>
      <c r="D81" s="192">
        <v>0.20531013145176411</v>
      </c>
      <c r="E81" s="193">
        <v>8</v>
      </c>
      <c r="F81" s="193">
        <v>256</v>
      </c>
      <c r="G81" s="194">
        <v>2.71</v>
      </c>
      <c r="H81" s="192">
        <f t="shared" si="0"/>
        <v>-4.5199999999999996</v>
      </c>
      <c r="I81" s="215"/>
      <c r="J81" s="216"/>
      <c r="K81" s="216"/>
      <c r="L81" s="217"/>
      <c r="M81" s="197" t="s">
        <v>180</v>
      </c>
    </row>
    <row r="82" spans="1:13">
      <c r="A82" s="189" t="s">
        <v>181</v>
      </c>
      <c r="B82" s="190">
        <v>-3.6579999999999999</v>
      </c>
      <c r="C82" s="201"/>
      <c r="D82" s="192">
        <v>0.21176785142223761</v>
      </c>
      <c r="E82" s="193">
        <v>3</v>
      </c>
      <c r="F82" s="193">
        <v>80</v>
      </c>
      <c r="G82" s="194">
        <v>3.37</v>
      </c>
      <c r="H82" s="192">
        <f t="shared" si="0"/>
        <v>-3.42</v>
      </c>
      <c r="I82" s="215"/>
      <c r="J82" s="216"/>
      <c r="K82" s="216"/>
      <c r="L82" s="217"/>
      <c r="M82" s="197" t="s">
        <v>182</v>
      </c>
    </row>
    <row r="83" spans="1:13">
      <c r="A83" s="189" t="s">
        <v>183</v>
      </c>
      <c r="B83" s="190">
        <v>-3.7109999999999999</v>
      </c>
      <c r="C83" s="201"/>
      <c r="D83" s="192">
        <v>0.16217657762412213</v>
      </c>
      <c r="E83" s="193">
        <v>17</v>
      </c>
      <c r="F83" s="193">
        <v>153</v>
      </c>
      <c r="G83" s="194">
        <v>3.04</v>
      </c>
      <c r="H83" s="192">
        <f t="shared" si="0"/>
        <v>-3.8200000000000003</v>
      </c>
      <c r="I83" s="215"/>
      <c r="J83" s="216"/>
      <c r="K83" s="216"/>
      <c r="L83" s="217"/>
      <c r="M83" s="197" t="s">
        <v>184</v>
      </c>
    </row>
    <row r="84" spans="1:13">
      <c r="A84" s="198" t="s">
        <v>185</v>
      </c>
      <c r="B84" s="190">
        <v>-6.0839999999999996</v>
      </c>
      <c r="C84" s="201"/>
      <c r="D84" s="192">
        <v>0.20448827496623867</v>
      </c>
      <c r="E84" s="193">
        <v>3</v>
      </c>
      <c r="F84" s="193">
        <v>349.84</v>
      </c>
      <c r="G84" s="194">
        <v>4.75</v>
      </c>
      <c r="H84" s="192">
        <f t="shared" si="0"/>
        <v>-7.4984000000000002</v>
      </c>
      <c r="I84" s="215"/>
      <c r="J84" s="216"/>
      <c r="K84" s="216"/>
      <c r="L84" s="217"/>
      <c r="M84" s="197" t="s">
        <v>186</v>
      </c>
    </row>
    <row r="85" spans="1:13">
      <c r="A85" s="198" t="s">
        <v>187</v>
      </c>
      <c r="B85" s="190">
        <v>-3.5760000000000001</v>
      </c>
      <c r="C85" s="201"/>
      <c r="D85" s="192">
        <v>0.14358294446577732</v>
      </c>
      <c r="E85" s="193">
        <v>6</v>
      </c>
      <c r="F85" s="193">
        <v>248</v>
      </c>
      <c r="G85" s="194">
        <v>2.65</v>
      </c>
      <c r="H85" s="192">
        <f t="shared" si="0"/>
        <v>-4.38</v>
      </c>
      <c r="I85" s="215"/>
      <c r="J85" s="216"/>
      <c r="K85" s="216"/>
      <c r="L85" s="217"/>
      <c r="M85" s="197" t="s">
        <v>188</v>
      </c>
    </row>
    <row r="86" spans="1:13">
      <c r="A86" s="198" t="s">
        <v>189</v>
      </c>
      <c r="B86" s="190">
        <v>-3.9980000000000002</v>
      </c>
      <c r="C86" s="201"/>
      <c r="D86" s="192">
        <v>0.15384096988991314</v>
      </c>
      <c r="E86" s="193">
        <v>11</v>
      </c>
      <c r="F86" s="193">
        <v>173</v>
      </c>
      <c r="G86" s="194">
        <v>2.1800000000000002</v>
      </c>
      <c r="H86" s="192">
        <f t="shared" si="0"/>
        <v>-3.16</v>
      </c>
      <c r="I86" s="215"/>
      <c r="J86" s="216"/>
      <c r="K86" s="216"/>
      <c r="L86" s="217"/>
      <c r="M86" s="197" t="s">
        <v>190</v>
      </c>
    </row>
    <row r="87" spans="1:13">
      <c r="A87" s="198" t="s">
        <v>191</v>
      </c>
      <c r="B87" s="190">
        <v>-4.3390000000000004</v>
      </c>
      <c r="C87" s="201"/>
      <c r="D87" s="192">
        <v>0.14176528631434945</v>
      </c>
      <c r="E87" s="193">
        <v>5</v>
      </c>
      <c r="F87" s="193">
        <v>143.75</v>
      </c>
      <c r="G87" s="194">
        <v>2.76</v>
      </c>
      <c r="H87" s="192">
        <f t="shared" ref="H87:H118" si="1">0.5-G87-0.01*(F87-25)</f>
        <v>-3.4474999999999998</v>
      </c>
      <c r="I87" s="215"/>
      <c r="J87" s="216"/>
      <c r="K87" s="216"/>
      <c r="L87" s="217"/>
      <c r="M87" s="197" t="s">
        <v>192</v>
      </c>
    </row>
    <row r="88" spans="1:13">
      <c r="A88" s="198" t="s">
        <v>193</v>
      </c>
      <c r="B88" s="190">
        <v>-2.6749999999999998</v>
      </c>
      <c r="C88" s="201"/>
      <c r="D88" s="192">
        <v>0.16213928191469343</v>
      </c>
      <c r="E88" s="193">
        <v>19</v>
      </c>
      <c r="F88" s="193">
        <v>220.5</v>
      </c>
      <c r="G88" s="194">
        <v>1.27</v>
      </c>
      <c r="H88" s="192">
        <f t="shared" si="1"/>
        <v>-2.7250000000000001</v>
      </c>
      <c r="I88" s="215"/>
      <c r="J88" s="216"/>
      <c r="K88" s="216"/>
      <c r="L88" s="217"/>
      <c r="M88" s="197" t="s">
        <v>194</v>
      </c>
    </row>
    <row r="89" spans="1:13">
      <c r="A89" s="198" t="s">
        <v>195</v>
      </c>
      <c r="B89" s="190">
        <v>-3.8079999999999998</v>
      </c>
      <c r="C89" s="201"/>
      <c r="D89" s="192">
        <v>0.16127920198135692</v>
      </c>
      <c r="E89" s="193">
        <v>5</v>
      </c>
      <c r="F89" s="193">
        <v>214</v>
      </c>
      <c r="G89" s="194">
        <v>3.83</v>
      </c>
      <c r="H89" s="192">
        <f t="shared" si="1"/>
        <v>-5.2200000000000006</v>
      </c>
      <c r="I89" s="215"/>
      <c r="J89" s="216"/>
      <c r="K89" s="216"/>
      <c r="L89" s="217"/>
      <c r="M89" s="197" t="s">
        <v>196</v>
      </c>
    </row>
    <row r="90" spans="1:13">
      <c r="A90" s="207" t="s">
        <v>197</v>
      </c>
      <c r="B90" s="190">
        <v>-4.0640000000000001</v>
      </c>
      <c r="C90" s="201"/>
      <c r="D90" s="192">
        <v>0.13869006117838048</v>
      </c>
      <c r="E90" s="193">
        <v>3</v>
      </c>
      <c r="F90" s="193">
        <v>176</v>
      </c>
      <c r="G90" s="194">
        <v>2.88</v>
      </c>
      <c r="H90" s="192">
        <f t="shared" si="1"/>
        <v>-3.8899999999999997</v>
      </c>
      <c r="I90" s="215"/>
      <c r="J90" s="216"/>
      <c r="K90" s="216"/>
      <c r="L90" s="217"/>
      <c r="M90" s="197" t="s">
        <v>198</v>
      </c>
    </row>
    <row r="91" spans="1:13">
      <c r="A91" s="189" t="s">
        <v>199</v>
      </c>
      <c r="B91" s="190">
        <v>-2.9169999999999998</v>
      </c>
      <c r="C91" s="201"/>
      <c r="D91" s="192">
        <v>0.1259834086188602</v>
      </c>
      <c r="E91" s="193">
        <v>14</v>
      </c>
      <c r="F91" s="193">
        <v>253.5</v>
      </c>
      <c r="G91" s="194">
        <v>1.54</v>
      </c>
      <c r="H91" s="192">
        <f t="shared" si="1"/>
        <v>-3.3250000000000002</v>
      </c>
      <c r="I91" s="215"/>
      <c r="J91" s="216"/>
      <c r="K91" s="216"/>
      <c r="L91" s="217"/>
      <c r="M91" s="197" t="s">
        <v>200</v>
      </c>
    </row>
    <row r="92" spans="1:13">
      <c r="A92" s="198" t="s">
        <v>201</v>
      </c>
      <c r="B92" s="190">
        <v>-3.4630000000000001</v>
      </c>
      <c r="C92" s="201"/>
      <c r="D92" s="192">
        <v>0.16504944177542516</v>
      </c>
      <c r="E92" s="193">
        <v>5</v>
      </c>
      <c r="F92" s="193">
        <v>205.50000000000003</v>
      </c>
      <c r="G92" s="194">
        <v>2.4500000000000002</v>
      </c>
      <c r="H92" s="192">
        <f t="shared" si="1"/>
        <v>-3.7550000000000008</v>
      </c>
      <c r="I92" s="215"/>
      <c r="J92" s="216"/>
      <c r="K92" s="216"/>
      <c r="L92" s="217"/>
      <c r="M92" s="197" t="s">
        <v>202</v>
      </c>
    </row>
    <row r="93" spans="1:13">
      <c r="A93" s="207" t="s">
        <v>203</v>
      </c>
      <c r="B93" s="190">
        <v>-4.3369999999999997</v>
      </c>
      <c r="C93" s="201"/>
      <c r="D93" s="192">
        <v>0.19426266518058349</v>
      </c>
      <c r="E93" s="193">
        <v>3</v>
      </c>
      <c r="F93" s="193">
        <v>96</v>
      </c>
      <c r="G93" s="194">
        <v>3.49</v>
      </c>
      <c r="H93" s="192">
        <f t="shared" si="1"/>
        <v>-3.7</v>
      </c>
      <c r="I93" s="215"/>
      <c r="J93" s="216"/>
      <c r="K93" s="216"/>
      <c r="L93" s="217"/>
      <c r="M93" s="197" t="s">
        <v>204</v>
      </c>
    </row>
    <row r="94" spans="1:13">
      <c r="A94" s="198" t="s">
        <v>205</v>
      </c>
      <c r="B94" s="190">
        <v>-4.4649999999999999</v>
      </c>
      <c r="C94" s="201"/>
      <c r="D94" s="192">
        <v>0.18894337149737056</v>
      </c>
      <c r="E94" s="193">
        <v>12</v>
      </c>
      <c r="F94" s="193">
        <v>147.25</v>
      </c>
      <c r="G94" s="194">
        <v>3.86</v>
      </c>
      <c r="H94" s="192">
        <f t="shared" si="1"/>
        <v>-4.5824999999999996</v>
      </c>
      <c r="I94" s="215"/>
      <c r="J94" s="216"/>
      <c r="K94" s="216"/>
      <c r="L94" s="217"/>
      <c r="M94" s="197" t="s">
        <v>206</v>
      </c>
    </row>
    <row r="95" spans="1:13">
      <c r="A95" s="198" t="s">
        <v>207</v>
      </c>
      <c r="B95" s="190">
        <v>-4.2050000000000001</v>
      </c>
      <c r="C95" s="201"/>
      <c r="D95" s="192">
        <v>0.17391407185160324</v>
      </c>
      <c r="E95" s="193">
        <v>6</v>
      </c>
      <c r="F95" s="193">
        <v>97</v>
      </c>
      <c r="G95" s="194">
        <v>3.94</v>
      </c>
      <c r="H95" s="192">
        <f t="shared" si="1"/>
        <v>-4.16</v>
      </c>
      <c r="I95" s="215"/>
      <c r="J95" s="216"/>
      <c r="K95" s="216"/>
      <c r="L95" s="217"/>
      <c r="M95" s="197" t="s">
        <v>208</v>
      </c>
    </row>
    <row r="96" spans="1:13">
      <c r="A96" s="189" t="s">
        <v>209</v>
      </c>
      <c r="B96" s="190">
        <v>-2.7309999999999999</v>
      </c>
      <c r="C96" s="201"/>
      <c r="D96" s="192">
        <v>0.13764369691033657</v>
      </c>
      <c r="E96" s="193">
        <v>10</v>
      </c>
      <c r="F96" s="193">
        <v>134.5</v>
      </c>
      <c r="G96" s="194">
        <v>2.04</v>
      </c>
      <c r="H96" s="192">
        <f t="shared" si="1"/>
        <v>-2.6349999999999998</v>
      </c>
      <c r="I96" s="215"/>
      <c r="J96" s="216"/>
      <c r="K96" s="216"/>
      <c r="L96" s="217"/>
      <c r="M96" s="197" t="s">
        <v>210</v>
      </c>
    </row>
    <row r="97" spans="1:13">
      <c r="A97" s="198" t="s">
        <v>211</v>
      </c>
      <c r="B97" s="190">
        <v>-4.109</v>
      </c>
      <c r="C97" s="201"/>
      <c r="D97" s="192">
        <v>0.16245746888591447</v>
      </c>
      <c r="E97" s="193">
        <v>7</v>
      </c>
      <c r="F97" s="193">
        <v>139</v>
      </c>
      <c r="G97" s="194">
        <v>2.66</v>
      </c>
      <c r="H97" s="192">
        <f t="shared" si="1"/>
        <v>-3.3000000000000003</v>
      </c>
      <c r="I97" s="215"/>
      <c r="J97" s="216"/>
      <c r="K97" s="216"/>
      <c r="L97" s="217"/>
      <c r="M97" s="197" t="s">
        <v>212</v>
      </c>
    </row>
    <row r="98" spans="1:13">
      <c r="A98" s="198" t="s">
        <v>213</v>
      </c>
      <c r="B98" s="190">
        <v>-2.9289999999999998</v>
      </c>
      <c r="C98" s="201"/>
      <c r="D98" s="192">
        <v>0.15322122505052199</v>
      </c>
      <c r="E98" s="193">
        <v>9</v>
      </c>
      <c r="F98" s="193">
        <v>170</v>
      </c>
      <c r="G98" s="194">
        <v>1.91</v>
      </c>
      <c r="H98" s="192">
        <f t="shared" si="1"/>
        <v>-2.86</v>
      </c>
      <c r="I98" s="215"/>
      <c r="J98" s="216"/>
      <c r="K98" s="216"/>
      <c r="L98" s="217"/>
      <c r="M98" s="197" t="s">
        <v>214</v>
      </c>
    </row>
    <row r="99" spans="1:13">
      <c r="A99" s="189" t="s">
        <v>215</v>
      </c>
      <c r="B99" s="190">
        <v>-4.4969999999999999</v>
      </c>
      <c r="C99" s="201"/>
      <c r="D99" s="192">
        <v>0.15273607916541068</v>
      </c>
      <c r="E99" s="193">
        <v>10</v>
      </c>
      <c r="F99" s="193">
        <v>326</v>
      </c>
      <c r="G99" s="194">
        <v>2.44</v>
      </c>
      <c r="H99" s="192">
        <f t="shared" si="1"/>
        <v>-4.95</v>
      </c>
      <c r="I99" s="215"/>
      <c r="J99" s="216"/>
      <c r="K99" s="216"/>
      <c r="L99" s="217"/>
      <c r="M99" s="197" t="s">
        <v>216</v>
      </c>
    </row>
    <row r="100" spans="1:13">
      <c r="A100" s="198" t="s">
        <v>217</v>
      </c>
      <c r="B100" s="190">
        <v>-3.4670000000000001</v>
      </c>
      <c r="C100" s="201"/>
      <c r="D100" s="192">
        <v>0.18404701512102448</v>
      </c>
      <c r="E100" s="193">
        <v>5</v>
      </c>
      <c r="F100" s="193">
        <v>232.50000000000003</v>
      </c>
      <c r="G100" s="194">
        <v>1.8</v>
      </c>
      <c r="H100" s="192">
        <f t="shared" si="1"/>
        <v>-3.375</v>
      </c>
      <c r="I100" s="215"/>
      <c r="J100" s="216"/>
      <c r="K100" s="216"/>
      <c r="L100" s="217"/>
      <c r="M100" s="197" t="s">
        <v>218</v>
      </c>
    </row>
    <row r="101" spans="1:13">
      <c r="A101" s="198" t="s">
        <v>219</v>
      </c>
      <c r="B101" s="190">
        <v>-1.7829999999999999</v>
      </c>
      <c r="C101" s="201"/>
      <c r="D101" s="192">
        <v>0.13604063752604376</v>
      </c>
      <c r="E101" s="193">
        <v>4</v>
      </c>
      <c r="F101" s="193">
        <v>281.5</v>
      </c>
      <c r="G101" s="194">
        <v>0.54</v>
      </c>
      <c r="H101" s="192">
        <f t="shared" si="1"/>
        <v>-2.605</v>
      </c>
      <c r="I101" s="215"/>
      <c r="J101" s="216"/>
      <c r="K101" s="216"/>
      <c r="L101" s="217"/>
      <c r="M101" s="197" t="s">
        <v>220</v>
      </c>
    </row>
    <row r="102" spans="1:13">
      <c r="A102" s="198" t="s">
        <v>221</v>
      </c>
      <c r="B102" s="190">
        <v>-3.464</v>
      </c>
      <c r="C102" s="201"/>
      <c r="D102" s="192">
        <v>0.19798964803022484</v>
      </c>
      <c r="E102" s="193">
        <v>4</v>
      </c>
      <c r="F102" s="193">
        <v>197.1</v>
      </c>
      <c r="G102" s="194">
        <v>2.2000000000000002</v>
      </c>
      <c r="H102" s="192">
        <f t="shared" si="1"/>
        <v>-3.4210000000000003</v>
      </c>
      <c r="I102" s="215"/>
      <c r="J102" s="216"/>
      <c r="K102" s="216"/>
      <c r="L102" s="217"/>
      <c r="M102" s="197" t="s">
        <v>222</v>
      </c>
    </row>
    <row r="103" spans="1:13">
      <c r="A103" s="207" t="s">
        <v>223</v>
      </c>
      <c r="B103" s="190">
        <v>-4.0679999999999996</v>
      </c>
      <c r="C103" s="201"/>
      <c r="D103" s="192">
        <v>0.13486720020739137</v>
      </c>
      <c r="E103" s="193">
        <v>4</v>
      </c>
      <c r="F103" s="193">
        <v>33</v>
      </c>
      <c r="G103" s="194">
        <v>4.24</v>
      </c>
      <c r="H103" s="192">
        <f t="shared" si="1"/>
        <v>-3.8200000000000003</v>
      </c>
      <c r="I103" s="215"/>
      <c r="J103" s="216"/>
      <c r="K103" s="216"/>
      <c r="L103" s="217"/>
      <c r="M103" s="197" t="s">
        <v>224</v>
      </c>
    </row>
    <row r="104" spans="1:13">
      <c r="A104" s="198" t="s">
        <v>225</v>
      </c>
      <c r="B104" s="190">
        <v>-4.0659999999999998</v>
      </c>
      <c r="C104" s="201"/>
      <c r="D104" s="192">
        <v>0.18801274760604275</v>
      </c>
      <c r="E104" s="193">
        <v>11</v>
      </c>
      <c r="F104" s="193">
        <v>60</v>
      </c>
      <c r="G104" s="194">
        <v>4.24</v>
      </c>
      <c r="H104" s="192">
        <f t="shared" si="1"/>
        <v>-4.09</v>
      </c>
      <c r="I104" s="215"/>
      <c r="J104" s="216"/>
      <c r="K104" s="216"/>
      <c r="L104" s="217"/>
      <c r="M104" s="197" t="s">
        <v>226</v>
      </c>
    </row>
    <row r="105" spans="1:13">
      <c r="A105" s="198" t="s">
        <v>227</v>
      </c>
      <c r="B105" s="190">
        <v>-6.1029999999999998</v>
      </c>
      <c r="C105" s="201"/>
      <c r="D105" s="192">
        <v>0.1664014074224209</v>
      </c>
      <c r="E105" s="193">
        <v>4</v>
      </c>
      <c r="F105" s="193">
        <v>130.5</v>
      </c>
      <c r="G105" s="194">
        <v>5.22</v>
      </c>
      <c r="H105" s="192">
        <f t="shared" si="1"/>
        <v>-5.7749999999999995</v>
      </c>
      <c r="I105" s="215"/>
      <c r="J105" s="216"/>
      <c r="K105" s="216"/>
      <c r="L105" s="217"/>
      <c r="M105" s="197" t="s">
        <v>228</v>
      </c>
    </row>
    <row r="106" spans="1:13">
      <c r="A106" s="207" t="s">
        <v>103</v>
      </c>
      <c r="B106" s="190">
        <v>-3.8929999999999998</v>
      </c>
      <c r="C106" s="201"/>
      <c r="D106" s="192">
        <v>0.17506472136100007</v>
      </c>
      <c r="E106" s="193">
        <v>7</v>
      </c>
      <c r="F106" s="193">
        <v>254</v>
      </c>
      <c r="G106" s="194">
        <v>2.97</v>
      </c>
      <c r="H106" s="192">
        <f t="shared" si="1"/>
        <v>-4.76</v>
      </c>
      <c r="I106" s="215"/>
      <c r="J106" s="216"/>
      <c r="K106" s="216"/>
      <c r="L106" s="217"/>
      <c r="M106" s="197" t="s">
        <v>229</v>
      </c>
    </row>
    <row r="107" spans="1:13">
      <c r="A107" s="207" t="s">
        <v>230</v>
      </c>
      <c r="B107" s="190">
        <v>-7.7969999999999997</v>
      </c>
      <c r="C107" s="201"/>
      <c r="D107" s="192">
        <v>0.1605416460069265</v>
      </c>
      <c r="E107" s="193">
        <v>5</v>
      </c>
      <c r="F107" s="193">
        <v>121</v>
      </c>
      <c r="G107" s="194">
        <v>5.91</v>
      </c>
      <c r="H107" s="192">
        <f t="shared" si="1"/>
        <v>-6.37</v>
      </c>
      <c r="I107" s="215"/>
      <c r="J107" s="216"/>
      <c r="K107" s="216"/>
      <c r="L107" s="217"/>
      <c r="M107" s="197" t="s">
        <v>231</v>
      </c>
    </row>
    <row r="108" spans="1:13">
      <c r="A108" s="198" t="s">
        <v>232</v>
      </c>
      <c r="B108" s="190">
        <v>-3.5350000000000001</v>
      </c>
      <c r="C108" s="201"/>
      <c r="D108" s="192">
        <v>0.15756984748208766</v>
      </c>
      <c r="E108" s="193">
        <v>5</v>
      </c>
      <c r="F108" s="193">
        <v>206.99999999999997</v>
      </c>
      <c r="G108" s="194">
        <v>2.56</v>
      </c>
      <c r="H108" s="192">
        <f t="shared" si="1"/>
        <v>-3.88</v>
      </c>
      <c r="I108" s="215"/>
      <c r="J108" s="216"/>
      <c r="K108" s="216"/>
      <c r="L108" s="217"/>
      <c r="M108" s="197" t="s">
        <v>233</v>
      </c>
    </row>
    <row r="109" spans="1:13">
      <c r="A109" s="189" t="s">
        <v>234</v>
      </c>
      <c r="B109" s="190">
        <v>-5.484</v>
      </c>
      <c r="C109" s="201"/>
      <c r="D109" s="192">
        <v>0.16160362353179636</v>
      </c>
      <c r="E109" s="193">
        <v>6</v>
      </c>
      <c r="F109" s="193">
        <v>134.5</v>
      </c>
      <c r="G109" s="194">
        <v>4.8499999999999996</v>
      </c>
      <c r="H109" s="192">
        <f t="shared" si="1"/>
        <v>-5.4449999999999994</v>
      </c>
      <c r="I109" s="215"/>
      <c r="J109" s="216"/>
      <c r="K109" s="216"/>
      <c r="L109" s="217"/>
      <c r="M109" s="197" t="s">
        <v>235</v>
      </c>
    </row>
    <row r="110" spans="1:13">
      <c r="A110" s="189" t="s">
        <v>236</v>
      </c>
      <c r="B110" s="190">
        <v>-2.68</v>
      </c>
      <c r="C110" s="201"/>
      <c r="D110" s="192">
        <v>0.18685765827673947</v>
      </c>
      <c r="E110" s="193">
        <v>6</v>
      </c>
      <c r="F110" s="193">
        <v>275</v>
      </c>
      <c r="G110" s="194">
        <v>2.09</v>
      </c>
      <c r="H110" s="192">
        <f t="shared" si="1"/>
        <v>-4.09</v>
      </c>
      <c r="I110" s="215"/>
      <c r="J110" s="216"/>
      <c r="K110" s="216"/>
      <c r="L110" s="217"/>
      <c r="M110" s="197" t="s">
        <v>237</v>
      </c>
    </row>
    <row r="111" spans="1:13">
      <c r="A111" s="198" t="s">
        <v>238</v>
      </c>
      <c r="B111" s="190">
        <v>-5.851</v>
      </c>
      <c r="C111" s="201"/>
      <c r="D111" s="192">
        <v>0.13950112944748669</v>
      </c>
      <c r="E111" s="193">
        <v>9</v>
      </c>
      <c r="F111" s="193">
        <v>220.00000000000003</v>
      </c>
      <c r="G111" s="194">
        <v>1.8</v>
      </c>
      <c r="H111" s="192">
        <f t="shared" si="1"/>
        <v>-3.2500000000000004</v>
      </c>
      <c r="I111" s="215"/>
      <c r="J111" s="216"/>
      <c r="K111" s="216"/>
      <c r="L111" s="217"/>
      <c r="M111" s="197" t="s">
        <v>239</v>
      </c>
    </row>
    <row r="112" spans="1:13">
      <c r="A112" s="189" t="s">
        <v>240</v>
      </c>
      <c r="B112" s="190">
        <v>-3.069</v>
      </c>
      <c r="C112" s="201"/>
      <c r="D112" s="192">
        <v>0.22014005046870977</v>
      </c>
      <c r="E112" s="193">
        <v>9</v>
      </c>
      <c r="F112" s="193">
        <v>202</v>
      </c>
      <c r="G112" s="194">
        <v>1.53</v>
      </c>
      <c r="H112" s="192">
        <f t="shared" si="1"/>
        <v>-2.8</v>
      </c>
      <c r="I112" s="215"/>
      <c r="J112" s="216"/>
      <c r="K112" s="216"/>
      <c r="L112" s="217"/>
      <c r="M112" s="197" t="s">
        <v>241</v>
      </c>
    </row>
    <row r="113" spans="1:256">
      <c r="A113" s="198" t="s">
        <v>242</v>
      </c>
      <c r="B113" s="190">
        <v>-3.2410000000000001</v>
      </c>
      <c r="C113" s="201"/>
      <c r="D113" s="192">
        <v>0.14014083879485537</v>
      </c>
      <c r="E113" s="193">
        <v>3</v>
      </c>
      <c r="F113" s="193">
        <v>243.00000000000003</v>
      </c>
      <c r="G113" s="194">
        <v>1.48</v>
      </c>
      <c r="H113" s="192">
        <f t="shared" si="1"/>
        <v>-3.16</v>
      </c>
      <c r="I113" s="215"/>
      <c r="J113" s="216"/>
      <c r="K113" s="216"/>
      <c r="L113" s="217"/>
      <c r="M113" s="197" t="s">
        <v>243</v>
      </c>
    </row>
    <row r="114" spans="1:256">
      <c r="A114" s="207" t="s">
        <v>244</v>
      </c>
      <c r="B114" s="190">
        <v>-3.4129999999999998</v>
      </c>
      <c r="C114" s="201"/>
      <c r="D114" s="192">
        <v>0.13726989684757951</v>
      </c>
      <c r="E114" s="193">
        <v>3</v>
      </c>
      <c r="F114" s="193">
        <v>191</v>
      </c>
      <c r="G114" s="194">
        <v>1.67</v>
      </c>
      <c r="H114" s="192">
        <f t="shared" si="1"/>
        <v>-2.83</v>
      </c>
      <c r="I114" s="215"/>
      <c r="J114" s="216"/>
      <c r="K114" s="216"/>
      <c r="L114" s="217"/>
      <c r="M114" s="197" t="s">
        <v>245</v>
      </c>
    </row>
    <row r="115" spans="1:256">
      <c r="A115" s="198" t="s">
        <v>246</v>
      </c>
      <c r="B115" s="190">
        <v>-4.97</v>
      </c>
      <c r="C115" s="201"/>
      <c r="D115" s="192">
        <v>0.21357402153711522</v>
      </c>
      <c r="E115" s="193">
        <v>7</v>
      </c>
      <c r="F115" s="193">
        <v>183.5</v>
      </c>
      <c r="G115" s="194">
        <v>4.37</v>
      </c>
      <c r="H115" s="192">
        <f t="shared" si="1"/>
        <v>-5.4550000000000001</v>
      </c>
      <c r="I115" s="215"/>
      <c r="J115" s="216"/>
      <c r="K115" s="216"/>
      <c r="L115" s="217"/>
      <c r="M115" s="197" t="s">
        <v>247</v>
      </c>
    </row>
    <row r="116" spans="1:256">
      <c r="A116" s="198" t="s">
        <v>248</v>
      </c>
      <c r="B116" s="190">
        <v>-3.2719999999999998</v>
      </c>
      <c r="C116" s="201"/>
      <c r="D116" s="192">
        <v>0.10564411177747912</v>
      </c>
      <c r="E116" s="193">
        <v>3</v>
      </c>
      <c r="F116" s="193">
        <v>149</v>
      </c>
      <c r="G116" s="194">
        <v>2.62</v>
      </c>
      <c r="H116" s="192">
        <f t="shared" si="1"/>
        <v>-3.3600000000000003</v>
      </c>
      <c r="I116" s="215"/>
      <c r="J116" s="216"/>
      <c r="K116" s="216"/>
      <c r="L116" s="217"/>
      <c r="M116" s="197" t="s">
        <v>249</v>
      </c>
    </row>
    <row r="117" spans="1:256">
      <c r="A117" s="189" t="s">
        <v>250</v>
      </c>
      <c r="B117" s="190">
        <v>-3.1949999999999998</v>
      </c>
      <c r="C117" s="201"/>
      <c r="D117" s="192">
        <v>0.14623917640453388</v>
      </c>
      <c r="E117" s="193">
        <v>8</v>
      </c>
      <c r="F117" s="193">
        <v>165</v>
      </c>
      <c r="G117" s="194">
        <v>-0.37</v>
      </c>
      <c r="H117" s="192">
        <f t="shared" si="1"/>
        <v>-0.53000000000000014</v>
      </c>
      <c r="I117" s="215"/>
      <c r="J117" s="216"/>
      <c r="K117" s="216"/>
      <c r="L117" s="217"/>
      <c r="M117" s="197" t="s">
        <v>251</v>
      </c>
    </row>
    <row r="118" spans="1:256">
      <c r="A118" s="198" t="s">
        <v>252</v>
      </c>
      <c r="B118" s="190">
        <v>-2.37</v>
      </c>
      <c r="C118" s="201"/>
      <c r="D118" s="192">
        <v>0.16291639539032501</v>
      </c>
      <c r="E118" s="193">
        <v>10</v>
      </c>
      <c r="F118" s="193">
        <v>225</v>
      </c>
      <c r="G118" s="194">
        <v>0.81</v>
      </c>
      <c r="H118" s="192">
        <f t="shared" si="1"/>
        <v>-2.31</v>
      </c>
      <c r="I118" s="215"/>
      <c r="J118" s="216"/>
      <c r="K118" s="216"/>
      <c r="L118" s="217"/>
      <c r="M118" s="197" t="s">
        <v>253</v>
      </c>
    </row>
    <row r="119" spans="1:256">
      <c r="A119" s="198" t="s">
        <v>254</v>
      </c>
      <c r="B119" s="190">
        <v>-2.798</v>
      </c>
      <c r="C119" s="201"/>
      <c r="D119" s="192">
        <v>0.21166647357477791</v>
      </c>
      <c r="E119" s="193">
        <v>5</v>
      </c>
      <c r="F119" s="193">
        <v>270</v>
      </c>
      <c r="G119" s="194">
        <v>0.62</v>
      </c>
      <c r="H119" s="192">
        <f>0.5-G119-0.01*(F119-25)</f>
        <v>-2.5700000000000003</v>
      </c>
      <c r="I119" s="215"/>
      <c r="J119" s="216"/>
      <c r="K119" s="216"/>
      <c r="L119" s="217"/>
      <c r="M119" s="197" t="s">
        <v>255</v>
      </c>
    </row>
    <row r="120" spans="1:256">
      <c r="A120" s="189" t="s">
        <v>256</v>
      </c>
      <c r="B120" s="190">
        <v>-3.2210000000000001</v>
      </c>
      <c r="C120" s="201"/>
      <c r="D120" s="192">
        <v>0.14175650298978676</v>
      </c>
      <c r="E120" s="193">
        <v>9</v>
      </c>
      <c r="F120" s="193">
        <v>312.66666666666669</v>
      </c>
      <c r="G120" s="194">
        <v>0.83</v>
      </c>
      <c r="H120" s="192">
        <f>0.5-G120-0.01*(F120-25)</f>
        <v>-3.206666666666667</v>
      </c>
      <c r="I120" s="215"/>
      <c r="J120" s="216"/>
      <c r="K120" s="216"/>
      <c r="L120" s="217"/>
      <c r="M120" s="197" t="s">
        <v>257</v>
      </c>
    </row>
    <row r="121" spans="1:256">
      <c r="A121" s="198" t="s">
        <v>258</v>
      </c>
      <c r="B121" s="190">
        <v>-4.5460000000000003</v>
      </c>
      <c r="C121" s="201"/>
      <c r="D121" s="192">
        <v>0.2034688635346244</v>
      </c>
      <c r="E121" s="193">
        <v>11</v>
      </c>
      <c r="F121" s="193">
        <v>161</v>
      </c>
      <c r="G121" s="194">
        <v>3.61</v>
      </c>
      <c r="H121" s="192">
        <f>0.5-G121-0.01*(F121-25)</f>
        <v>-4.47</v>
      </c>
      <c r="I121" s="215"/>
      <c r="J121" s="216"/>
      <c r="K121" s="216"/>
      <c r="L121" s="217"/>
      <c r="M121" s="197" t="s">
        <v>259</v>
      </c>
    </row>
    <row r="122" spans="1:256">
      <c r="A122" s="189" t="s">
        <v>109</v>
      </c>
      <c r="B122" s="190">
        <v>-1.0269999999999999</v>
      </c>
      <c r="C122" s="201"/>
      <c r="D122" s="192">
        <v>0.20579636821699754</v>
      </c>
      <c r="E122" s="193">
        <v>3</v>
      </c>
      <c r="F122" s="193">
        <v>300</v>
      </c>
      <c r="G122" s="194">
        <v>-1.06</v>
      </c>
      <c r="H122" s="192">
        <f>0.5-G122-0.01*(F122-25)</f>
        <v>-1.19</v>
      </c>
      <c r="I122" s="226"/>
      <c r="J122" s="220"/>
      <c r="K122" s="220"/>
      <c r="L122" s="221"/>
      <c r="M122" s="197" t="s">
        <v>260</v>
      </c>
    </row>
    <row r="123" spans="1:256">
      <c r="A123" s="197"/>
      <c r="C123" s="227" t="s">
        <v>261</v>
      </c>
      <c r="D123" s="228">
        <f>AVERAGE(D23:D122)</f>
        <v>0.17115851538193166</v>
      </c>
      <c r="E123" s="229"/>
      <c r="F123" s="230"/>
      <c r="G123" s="230"/>
      <c r="H123" s="231" t="s">
        <v>262</v>
      </c>
      <c r="I123" s="230"/>
      <c r="J123" s="194"/>
      <c r="K123" s="194"/>
      <c r="L123" s="194"/>
      <c r="M123" s="197"/>
    </row>
    <row r="124" spans="1:256">
      <c r="A124" s="197"/>
      <c r="C124" s="227" t="s">
        <v>263</v>
      </c>
      <c r="D124" s="228">
        <f>MIN(D23:D122)</f>
        <v>0.10564411177747912</v>
      </c>
      <c r="E124" s="229"/>
      <c r="F124" s="230"/>
      <c r="G124" s="230"/>
      <c r="H124" s="231" t="s">
        <v>264</v>
      </c>
      <c r="I124" s="230"/>
      <c r="J124" s="194"/>
      <c r="K124" s="194"/>
      <c r="L124" s="194"/>
      <c r="M124" s="197"/>
    </row>
    <row r="125" spans="1:256">
      <c r="A125" s="197"/>
      <c r="C125" s="227" t="s">
        <v>265</v>
      </c>
      <c r="D125" s="228">
        <f>MAX(D23:D122)</f>
        <v>0.22239504833634874</v>
      </c>
      <c r="E125" s="229"/>
      <c r="F125" s="230"/>
      <c r="G125" s="230"/>
      <c r="H125" s="231"/>
      <c r="I125" s="230"/>
      <c r="J125" s="194"/>
      <c r="K125" s="194"/>
      <c r="L125" s="194"/>
      <c r="M125" s="197"/>
    </row>
    <row r="126" spans="1:256">
      <c r="A126" s="197"/>
      <c r="B126" s="194"/>
      <c r="C126" s="194"/>
      <c r="D126" s="194"/>
      <c r="E126" s="194"/>
      <c r="F126" s="194"/>
      <c r="G126" s="194"/>
      <c r="H126" s="194"/>
      <c r="I126" s="194"/>
      <c r="J126" s="194"/>
      <c r="K126" s="194"/>
      <c r="L126" s="194"/>
      <c r="M126" s="197"/>
    </row>
    <row r="127" spans="1:256" ht="32.25" customHeight="1" thickBot="1">
      <c r="A127" s="178" t="s">
        <v>636</v>
      </c>
      <c r="B127" s="194"/>
      <c r="C127" s="194"/>
      <c r="D127" s="194"/>
      <c r="E127" s="194"/>
      <c r="F127" s="194"/>
      <c r="G127" s="194"/>
      <c r="H127" s="194"/>
      <c r="I127" s="194"/>
      <c r="J127" s="194"/>
      <c r="K127" s="194"/>
      <c r="L127" s="194"/>
      <c r="M127" s="197"/>
      <c r="AC127" s="181"/>
      <c r="AD127" s="181"/>
      <c r="AE127" s="181"/>
      <c r="AF127" s="181"/>
      <c r="AG127" s="181"/>
      <c r="AH127" s="181"/>
      <c r="AI127" s="181"/>
      <c r="AJ127" s="181"/>
      <c r="AK127" s="181"/>
      <c r="AL127" s="181"/>
      <c r="AM127" s="181"/>
      <c r="AN127" s="181"/>
      <c r="AO127" s="181"/>
      <c r="AP127" s="181"/>
      <c r="AQ127" s="181"/>
      <c r="AR127" s="181"/>
      <c r="AS127" s="181"/>
      <c r="AT127" s="181"/>
      <c r="AU127" s="181"/>
      <c r="AV127" s="181"/>
      <c r="AW127" s="181"/>
      <c r="AX127" s="181"/>
      <c r="AY127" s="181"/>
      <c r="AZ127" s="181"/>
      <c r="BA127" s="181"/>
      <c r="BB127" s="181"/>
      <c r="BC127" s="181"/>
      <c r="BD127" s="181"/>
      <c r="BE127" s="181"/>
      <c r="BF127" s="181"/>
      <c r="BG127" s="181"/>
      <c r="BH127" s="181"/>
      <c r="BI127" s="181"/>
      <c r="BJ127" s="181"/>
      <c r="BK127" s="181"/>
      <c r="BL127" s="181"/>
      <c r="BM127" s="181"/>
      <c r="BN127" s="181"/>
      <c r="BO127" s="181"/>
      <c r="BP127" s="181"/>
      <c r="BQ127" s="181"/>
      <c r="BR127" s="181"/>
      <c r="BS127" s="181"/>
      <c r="BT127" s="181"/>
      <c r="BU127" s="181"/>
      <c r="BV127" s="181"/>
      <c r="BW127" s="181"/>
      <c r="BX127" s="181"/>
      <c r="BY127" s="181"/>
      <c r="BZ127" s="181"/>
      <c r="CA127" s="181"/>
      <c r="CB127" s="181"/>
      <c r="CC127" s="181"/>
      <c r="CD127" s="181"/>
      <c r="CE127" s="181"/>
      <c r="CF127" s="181"/>
      <c r="CG127" s="181"/>
      <c r="CH127" s="181"/>
      <c r="CI127" s="181"/>
      <c r="CJ127" s="181"/>
      <c r="CK127" s="181"/>
      <c r="CL127" s="181"/>
      <c r="CM127" s="181"/>
      <c r="CN127" s="181"/>
      <c r="CO127" s="181"/>
      <c r="CP127" s="181"/>
      <c r="CQ127" s="181"/>
      <c r="CR127" s="181"/>
      <c r="CS127" s="181"/>
      <c r="CT127" s="181"/>
      <c r="CU127" s="181"/>
      <c r="CV127" s="181"/>
      <c r="CW127" s="181"/>
      <c r="CX127" s="181"/>
      <c r="CY127" s="181"/>
      <c r="CZ127" s="181"/>
      <c r="DA127" s="181"/>
      <c r="DB127" s="181"/>
      <c r="DC127" s="181"/>
      <c r="DD127" s="181"/>
      <c r="DE127" s="181"/>
      <c r="DF127" s="181"/>
      <c r="DG127" s="181"/>
      <c r="DH127" s="181"/>
      <c r="DI127" s="181"/>
      <c r="DJ127" s="181"/>
      <c r="DK127" s="181"/>
      <c r="DL127" s="181"/>
      <c r="DM127" s="181"/>
      <c r="DN127" s="181"/>
      <c r="DO127" s="181"/>
      <c r="DP127" s="181"/>
      <c r="DQ127" s="181"/>
      <c r="DR127" s="181"/>
      <c r="DS127" s="181"/>
      <c r="DT127" s="181"/>
      <c r="DU127" s="181"/>
      <c r="DV127" s="181"/>
      <c r="DW127" s="181"/>
      <c r="DX127" s="181"/>
      <c r="DY127" s="181"/>
      <c r="DZ127" s="181"/>
      <c r="EA127" s="181"/>
      <c r="EB127" s="181"/>
      <c r="EC127" s="181"/>
      <c r="ED127" s="181"/>
      <c r="EE127" s="181"/>
      <c r="EF127" s="181"/>
      <c r="EG127" s="181"/>
      <c r="EH127" s="181"/>
      <c r="EI127" s="181"/>
      <c r="EJ127" s="181"/>
      <c r="EK127" s="181"/>
      <c r="EL127" s="181"/>
      <c r="EM127" s="181"/>
      <c r="EN127" s="181"/>
      <c r="EO127" s="181"/>
      <c r="EP127" s="181"/>
      <c r="EQ127" s="181"/>
      <c r="ER127" s="181"/>
      <c r="ES127" s="181"/>
      <c r="ET127" s="181"/>
      <c r="EU127" s="181"/>
      <c r="EV127" s="181"/>
      <c r="EW127" s="181"/>
      <c r="EX127" s="181"/>
      <c r="EY127" s="181"/>
      <c r="EZ127" s="181"/>
      <c r="FA127" s="181"/>
      <c r="FB127" s="181"/>
      <c r="FC127" s="181"/>
      <c r="FD127" s="181"/>
      <c r="FE127" s="181"/>
      <c r="FF127" s="181"/>
      <c r="FG127" s="181"/>
      <c r="FH127" s="181"/>
      <c r="FI127" s="181"/>
      <c r="FJ127" s="181"/>
      <c r="FK127" s="181"/>
      <c r="FL127" s="181"/>
      <c r="FM127" s="181"/>
      <c r="FN127" s="181"/>
      <c r="FO127" s="181"/>
      <c r="FP127" s="181"/>
      <c r="FQ127" s="181"/>
      <c r="FR127" s="181"/>
      <c r="FS127" s="181"/>
      <c r="FT127" s="181"/>
      <c r="FU127" s="181"/>
      <c r="FV127" s="181"/>
      <c r="FW127" s="181"/>
      <c r="FX127" s="181"/>
      <c r="FY127" s="181"/>
      <c r="FZ127" s="181"/>
      <c r="GA127" s="181"/>
      <c r="GB127" s="181"/>
      <c r="GC127" s="181"/>
      <c r="GD127" s="181"/>
      <c r="GE127" s="181"/>
      <c r="GF127" s="181"/>
      <c r="GG127" s="181"/>
      <c r="GH127" s="181"/>
      <c r="GI127" s="181"/>
      <c r="GJ127" s="181"/>
      <c r="GK127" s="181"/>
      <c r="GL127" s="181"/>
      <c r="GM127" s="181"/>
      <c r="GN127" s="181"/>
      <c r="GO127" s="181"/>
      <c r="GP127" s="181"/>
      <c r="GQ127" s="181"/>
      <c r="GR127" s="181"/>
      <c r="GS127" s="181"/>
      <c r="GT127" s="181"/>
      <c r="GU127" s="181"/>
      <c r="GV127" s="181"/>
      <c r="GW127" s="181"/>
      <c r="GX127" s="181"/>
      <c r="GY127" s="181"/>
      <c r="GZ127" s="181"/>
      <c r="HA127" s="181"/>
      <c r="HB127" s="181"/>
      <c r="HC127" s="181"/>
      <c r="HD127" s="181"/>
      <c r="HE127" s="181"/>
      <c r="HF127" s="181"/>
      <c r="HG127" s="181"/>
      <c r="HH127" s="181"/>
      <c r="HI127" s="181"/>
      <c r="HJ127" s="181"/>
      <c r="HK127" s="181"/>
      <c r="HL127" s="181"/>
      <c r="HM127" s="181"/>
      <c r="HN127" s="181"/>
      <c r="HO127" s="181"/>
      <c r="HP127" s="181"/>
      <c r="HQ127" s="181"/>
      <c r="HR127" s="181"/>
      <c r="HS127" s="181"/>
      <c r="HT127" s="181"/>
      <c r="HU127" s="181"/>
      <c r="HV127" s="181"/>
      <c r="HW127" s="181"/>
      <c r="HX127" s="181"/>
      <c r="HY127" s="181"/>
      <c r="HZ127" s="181"/>
      <c r="IA127" s="181"/>
      <c r="IB127" s="181"/>
      <c r="IC127" s="181"/>
      <c r="ID127" s="181"/>
      <c r="IE127" s="181"/>
      <c r="IF127" s="181"/>
      <c r="IG127" s="181"/>
      <c r="IH127" s="181"/>
      <c r="II127" s="181"/>
      <c r="IJ127" s="181"/>
      <c r="IK127" s="181"/>
      <c r="IL127" s="181"/>
      <c r="IM127" s="181"/>
      <c r="IN127" s="181"/>
      <c r="IO127" s="181"/>
      <c r="IP127" s="181"/>
      <c r="IQ127" s="181"/>
      <c r="IR127" s="181"/>
      <c r="IS127" s="181"/>
      <c r="IT127" s="181"/>
      <c r="IU127" s="181"/>
      <c r="IV127" s="181"/>
    </row>
    <row r="128" spans="1:256" ht="43.5" customHeight="1" thickBot="1">
      <c r="A128" s="182" t="s">
        <v>18</v>
      </c>
      <c r="B128" s="183" t="s">
        <v>628</v>
      </c>
      <c r="C128" s="183" t="s">
        <v>629</v>
      </c>
      <c r="D128" s="183" t="s">
        <v>21</v>
      </c>
      <c r="E128" s="183" t="s">
        <v>22</v>
      </c>
      <c r="F128" s="183" t="s">
        <v>23</v>
      </c>
      <c r="G128" s="183" t="s">
        <v>630</v>
      </c>
      <c r="H128" s="183" t="s">
        <v>631</v>
      </c>
      <c r="I128" s="184"/>
      <c r="J128" s="185" t="s">
        <v>27</v>
      </c>
      <c r="K128" s="185"/>
      <c r="L128" s="185"/>
      <c r="M128" s="186" t="s">
        <v>28</v>
      </c>
      <c r="N128" s="187"/>
      <c r="O128" s="187"/>
      <c r="P128" s="187"/>
      <c r="Q128" s="187"/>
      <c r="R128" s="187"/>
      <c r="S128" s="187"/>
      <c r="T128" s="187"/>
      <c r="U128" s="187"/>
      <c r="V128" s="188"/>
      <c r="W128" s="181"/>
      <c r="X128" s="181"/>
      <c r="Y128" s="181"/>
      <c r="Z128" s="181"/>
      <c r="AA128" s="181"/>
      <c r="AB128" s="181"/>
    </row>
    <row r="129" spans="1:13">
      <c r="A129" s="198" t="s">
        <v>268</v>
      </c>
      <c r="B129" s="190">
        <v>-2.4159999999999999</v>
      </c>
      <c r="C129" s="191" t="s">
        <v>30</v>
      </c>
      <c r="D129" s="192">
        <v>0.50033555401430185</v>
      </c>
      <c r="E129" s="193">
        <v>3</v>
      </c>
      <c r="F129" s="193">
        <v>180</v>
      </c>
      <c r="G129" s="194">
        <v>1.91</v>
      </c>
      <c r="H129" s="192">
        <f t="shared" ref="H129:H160" si="2">0.5-G129-0.01*(F129-25)</f>
        <v>-2.96</v>
      </c>
      <c r="I129" s="195" t="s">
        <v>31</v>
      </c>
      <c r="J129" s="196" t="s">
        <v>367</v>
      </c>
      <c r="K129" s="192"/>
      <c r="L129" s="192"/>
      <c r="M129" s="197" t="s">
        <v>269</v>
      </c>
    </row>
    <row r="130" spans="1:13">
      <c r="A130" s="198" t="s">
        <v>270</v>
      </c>
      <c r="B130" s="190">
        <v>-6.9589999999999996</v>
      </c>
      <c r="C130" s="191" t="s">
        <v>36</v>
      </c>
      <c r="D130" s="192">
        <v>0.5</v>
      </c>
      <c r="E130" s="194">
        <v>5</v>
      </c>
      <c r="F130" s="193">
        <v>156</v>
      </c>
      <c r="G130" s="194">
        <v>6.94</v>
      </c>
      <c r="H130" s="192">
        <f t="shared" si="2"/>
        <v>-7.75</v>
      </c>
      <c r="I130" s="195" t="s">
        <v>37</v>
      </c>
      <c r="J130" s="196"/>
      <c r="K130" s="192"/>
      <c r="L130" s="192"/>
      <c r="M130" s="197" t="s">
        <v>271</v>
      </c>
    </row>
    <row r="131" spans="1:13">
      <c r="A131" s="207" t="s">
        <v>272</v>
      </c>
      <c r="B131" s="190">
        <v>-5.5609999999999999</v>
      </c>
      <c r="C131" s="191" t="s">
        <v>41</v>
      </c>
      <c r="D131" s="192">
        <v>0.6530957900260097</v>
      </c>
      <c r="E131" s="193">
        <v>3</v>
      </c>
      <c r="F131" s="193">
        <v>208</v>
      </c>
      <c r="G131" s="194">
        <v>5.18</v>
      </c>
      <c r="H131" s="192">
        <f t="shared" si="2"/>
        <v>-6.51</v>
      </c>
      <c r="I131" s="195" t="s">
        <v>42</v>
      </c>
      <c r="J131" s="196"/>
      <c r="K131" s="192"/>
      <c r="L131" s="192"/>
      <c r="M131" s="197" t="s">
        <v>273</v>
      </c>
    </row>
    <row r="132" spans="1:13">
      <c r="A132" s="198" t="s">
        <v>274</v>
      </c>
      <c r="B132" s="190">
        <v>-3.3639999999999999</v>
      </c>
      <c r="C132" s="191" t="s">
        <v>46</v>
      </c>
      <c r="D132" s="192">
        <v>0.59285217963150294</v>
      </c>
      <c r="E132" s="193">
        <v>3</v>
      </c>
      <c r="F132" s="193">
        <v>100</v>
      </c>
      <c r="G132" s="194">
        <v>2.37</v>
      </c>
      <c r="H132" s="192">
        <f t="shared" si="2"/>
        <v>-2.62</v>
      </c>
      <c r="I132" s="199" t="s">
        <v>47</v>
      </c>
      <c r="J132" s="200"/>
      <c r="K132" s="192"/>
      <c r="L132" s="192"/>
      <c r="M132" s="197" t="s">
        <v>275</v>
      </c>
    </row>
    <row r="133" spans="1:13">
      <c r="A133" s="198" t="s">
        <v>276</v>
      </c>
      <c r="B133" s="190">
        <v>-5.0350000000000001</v>
      </c>
      <c r="C133" s="191" t="s">
        <v>51</v>
      </c>
      <c r="D133" s="192">
        <v>0.51067901383936642</v>
      </c>
      <c r="E133" s="193">
        <v>5</v>
      </c>
      <c r="F133" s="193">
        <v>217</v>
      </c>
      <c r="G133" s="194">
        <v>3.19</v>
      </c>
      <c r="H133" s="192">
        <f t="shared" si="2"/>
        <v>-4.6099999999999994</v>
      </c>
      <c r="I133" s="199" t="s">
        <v>52</v>
      </c>
      <c r="J133" s="200"/>
      <c r="K133" s="192"/>
      <c r="L133" s="192"/>
      <c r="M133" s="197" t="s">
        <v>277</v>
      </c>
    </row>
    <row r="134" spans="1:13">
      <c r="A134" s="198" t="s">
        <v>278</v>
      </c>
      <c r="B134" s="190">
        <v>-5.14</v>
      </c>
      <c r="C134" s="201"/>
      <c r="D134" s="192">
        <v>0.83065522865171437</v>
      </c>
      <c r="E134" s="193">
        <v>3</v>
      </c>
      <c r="F134" s="193">
        <v>209.50000000000003</v>
      </c>
      <c r="G134" s="194">
        <v>4.41</v>
      </c>
      <c r="H134" s="192">
        <f t="shared" si="2"/>
        <v>-5.7550000000000008</v>
      </c>
      <c r="I134" s="199" t="s">
        <v>56</v>
      </c>
      <c r="J134" s="200"/>
      <c r="K134" s="192"/>
      <c r="L134" s="192"/>
      <c r="M134" s="197" t="s">
        <v>279</v>
      </c>
    </row>
    <row r="135" spans="1:13">
      <c r="A135" s="198" t="s">
        <v>280</v>
      </c>
      <c r="B135" s="190">
        <v>-4.8179999999999996</v>
      </c>
      <c r="C135" s="201"/>
      <c r="D135" s="192">
        <v>0.51097181417141646</v>
      </c>
      <c r="E135" s="193">
        <v>6</v>
      </c>
      <c r="F135" s="193">
        <v>97.5</v>
      </c>
      <c r="G135" s="194">
        <v>5.19</v>
      </c>
      <c r="H135" s="192">
        <f t="shared" si="2"/>
        <v>-5.415</v>
      </c>
      <c r="I135" s="199" t="s">
        <v>60</v>
      </c>
      <c r="J135" s="202"/>
      <c r="K135" s="192"/>
      <c r="L135" s="192"/>
      <c r="M135" s="197" t="s">
        <v>281</v>
      </c>
    </row>
    <row r="136" spans="1:13">
      <c r="A136" s="189" t="s">
        <v>282</v>
      </c>
      <c r="B136" s="190">
        <v>-7.4210000000000003</v>
      </c>
      <c r="C136" s="201"/>
      <c r="D136" s="192">
        <v>0.92735432696895004</v>
      </c>
      <c r="E136" s="193">
        <v>5</v>
      </c>
      <c r="F136" s="193">
        <v>211</v>
      </c>
      <c r="G136" s="194">
        <v>7.49</v>
      </c>
      <c r="H136" s="192">
        <f t="shared" si="2"/>
        <v>-8.85</v>
      </c>
      <c r="I136" s="203" t="s">
        <v>64</v>
      </c>
      <c r="J136" s="204"/>
      <c r="K136" s="205"/>
      <c r="L136" s="206"/>
      <c r="M136" s="197" t="s">
        <v>283</v>
      </c>
    </row>
    <row r="137" spans="1:13">
      <c r="A137" s="198" t="s">
        <v>112</v>
      </c>
      <c r="B137" s="190">
        <v>-4.7670000000000003</v>
      </c>
      <c r="C137" s="201"/>
      <c r="D137" s="192">
        <v>0.68239272333923895</v>
      </c>
      <c r="E137" s="193">
        <v>3</v>
      </c>
      <c r="F137" s="193">
        <v>177</v>
      </c>
      <c r="G137" s="194">
        <v>3.37</v>
      </c>
      <c r="H137" s="192">
        <f t="shared" si="2"/>
        <v>-4.3900000000000006</v>
      </c>
      <c r="J137" s="192"/>
      <c r="K137" s="192"/>
      <c r="L137" s="192"/>
      <c r="M137" s="197" t="s">
        <v>284</v>
      </c>
    </row>
    <row r="138" spans="1:13">
      <c r="A138" s="198" t="s">
        <v>285</v>
      </c>
      <c r="B138" s="190">
        <v>-4.7119999999999997</v>
      </c>
      <c r="C138" s="201"/>
      <c r="D138" s="192">
        <v>0.520951861602862</v>
      </c>
      <c r="E138" s="193">
        <v>10</v>
      </c>
      <c r="F138" s="193">
        <v>228.6</v>
      </c>
      <c r="G138" s="194">
        <v>4.22</v>
      </c>
      <c r="H138" s="192">
        <f t="shared" si="2"/>
        <v>-5.7560000000000002</v>
      </c>
      <c r="I138" s="208" t="s">
        <v>286</v>
      </c>
      <c r="J138" s="209"/>
      <c r="K138" s="209"/>
      <c r="L138" s="210"/>
      <c r="M138" s="197" t="s">
        <v>287</v>
      </c>
    </row>
    <row r="139" spans="1:13">
      <c r="A139" s="189" t="s">
        <v>288</v>
      </c>
      <c r="B139" s="190">
        <v>-1.726</v>
      </c>
      <c r="C139" s="201"/>
      <c r="D139" s="192">
        <v>0.53906642829149898</v>
      </c>
      <c r="E139" s="193">
        <v>3</v>
      </c>
      <c r="F139" s="193">
        <v>161.5</v>
      </c>
      <c r="G139" s="194">
        <v>-0.21</v>
      </c>
      <c r="H139" s="192">
        <f t="shared" si="2"/>
        <v>-0.65500000000000003</v>
      </c>
      <c r="I139" s="212" t="s">
        <v>632</v>
      </c>
      <c r="J139" s="213"/>
      <c r="K139" s="213"/>
      <c r="L139" s="214"/>
      <c r="M139" s="197" t="s">
        <v>289</v>
      </c>
    </row>
    <row r="140" spans="1:13">
      <c r="A140" s="189" t="s">
        <v>290</v>
      </c>
      <c r="B140" s="190">
        <v>-3.8929999999999998</v>
      </c>
      <c r="C140" s="201"/>
      <c r="D140" s="192">
        <v>0.56233984781338708</v>
      </c>
      <c r="E140" s="193">
        <v>11</v>
      </c>
      <c r="F140" s="193">
        <v>213.49999999999997</v>
      </c>
      <c r="G140" s="194">
        <v>3.04</v>
      </c>
      <c r="H140" s="192">
        <f t="shared" si="2"/>
        <v>-4.4249999999999998</v>
      </c>
      <c r="I140" s="215"/>
      <c r="J140" s="216"/>
      <c r="K140" s="216"/>
      <c r="L140" s="217"/>
      <c r="M140" s="197" t="s">
        <v>291</v>
      </c>
    </row>
    <row r="141" spans="1:13">
      <c r="A141" s="207" t="s">
        <v>292</v>
      </c>
      <c r="B141" s="190">
        <v>-3.4140000000000001</v>
      </c>
      <c r="C141" s="201"/>
      <c r="D141" s="192">
        <v>0.54710381306524825</v>
      </c>
      <c r="E141" s="193">
        <v>4</v>
      </c>
      <c r="F141" s="193">
        <v>168.5</v>
      </c>
      <c r="G141" s="194">
        <v>3.35</v>
      </c>
      <c r="H141" s="192">
        <f t="shared" si="2"/>
        <v>-4.2850000000000001</v>
      </c>
      <c r="I141" s="215"/>
      <c r="J141" s="216"/>
      <c r="K141" s="216"/>
      <c r="L141" s="217"/>
      <c r="M141" s="197" t="s">
        <v>293</v>
      </c>
    </row>
    <row r="142" spans="1:13">
      <c r="A142" s="189" t="s">
        <v>114</v>
      </c>
      <c r="B142" s="190">
        <v>-3.2490000000000001</v>
      </c>
      <c r="C142" s="201"/>
      <c r="D142" s="192">
        <v>0.54612637818466869</v>
      </c>
      <c r="E142" s="193">
        <v>3</v>
      </c>
      <c r="F142" s="211">
        <v>124.1</v>
      </c>
      <c r="G142" s="194">
        <v>2.81</v>
      </c>
      <c r="H142" s="192">
        <f t="shared" si="2"/>
        <v>-3.3010000000000002</v>
      </c>
      <c r="I142" s="218"/>
      <c r="J142" s="216"/>
      <c r="K142" s="216"/>
      <c r="L142" s="217"/>
      <c r="M142" s="197" t="s">
        <v>294</v>
      </c>
    </row>
    <row r="143" spans="1:13">
      <c r="A143" s="189" t="s">
        <v>295</v>
      </c>
      <c r="B143" s="190">
        <v>-5.52</v>
      </c>
      <c r="C143" s="201"/>
      <c r="D143" s="192">
        <v>0.51160213896594608</v>
      </c>
      <c r="E143" s="193">
        <v>4</v>
      </c>
      <c r="F143" s="193">
        <v>165</v>
      </c>
      <c r="G143" s="194">
        <v>4.8899999999999997</v>
      </c>
      <c r="H143" s="192">
        <f t="shared" si="2"/>
        <v>-5.79</v>
      </c>
      <c r="I143" s="218"/>
      <c r="J143" s="216"/>
      <c r="K143" s="216"/>
      <c r="L143" s="217"/>
      <c r="M143" s="197" t="s">
        <v>296</v>
      </c>
    </row>
    <row r="144" spans="1:13">
      <c r="A144" s="189" t="s">
        <v>117</v>
      </c>
      <c r="B144" s="190">
        <v>-5.2329999999999997</v>
      </c>
      <c r="C144" s="201"/>
      <c r="D144" s="192">
        <v>0.65141515533308314</v>
      </c>
      <c r="E144" s="193">
        <v>4</v>
      </c>
      <c r="F144" s="193">
        <v>161.1</v>
      </c>
      <c r="G144" s="194">
        <v>4.76</v>
      </c>
      <c r="H144" s="192">
        <f t="shared" si="2"/>
        <v>-5.6209999999999996</v>
      </c>
      <c r="I144" s="218"/>
      <c r="J144" s="216"/>
      <c r="K144" s="216"/>
      <c r="L144" s="217"/>
      <c r="M144" s="197" t="s">
        <v>297</v>
      </c>
    </row>
    <row r="145" spans="1:256">
      <c r="A145" s="207" t="s">
        <v>298</v>
      </c>
      <c r="B145" s="190">
        <v>-4.5839999999999996</v>
      </c>
      <c r="C145" s="201"/>
      <c r="D145" s="192">
        <v>0.65883215509381909</v>
      </c>
      <c r="E145" s="193">
        <v>3</v>
      </c>
      <c r="F145" s="193">
        <v>155</v>
      </c>
      <c r="G145" s="194">
        <v>3.74</v>
      </c>
      <c r="H145" s="192">
        <f t="shared" si="2"/>
        <v>-4.54</v>
      </c>
      <c r="I145" s="218"/>
      <c r="J145" s="216"/>
      <c r="K145" s="216"/>
      <c r="L145" s="217"/>
      <c r="M145" s="197" t="s">
        <v>299</v>
      </c>
    </row>
    <row r="146" spans="1:256">
      <c r="A146" s="198" t="s">
        <v>300</v>
      </c>
      <c r="B146" s="190">
        <v>-6.8360000000000003</v>
      </c>
      <c r="C146" s="201"/>
      <c r="D146" s="192">
        <v>0.61400477095750339</v>
      </c>
      <c r="E146" s="193">
        <v>3</v>
      </c>
      <c r="F146" s="193">
        <v>165.4</v>
      </c>
      <c r="G146" s="194">
        <v>5.58</v>
      </c>
      <c r="H146" s="192">
        <f t="shared" si="2"/>
        <v>-6.484</v>
      </c>
      <c r="I146" s="218"/>
      <c r="J146" s="216"/>
      <c r="K146" s="216"/>
      <c r="L146" s="217"/>
      <c r="M146" s="197" t="s">
        <v>301</v>
      </c>
    </row>
    <row r="147" spans="1:256">
      <c r="A147" s="198" t="s">
        <v>302</v>
      </c>
      <c r="B147" s="190">
        <v>-6.29</v>
      </c>
      <c r="C147" s="201"/>
      <c r="D147" s="192">
        <v>0.50406532001413251</v>
      </c>
      <c r="E147" s="193">
        <v>6</v>
      </c>
      <c r="F147" s="193">
        <v>161</v>
      </c>
      <c r="G147" s="194">
        <v>6.45</v>
      </c>
      <c r="H147" s="192">
        <f t="shared" si="2"/>
        <v>-7.3100000000000005</v>
      </c>
      <c r="I147" s="164"/>
      <c r="J147" s="220"/>
      <c r="K147" s="220"/>
      <c r="L147" s="221"/>
      <c r="M147" s="197" t="s">
        <v>303</v>
      </c>
    </row>
    <row r="148" spans="1:256">
      <c r="A148" s="198" t="s">
        <v>304</v>
      </c>
      <c r="B148" s="190">
        <v>-5.6239999999999997</v>
      </c>
      <c r="C148" s="201"/>
      <c r="D148" s="192">
        <v>0.75493366325441691</v>
      </c>
      <c r="E148" s="193">
        <v>4</v>
      </c>
      <c r="F148" s="193">
        <v>193.5</v>
      </c>
      <c r="G148" s="194">
        <v>5.41</v>
      </c>
      <c r="H148" s="192">
        <f t="shared" si="2"/>
        <v>-6.5950000000000006</v>
      </c>
      <c r="J148" s="192"/>
      <c r="K148" s="192"/>
      <c r="L148" s="192"/>
      <c r="M148" s="197" t="s">
        <v>305</v>
      </c>
    </row>
    <row r="149" spans="1:256">
      <c r="A149" s="198" t="s">
        <v>306</v>
      </c>
      <c r="B149" s="190">
        <v>-4.1029999999999998</v>
      </c>
      <c r="C149" s="201"/>
      <c r="D149" s="192">
        <v>0.50089358058597189</v>
      </c>
      <c r="E149" s="193">
        <v>3</v>
      </c>
      <c r="F149" s="193">
        <v>156</v>
      </c>
      <c r="G149" s="194">
        <v>2.9</v>
      </c>
      <c r="H149" s="192">
        <f t="shared" si="2"/>
        <v>-3.71</v>
      </c>
      <c r="I149" s="222" t="s">
        <v>133</v>
      </c>
      <c r="J149" s="223">
        <v>346</v>
      </c>
      <c r="K149" s="206"/>
      <c r="L149" s="192"/>
      <c r="M149" s="197" t="s">
        <v>307</v>
      </c>
    </row>
    <row r="150" spans="1:256">
      <c r="A150" s="207" t="s">
        <v>308</v>
      </c>
      <c r="B150" s="190">
        <v>-4.1769999999999996</v>
      </c>
      <c r="C150" s="201"/>
      <c r="D150" s="192">
        <v>0.6587984329866341</v>
      </c>
      <c r="E150" s="193">
        <v>4</v>
      </c>
      <c r="F150" s="193">
        <v>183.5</v>
      </c>
      <c r="G150" s="194">
        <v>3.16</v>
      </c>
      <c r="H150" s="192">
        <f t="shared" si="2"/>
        <v>-4.2450000000000001</v>
      </c>
      <c r="I150" s="222" t="s">
        <v>136</v>
      </c>
      <c r="J150" s="223">
        <v>90</v>
      </c>
      <c r="K150" s="206"/>
      <c r="L150" s="192"/>
      <c r="M150" s="197" t="s">
        <v>309</v>
      </c>
    </row>
    <row r="151" spans="1:256">
      <c r="A151" s="207" t="s">
        <v>310</v>
      </c>
      <c r="B151" s="190">
        <v>-2.7829999999999999</v>
      </c>
      <c r="C151" s="201"/>
      <c r="D151" s="192">
        <v>0.59871706042825668</v>
      </c>
      <c r="E151" s="193">
        <v>3</v>
      </c>
      <c r="F151" s="193">
        <v>61</v>
      </c>
      <c r="G151" s="194">
        <v>1.77</v>
      </c>
      <c r="H151" s="192">
        <f t="shared" si="2"/>
        <v>-1.63</v>
      </c>
      <c r="I151" s="222" t="s">
        <v>139</v>
      </c>
      <c r="J151" s="223">
        <f>COUNTA(A129:A160)</f>
        <v>32</v>
      </c>
      <c r="K151" s="206"/>
      <c r="L151" s="192"/>
      <c r="M151" s="197" t="s">
        <v>311</v>
      </c>
    </row>
    <row r="152" spans="1:256">
      <c r="A152" s="198" t="s">
        <v>312</v>
      </c>
      <c r="B152" s="190">
        <v>-3.8109999999999999</v>
      </c>
      <c r="C152" s="201"/>
      <c r="D152" s="192">
        <v>0.57115657899345518</v>
      </c>
      <c r="E152" s="193">
        <v>7</v>
      </c>
      <c r="F152" s="193">
        <v>177</v>
      </c>
      <c r="G152" s="194">
        <v>3.17</v>
      </c>
      <c r="H152" s="192">
        <f t="shared" si="2"/>
        <v>-4.1899999999999995</v>
      </c>
      <c r="I152" s="192"/>
      <c r="J152" s="192"/>
      <c r="K152" s="192"/>
      <c r="L152" s="192"/>
      <c r="M152" s="197" t="s">
        <v>313</v>
      </c>
    </row>
    <row r="153" spans="1:256">
      <c r="A153" s="189" t="s">
        <v>314</v>
      </c>
      <c r="B153" s="190">
        <v>-6.6820000000000004</v>
      </c>
      <c r="C153" s="201"/>
      <c r="D153" s="192">
        <v>0.55807775121880254</v>
      </c>
      <c r="E153" s="193">
        <v>6</v>
      </c>
      <c r="F153" s="193">
        <v>145</v>
      </c>
      <c r="G153" s="194">
        <v>6.08</v>
      </c>
      <c r="H153" s="192">
        <f t="shared" si="2"/>
        <v>-6.78</v>
      </c>
      <c r="I153" s="224" t="s">
        <v>144</v>
      </c>
      <c r="J153" s="209"/>
      <c r="K153" s="209"/>
      <c r="L153" s="210"/>
      <c r="M153" s="197" t="s">
        <v>315</v>
      </c>
    </row>
    <row r="154" spans="1:256">
      <c r="A154" s="189" t="s">
        <v>316</v>
      </c>
      <c r="B154" s="190">
        <v>-7.6950000000000003</v>
      </c>
      <c r="C154" s="201"/>
      <c r="D154" s="192">
        <v>0.66417698790166113</v>
      </c>
      <c r="E154" s="193">
        <v>3</v>
      </c>
      <c r="F154" s="211">
        <v>175.8</v>
      </c>
      <c r="G154" s="194">
        <v>4.62</v>
      </c>
      <c r="H154" s="192">
        <f t="shared" si="2"/>
        <v>-5.6280000000000001</v>
      </c>
      <c r="I154" s="225" t="s">
        <v>633</v>
      </c>
      <c r="J154" s="213"/>
      <c r="K154" s="213"/>
      <c r="L154" s="214"/>
      <c r="M154" s="197" t="s">
        <v>317</v>
      </c>
    </row>
    <row r="155" spans="1:256">
      <c r="A155" s="198" t="s">
        <v>318</v>
      </c>
      <c r="B155" s="190">
        <v>-5.7569999999999997</v>
      </c>
      <c r="C155" s="201"/>
      <c r="D155" s="192">
        <v>0.57716593661781801</v>
      </c>
      <c r="E155" s="193">
        <v>3</v>
      </c>
      <c r="F155" s="193">
        <v>349.84</v>
      </c>
      <c r="G155" s="194">
        <v>3.09</v>
      </c>
      <c r="H155" s="192">
        <f t="shared" si="2"/>
        <v>-5.8384</v>
      </c>
      <c r="I155" s="215" t="s">
        <v>634</v>
      </c>
      <c r="J155" s="216"/>
      <c r="K155" s="216"/>
      <c r="L155" s="217"/>
      <c r="M155" s="197" t="s">
        <v>319</v>
      </c>
    </row>
    <row r="156" spans="1:256">
      <c r="A156" s="207" t="s">
        <v>320</v>
      </c>
      <c r="B156" s="190">
        <v>-3.0379999999999998</v>
      </c>
      <c r="C156" s="201"/>
      <c r="D156" s="192">
        <v>0.70324590282883903</v>
      </c>
      <c r="E156" s="193">
        <v>3</v>
      </c>
      <c r="F156" s="193">
        <v>204</v>
      </c>
      <c r="G156" s="194">
        <v>0.88</v>
      </c>
      <c r="H156" s="192">
        <f t="shared" si="2"/>
        <v>-2.17</v>
      </c>
      <c r="I156" s="215" t="s">
        <v>635</v>
      </c>
      <c r="J156" s="216"/>
      <c r="K156" s="216"/>
      <c r="L156" s="217"/>
      <c r="M156" s="197" t="s">
        <v>321</v>
      </c>
    </row>
    <row r="157" spans="1:256">
      <c r="A157" s="198" t="s">
        <v>322</v>
      </c>
      <c r="B157" s="190">
        <v>-5.6580000000000004</v>
      </c>
      <c r="C157" s="201"/>
      <c r="D157" s="192">
        <v>0.7237903588794764</v>
      </c>
      <c r="E157" s="193">
        <v>7</v>
      </c>
      <c r="F157" s="193">
        <v>97.8</v>
      </c>
      <c r="G157" s="194">
        <v>6</v>
      </c>
      <c r="H157" s="192">
        <f t="shared" si="2"/>
        <v>-6.2279999999999998</v>
      </c>
      <c r="I157" s="215"/>
      <c r="J157" s="216"/>
      <c r="K157" s="216"/>
      <c r="L157" s="217"/>
      <c r="M157" s="197" t="s">
        <v>323</v>
      </c>
    </row>
    <row r="158" spans="1:256">
      <c r="A158" s="198" t="s">
        <v>324</v>
      </c>
      <c r="B158" s="190">
        <v>-7.74</v>
      </c>
      <c r="C158" s="201"/>
      <c r="D158" s="192">
        <v>0.84033450922624497</v>
      </c>
      <c r="E158" s="193">
        <v>5</v>
      </c>
      <c r="F158" s="193">
        <v>262</v>
      </c>
      <c r="G158" s="194">
        <v>7.26</v>
      </c>
      <c r="H158" s="192">
        <f t="shared" si="2"/>
        <v>-9.129999999999999</v>
      </c>
      <c r="I158" s="215"/>
      <c r="J158" s="216"/>
      <c r="K158" s="216"/>
      <c r="L158" s="217"/>
      <c r="M158" s="197" t="s">
        <v>325</v>
      </c>
    </row>
    <row r="159" spans="1:256">
      <c r="A159" s="198" t="s">
        <v>326</v>
      </c>
      <c r="B159" s="190">
        <v>-6.5590000000000002</v>
      </c>
      <c r="C159" s="201"/>
      <c r="D159" s="192">
        <v>0.70969645885144073</v>
      </c>
      <c r="E159" s="193">
        <v>11</v>
      </c>
      <c r="F159" s="193">
        <v>149.6</v>
      </c>
      <c r="G159" s="194">
        <v>6.45</v>
      </c>
      <c r="H159" s="192">
        <f t="shared" si="2"/>
        <v>-7.1959999999999997</v>
      </c>
      <c r="I159" s="215"/>
      <c r="J159" s="216"/>
      <c r="K159" s="216"/>
      <c r="L159" s="217"/>
      <c r="M159" s="197" t="s">
        <v>327</v>
      </c>
    </row>
    <row r="160" spans="1:256">
      <c r="A160" s="189" t="s">
        <v>328</v>
      </c>
      <c r="B160" s="190">
        <v>-3.331</v>
      </c>
      <c r="C160" s="201"/>
      <c r="D160" s="192">
        <v>0.49644864464459931</v>
      </c>
      <c r="E160" s="193">
        <v>4</v>
      </c>
      <c r="F160" s="193">
        <v>304.5</v>
      </c>
      <c r="G160" s="194">
        <v>2.69</v>
      </c>
      <c r="H160" s="192">
        <f t="shared" si="2"/>
        <v>-4.9849999999999994</v>
      </c>
      <c r="I160" s="226"/>
      <c r="J160" s="220"/>
      <c r="K160" s="220"/>
      <c r="L160" s="221"/>
      <c r="M160" s="197" t="s">
        <v>329</v>
      </c>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77"/>
      <c r="AX160" s="177"/>
      <c r="AY160" s="177"/>
      <c r="AZ160" s="177"/>
      <c r="BA160" s="177"/>
      <c r="BB160" s="177"/>
      <c r="BC160" s="177"/>
      <c r="BD160" s="177"/>
      <c r="BE160" s="177"/>
      <c r="BF160" s="177"/>
      <c r="BG160" s="177"/>
      <c r="BH160" s="177"/>
      <c r="BI160" s="177"/>
      <c r="BJ160" s="177"/>
      <c r="BK160" s="177"/>
      <c r="BL160" s="177"/>
      <c r="BM160" s="177"/>
      <c r="BN160" s="177"/>
      <c r="BO160" s="177"/>
      <c r="BP160" s="177"/>
      <c r="BQ160" s="177"/>
      <c r="BR160" s="177"/>
      <c r="BS160" s="177"/>
      <c r="BT160" s="177"/>
      <c r="BU160" s="177"/>
      <c r="BV160" s="177"/>
      <c r="BW160" s="177"/>
      <c r="BX160" s="177"/>
      <c r="BY160" s="177"/>
      <c r="BZ160" s="177"/>
      <c r="CA160" s="177"/>
      <c r="CB160" s="177"/>
      <c r="CC160" s="177"/>
      <c r="CD160" s="177"/>
      <c r="CE160" s="177"/>
      <c r="CF160" s="177"/>
      <c r="CG160" s="177"/>
      <c r="CH160" s="177"/>
      <c r="CI160" s="177"/>
      <c r="CJ160" s="177"/>
      <c r="CK160" s="177"/>
      <c r="CL160" s="177"/>
      <c r="CM160" s="177"/>
      <c r="CN160" s="177"/>
      <c r="CO160" s="177"/>
      <c r="CP160" s="177"/>
      <c r="CQ160" s="177"/>
      <c r="CR160" s="177"/>
      <c r="CS160" s="177"/>
      <c r="CT160" s="177"/>
      <c r="CU160" s="177"/>
      <c r="CV160" s="177"/>
      <c r="CW160" s="177"/>
      <c r="CX160" s="177"/>
      <c r="CY160" s="177"/>
      <c r="CZ160" s="177"/>
      <c r="DA160" s="177"/>
      <c r="DB160" s="177"/>
      <c r="DC160" s="177"/>
      <c r="DD160" s="177"/>
      <c r="DE160" s="177"/>
      <c r="DF160" s="177"/>
      <c r="DG160" s="177"/>
      <c r="DH160" s="177"/>
      <c r="DI160" s="177"/>
      <c r="DJ160" s="177"/>
      <c r="DK160" s="177"/>
      <c r="DL160" s="177"/>
      <c r="DM160" s="177"/>
      <c r="DN160" s="177"/>
      <c r="DO160" s="177"/>
      <c r="DP160" s="177"/>
      <c r="DQ160" s="177"/>
      <c r="DR160" s="177"/>
      <c r="DS160" s="177"/>
      <c r="DT160" s="177"/>
      <c r="DU160" s="177"/>
      <c r="DV160" s="177"/>
      <c r="DW160" s="177"/>
      <c r="DX160" s="177"/>
      <c r="DY160" s="177"/>
      <c r="DZ160" s="177"/>
      <c r="EA160" s="177"/>
      <c r="EB160" s="177"/>
      <c r="EC160" s="177"/>
      <c r="ED160" s="177"/>
      <c r="EE160" s="177"/>
      <c r="EF160" s="177"/>
      <c r="EG160" s="177"/>
      <c r="EH160" s="177"/>
      <c r="EI160" s="177"/>
      <c r="EJ160" s="177"/>
      <c r="EK160" s="177"/>
      <c r="EL160" s="177"/>
      <c r="EM160" s="177"/>
      <c r="EN160" s="177"/>
      <c r="EO160" s="177"/>
      <c r="EP160" s="177"/>
      <c r="EQ160" s="177"/>
      <c r="ER160" s="177"/>
      <c r="ES160" s="177"/>
      <c r="ET160" s="177"/>
      <c r="EU160" s="177"/>
      <c r="EV160" s="177"/>
      <c r="EW160" s="177"/>
      <c r="EX160" s="177"/>
      <c r="EY160" s="177"/>
      <c r="EZ160" s="177"/>
      <c r="FA160" s="177"/>
      <c r="FB160" s="177"/>
      <c r="FC160" s="177"/>
      <c r="FD160" s="177"/>
      <c r="FE160" s="177"/>
      <c r="FF160" s="177"/>
      <c r="FG160" s="177"/>
      <c r="FH160" s="177"/>
      <c r="FI160" s="177"/>
      <c r="FJ160" s="177"/>
      <c r="FK160" s="177"/>
      <c r="FL160" s="177"/>
      <c r="FM160" s="177"/>
      <c r="FN160" s="177"/>
      <c r="FO160" s="177"/>
      <c r="FP160" s="177"/>
      <c r="FQ160" s="177"/>
      <c r="FR160" s="177"/>
      <c r="FS160" s="177"/>
      <c r="FT160" s="177"/>
      <c r="FU160" s="177"/>
      <c r="FV160" s="177"/>
      <c r="FW160" s="177"/>
      <c r="FX160" s="177"/>
      <c r="FY160" s="177"/>
      <c r="FZ160" s="177"/>
      <c r="GA160" s="177"/>
      <c r="GB160" s="177"/>
      <c r="GC160" s="177"/>
      <c r="GD160" s="177"/>
      <c r="GE160" s="177"/>
      <c r="GF160" s="177"/>
      <c r="GG160" s="177"/>
      <c r="GH160" s="177"/>
      <c r="GI160" s="177"/>
      <c r="GJ160" s="177"/>
      <c r="GK160" s="177"/>
      <c r="GL160" s="177"/>
      <c r="GM160" s="177"/>
      <c r="GN160" s="177"/>
      <c r="GO160" s="177"/>
      <c r="GP160" s="177"/>
      <c r="GQ160" s="177"/>
      <c r="GR160" s="177"/>
      <c r="GS160" s="177"/>
      <c r="GT160" s="177"/>
      <c r="GU160" s="177"/>
      <c r="GV160" s="177"/>
      <c r="GW160" s="177"/>
      <c r="GX160" s="177"/>
      <c r="GY160" s="177"/>
      <c r="GZ160" s="177"/>
      <c r="HA160" s="177"/>
      <c r="HB160" s="177"/>
      <c r="HC160" s="177"/>
      <c r="HD160" s="177"/>
      <c r="HE160" s="177"/>
      <c r="HF160" s="177"/>
      <c r="HG160" s="177"/>
      <c r="HH160" s="177"/>
      <c r="HI160" s="177"/>
      <c r="HJ160" s="177"/>
      <c r="HK160" s="177"/>
      <c r="HL160" s="177"/>
      <c r="HM160" s="177"/>
      <c r="HN160" s="177"/>
      <c r="HO160" s="177"/>
      <c r="HP160" s="177"/>
      <c r="HQ160" s="177"/>
      <c r="HR160" s="177"/>
      <c r="HS160" s="177"/>
      <c r="HT160" s="177"/>
      <c r="HU160" s="177"/>
      <c r="HV160" s="177"/>
      <c r="HW160" s="177"/>
      <c r="HX160" s="177"/>
      <c r="HY160" s="177"/>
      <c r="HZ160" s="177"/>
      <c r="IA160" s="177"/>
      <c r="IB160" s="177"/>
      <c r="IC160" s="177"/>
      <c r="ID160" s="177"/>
      <c r="IE160" s="177"/>
      <c r="IF160" s="177"/>
      <c r="IG160" s="177"/>
      <c r="IH160" s="177"/>
      <c r="II160" s="177"/>
      <c r="IJ160" s="177"/>
      <c r="IK160" s="177"/>
      <c r="IL160" s="177"/>
      <c r="IM160" s="177"/>
      <c r="IN160" s="177"/>
      <c r="IO160" s="177"/>
      <c r="IP160" s="177"/>
      <c r="IQ160" s="177"/>
      <c r="IR160" s="177"/>
      <c r="IS160" s="177"/>
      <c r="IT160" s="177"/>
      <c r="IU160" s="177"/>
      <c r="IV160" s="177"/>
    </row>
    <row r="161" spans="1:28">
      <c r="A161" s="177"/>
      <c r="B161" s="177"/>
      <c r="C161" s="227" t="s">
        <v>261</v>
      </c>
      <c r="D161" s="228">
        <f>AVERAGE(D129:D160)</f>
        <v>0.61629001144944573</v>
      </c>
      <c r="E161" s="177"/>
      <c r="F161" s="177"/>
      <c r="G161" s="177"/>
      <c r="H161" s="231" t="s">
        <v>262</v>
      </c>
      <c r="I161" s="232"/>
      <c r="J161" s="232"/>
      <c r="K161" s="232"/>
      <c r="L161" s="232"/>
      <c r="M161" s="177"/>
      <c r="N161" s="177"/>
      <c r="O161" s="177"/>
      <c r="P161" s="177"/>
      <c r="Q161" s="177"/>
      <c r="R161" s="177"/>
      <c r="S161" s="177"/>
      <c r="T161" s="177"/>
      <c r="U161" s="177"/>
      <c r="V161" s="177"/>
      <c r="W161" s="177"/>
      <c r="X161" s="177"/>
      <c r="Y161" s="177"/>
      <c r="Z161" s="177"/>
      <c r="AA161" s="177"/>
      <c r="AB161" s="177"/>
    </row>
    <row r="162" spans="1:28">
      <c r="A162" s="197"/>
      <c r="C162" s="227" t="s">
        <v>263</v>
      </c>
      <c r="D162" s="228">
        <f>MIN(D129:D160)</f>
        <v>0.49644864464459931</v>
      </c>
      <c r="E162" s="229"/>
      <c r="F162" s="230"/>
      <c r="G162" s="230"/>
      <c r="H162" s="231" t="s">
        <v>330</v>
      </c>
      <c r="I162" s="230"/>
      <c r="J162" s="194"/>
      <c r="K162" s="194"/>
      <c r="L162" s="194"/>
      <c r="M162" s="197"/>
    </row>
    <row r="163" spans="1:28">
      <c r="A163" s="197"/>
      <c r="C163" s="227" t="s">
        <v>265</v>
      </c>
      <c r="D163" s="228">
        <f>MAX(D129:D160)</f>
        <v>0.92735432696895004</v>
      </c>
      <c r="E163" s="229"/>
      <c r="F163" s="230"/>
      <c r="G163" s="230"/>
      <c r="H163" s="231"/>
      <c r="I163" s="230"/>
      <c r="J163" s="194"/>
      <c r="K163" s="194"/>
      <c r="L163" s="194"/>
      <c r="M163" s="197"/>
    </row>
    <row r="165" spans="1:28">
      <c r="A165" s="176" t="s">
        <v>637</v>
      </c>
    </row>
    <row r="166" spans="1:28">
      <c r="A166" s="176" t="s">
        <v>332</v>
      </c>
    </row>
    <row r="168" spans="1:28">
      <c r="A168" s="176" t="s">
        <v>333</v>
      </c>
    </row>
    <row r="169" spans="1:28">
      <c r="A169" s="176" t="s">
        <v>638</v>
      </c>
    </row>
    <row r="170" spans="1:28" ht="15.75" customHeight="1"/>
    <row r="171" spans="1:28" ht="19">
      <c r="A171" s="233" t="s">
        <v>335</v>
      </c>
    </row>
    <row r="172" spans="1:28" ht="18">
      <c r="A172" s="234" t="s">
        <v>639</v>
      </c>
    </row>
    <row r="173" spans="1:28" ht="16">
      <c r="A173" s="234" t="s">
        <v>640</v>
      </c>
    </row>
    <row r="174" spans="1:28">
      <c r="A174" s="235" t="s">
        <v>641</v>
      </c>
    </row>
    <row r="175" spans="1:28">
      <c r="A175" s="236" t="s">
        <v>642</v>
      </c>
    </row>
    <row r="176" spans="1:28">
      <c r="A176" s="237" t="s">
        <v>643</v>
      </c>
    </row>
    <row r="177" spans="1:1">
      <c r="A177" s="176" t="s">
        <v>644</v>
      </c>
    </row>
    <row r="178" spans="1:1">
      <c r="A178" s="238" t="s">
        <v>645</v>
      </c>
    </row>
    <row r="179" spans="1:1">
      <c r="A179" s="176" t="s">
        <v>646</v>
      </c>
    </row>
    <row r="180" spans="1:1">
      <c r="A180" s="237" t="s">
        <v>647</v>
      </c>
    </row>
    <row r="181" spans="1:1">
      <c r="A181" s="176" t="s">
        <v>648</v>
      </c>
    </row>
    <row r="182" spans="1:1">
      <c r="A182" s="176" t="s">
        <v>649</v>
      </c>
    </row>
    <row r="183" spans="1:1">
      <c r="A183" s="235" t="s">
        <v>650</v>
      </c>
    </row>
    <row r="184" spans="1:1">
      <c r="A184" s="235" t="s">
        <v>651</v>
      </c>
    </row>
    <row r="185" spans="1:1">
      <c r="A185" s="176" t="s">
        <v>652</v>
      </c>
    </row>
    <row r="186" spans="1:1">
      <c r="A186" s="176" t="s">
        <v>653</v>
      </c>
    </row>
    <row r="187" spans="1:1">
      <c r="A187" s="238" t="s">
        <v>654</v>
      </c>
    </row>
    <row r="188" spans="1:1">
      <c r="A188" s="238" t="s">
        <v>655</v>
      </c>
    </row>
    <row r="189" spans="1:1">
      <c r="A189" s="237" t="s">
        <v>656</v>
      </c>
    </row>
    <row r="190" spans="1:1">
      <c r="A190" s="238" t="s">
        <v>657</v>
      </c>
    </row>
    <row r="191" spans="1:1">
      <c r="A191" s="176" t="s">
        <v>658</v>
      </c>
    </row>
    <row r="193" spans="1:17">
      <c r="A193" s="238" t="s">
        <v>659</v>
      </c>
    </row>
    <row r="194" spans="1:17">
      <c r="A194" s="157" t="s">
        <v>660</v>
      </c>
      <c r="B194" s="158"/>
      <c r="C194" s="158"/>
      <c r="D194" s="158"/>
      <c r="E194" s="158"/>
      <c r="F194" s="158"/>
      <c r="G194" s="158"/>
      <c r="H194" s="158"/>
      <c r="I194" s="158"/>
      <c r="J194" s="158"/>
      <c r="K194" s="158"/>
      <c r="L194" s="158"/>
      <c r="M194" s="158"/>
      <c r="N194" s="158"/>
      <c r="O194" s="158"/>
      <c r="P194" s="158"/>
      <c r="Q194" s="159"/>
    </row>
    <row r="195" spans="1:17">
      <c r="A195" s="157" t="s">
        <v>661</v>
      </c>
      <c r="B195" s="160"/>
      <c r="C195" s="160"/>
      <c r="D195" s="160"/>
      <c r="E195" s="160"/>
      <c r="F195" s="160"/>
      <c r="G195" s="160"/>
      <c r="H195" s="160"/>
      <c r="I195" s="160"/>
      <c r="J195" s="160"/>
      <c r="K195" s="160"/>
      <c r="L195" s="160"/>
      <c r="M195" s="160"/>
      <c r="N195" s="160"/>
      <c r="O195" s="160"/>
      <c r="P195" s="160"/>
      <c r="Q195" s="160"/>
    </row>
  </sheetData>
  <sheetProtection formatCells="0" formatColumns="0" formatRows="0" insertColumns="0" insertRows="0" insertHyperlinks="0" deleteColumns="0" deleteRows="0" selectLockedCells="1" sort="0" autoFilter="0" pivotTables="0" selectUnlockedCells="1"/>
  <pageMargins left="0" right="0" top="0" bottom="0" header="0.3" footer="0.3"/>
  <pageSetup scale="54" orientation="landscape" cellComments="asDisplayed"/>
  <headerFooter>
    <oddHeader>&amp;C&amp;A</oddHeader>
    <oddFooter>&amp;CPage &amp;P</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A00F1-9DC2-4B2B-A9E9-58068E7FDB3F}">
  <dimension ref="A1:AB195"/>
  <sheetViews>
    <sheetView workbookViewId="0">
      <selection activeCell="B4" sqref="B4:B9"/>
    </sheetView>
  </sheetViews>
  <sheetFormatPr baseColWidth="10" defaultColWidth="9.1640625" defaultRowHeight="15"/>
  <cols>
    <col min="1" max="1" width="18.83203125" customWidth="1"/>
    <col min="2" max="3" width="11.33203125" customWidth="1"/>
    <col min="4" max="4" width="7.6640625" customWidth="1"/>
    <col min="5" max="5" width="7.83203125" customWidth="1"/>
    <col min="6" max="6" width="10.1640625" customWidth="1"/>
    <col min="7" max="7" width="11.5" customWidth="1"/>
    <col min="9" max="9" width="13.1640625" customWidth="1"/>
    <col min="10" max="10" width="5.3320312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118"/>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t="s">
        <v>367</v>
      </c>
      <c r="C14" t="s">
        <v>11</v>
      </c>
    </row>
    <row r="15" spans="1:25" s="90" customFormat="1">
      <c r="A15" s="89" t="s">
        <v>12</v>
      </c>
    </row>
    <row r="16" spans="1:25">
      <c r="B16" s="117"/>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s="39">
        <v>-1.74</v>
      </c>
      <c r="C23" s="73" t="s">
        <v>30</v>
      </c>
      <c r="D23" s="12">
        <v>0.17592262140645501</v>
      </c>
      <c r="E23" s="10">
        <v>11</v>
      </c>
      <c r="F23" s="10">
        <v>258.5</v>
      </c>
      <c r="G23" s="6">
        <v>-0.86</v>
      </c>
      <c r="H23" s="14">
        <f t="shared" ref="H23:H54" si="0">0.5-G23-0.01*(F23-25)</f>
        <v>-0.97500000000000009</v>
      </c>
      <c r="I23" s="53" t="s">
        <v>31</v>
      </c>
      <c r="J23" s="54" t="s">
        <v>367</v>
      </c>
      <c r="K23" s="14"/>
      <c r="L23" s="14"/>
      <c r="M23" s="11" t="s">
        <v>33</v>
      </c>
    </row>
    <row r="24" spans="1:28">
      <c r="A24" s="82" t="s">
        <v>35</v>
      </c>
      <c r="B24" s="39">
        <v>-1.89</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s="39">
        <v>-3.49</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s="39">
        <v>-3.73</v>
      </c>
      <c r="C26" s="73" t="s">
        <v>46</v>
      </c>
      <c r="D26" s="12">
        <v>0.16999222507469616</v>
      </c>
      <c r="E26" s="10">
        <v>3</v>
      </c>
      <c r="F26" s="10">
        <v>234</v>
      </c>
      <c r="G26" s="6">
        <v>3.19</v>
      </c>
      <c r="H26" s="14">
        <f t="shared" si="0"/>
        <v>-4.7799999999999994</v>
      </c>
      <c r="I26" s="15" t="s">
        <v>47</v>
      </c>
      <c r="J26" s="29"/>
      <c r="K26" s="14"/>
      <c r="L26" s="14"/>
      <c r="M26" s="11" t="s">
        <v>48</v>
      </c>
    </row>
    <row r="27" spans="1:28">
      <c r="A27" s="82" t="s">
        <v>50</v>
      </c>
      <c r="B27" s="39">
        <v>-5.0999999999999996</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s="39">
        <v>-5.05</v>
      </c>
      <c r="C28" s="71"/>
      <c r="D28" s="12">
        <v>0.18412396392404196</v>
      </c>
      <c r="E28" s="10">
        <v>3</v>
      </c>
      <c r="F28" s="10">
        <v>224.00000000000003</v>
      </c>
      <c r="G28" s="6">
        <v>5.51</v>
      </c>
      <c r="H28" s="14">
        <f t="shared" si="0"/>
        <v>-7</v>
      </c>
      <c r="I28" s="15" t="s">
        <v>56</v>
      </c>
      <c r="J28" s="29"/>
      <c r="K28" s="14"/>
      <c r="L28" s="14"/>
      <c r="M28" s="11" t="s">
        <v>57</v>
      </c>
    </row>
    <row r="29" spans="1:28">
      <c r="A29" s="81" t="s">
        <v>59</v>
      </c>
      <c r="B29" s="39">
        <v>-2.78</v>
      </c>
      <c r="C29" s="71"/>
      <c r="D29" s="12">
        <v>0.14933733874523175</v>
      </c>
      <c r="E29" s="10">
        <v>6</v>
      </c>
      <c r="F29" s="10">
        <v>172.5</v>
      </c>
      <c r="G29" s="6">
        <v>1.78</v>
      </c>
      <c r="H29" s="14">
        <f t="shared" si="0"/>
        <v>-2.7549999999999999</v>
      </c>
      <c r="I29" s="15" t="s">
        <v>60</v>
      </c>
      <c r="J29" s="31"/>
      <c r="K29" s="14"/>
      <c r="L29" s="14"/>
      <c r="M29" s="11" t="s">
        <v>61</v>
      </c>
    </row>
    <row r="30" spans="1:28">
      <c r="A30" s="81" t="s">
        <v>63</v>
      </c>
      <c r="B30" s="39">
        <v>-1.23</v>
      </c>
      <c r="C30" s="71"/>
      <c r="D30" s="12">
        <v>0.14842266063120066</v>
      </c>
      <c r="E30" s="10">
        <v>4</v>
      </c>
      <c r="F30" s="10">
        <v>207.50000000000003</v>
      </c>
      <c r="G30" s="6">
        <v>1.86</v>
      </c>
      <c r="H30" s="14">
        <f t="shared" si="0"/>
        <v>-3.1850000000000005</v>
      </c>
      <c r="I30" s="30" t="s">
        <v>64</v>
      </c>
      <c r="J30" s="32"/>
      <c r="K30" s="33"/>
      <c r="L30" s="34"/>
      <c r="M30" s="11" t="s">
        <v>65</v>
      </c>
    </row>
    <row r="31" spans="1:28">
      <c r="A31" s="83" t="s">
        <v>66</v>
      </c>
      <c r="B31" s="39">
        <v>-2.58</v>
      </c>
      <c r="C31" s="71"/>
      <c r="D31" s="12">
        <v>0.1617973106900604</v>
      </c>
      <c r="E31" s="10">
        <v>10</v>
      </c>
      <c r="F31" s="10">
        <v>166.5</v>
      </c>
      <c r="G31" s="6">
        <v>0.79</v>
      </c>
      <c r="H31" s="14">
        <f t="shared" si="0"/>
        <v>-1.7050000000000001</v>
      </c>
      <c r="J31" s="14"/>
      <c r="K31" s="14"/>
      <c r="L31" s="14"/>
      <c r="M31" s="11" t="s">
        <v>67</v>
      </c>
    </row>
    <row r="32" spans="1:28">
      <c r="A32" s="82" t="s">
        <v>68</v>
      </c>
      <c r="B32" s="39">
        <v>-4.78</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s="39">
        <v>-3.82</v>
      </c>
      <c r="C33" s="72"/>
      <c r="D33" s="4">
        <v>0.12912520605069597</v>
      </c>
      <c r="E33" s="2">
        <v>3</v>
      </c>
      <c r="F33" s="13">
        <v>192.7</v>
      </c>
      <c r="G33" s="6">
        <v>2.63</v>
      </c>
      <c r="H33" s="14">
        <f t="shared" si="0"/>
        <v>-3.8069999999999995</v>
      </c>
      <c r="I33" s="124" t="s">
        <v>632</v>
      </c>
      <c r="J33" s="21"/>
      <c r="K33" s="21"/>
      <c r="L33" s="22"/>
      <c r="M33" s="11" t="s">
        <v>72</v>
      </c>
    </row>
    <row r="34" spans="1:13">
      <c r="A34" s="81" t="s">
        <v>74</v>
      </c>
      <c r="B34" s="39">
        <v>-7.36</v>
      </c>
      <c r="C34" s="71"/>
      <c r="D34" s="12">
        <v>0.14911462098310888</v>
      </c>
      <c r="E34" s="10">
        <v>6</v>
      </c>
      <c r="F34" s="10">
        <v>167</v>
      </c>
      <c r="G34" s="6">
        <v>6.32</v>
      </c>
      <c r="H34" s="14">
        <f t="shared" si="0"/>
        <v>-7.24</v>
      </c>
      <c r="I34" s="23"/>
      <c r="J34" s="7"/>
      <c r="K34" s="7"/>
      <c r="L34" s="24"/>
      <c r="M34" s="11" t="s">
        <v>75</v>
      </c>
    </row>
    <row r="35" spans="1:13">
      <c r="A35" s="82" t="s">
        <v>77</v>
      </c>
      <c r="B35" s="39">
        <v>-4.0599999999999996</v>
      </c>
      <c r="C35" s="71"/>
      <c r="D35" s="12">
        <v>0.15809078703524676</v>
      </c>
      <c r="E35" s="10">
        <v>15</v>
      </c>
      <c r="F35" s="10">
        <v>191.5</v>
      </c>
      <c r="G35" s="6">
        <v>3.39</v>
      </c>
      <c r="H35" s="14">
        <f t="shared" si="0"/>
        <v>-4.5549999999999997</v>
      </c>
      <c r="I35" s="23"/>
      <c r="J35" s="7"/>
      <c r="K35" s="7"/>
      <c r="L35" s="24"/>
      <c r="M35" s="11" t="s">
        <v>78</v>
      </c>
    </row>
    <row r="36" spans="1:13">
      <c r="A36" s="83" t="s">
        <v>80</v>
      </c>
      <c r="B36" s="39">
        <v>-4.47</v>
      </c>
      <c r="C36" s="71"/>
      <c r="D36" s="12">
        <v>0.1911503089068218</v>
      </c>
      <c r="E36" s="10">
        <v>3</v>
      </c>
      <c r="F36" s="10">
        <v>246.2</v>
      </c>
      <c r="G36" s="6">
        <v>3.32</v>
      </c>
      <c r="H36" s="14">
        <f t="shared" si="0"/>
        <v>-5.032</v>
      </c>
      <c r="I36" s="25"/>
      <c r="J36" s="7"/>
      <c r="K36" s="7"/>
      <c r="L36" s="24"/>
      <c r="M36" s="11" t="s">
        <v>81</v>
      </c>
    </row>
    <row r="37" spans="1:13">
      <c r="A37" s="83" t="s">
        <v>73</v>
      </c>
      <c r="B37" s="39">
        <v>-2.57</v>
      </c>
      <c r="C37" s="71"/>
      <c r="D37" s="12">
        <v>0.19050575600734274</v>
      </c>
      <c r="E37" s="10">
        <v>4</v>
      </c>
      <c r="F37" s="10">
        <v>304</v>
      </c>
      <c r="G37" s="6">
        <v>1.74</v>
      </c>
      <c r="H37" s="14">
        <f t="shared" si="0"/>
        <v>-4.03</v>
      </c>
      <c r="I37" s="25"/>
      <c r="J37" s="7"/>
      <c r="K37" s="7"/>
      <c r="L37" s="24"/>
      <c r="M37" s="11" t="s">
        <v>83</v>
      </c>
    </row>
    <row r="38" spans="1:13">
      <c r="A38" s="81" t="s">
        <v>76</v>
      </c>
      <c r="B38" s="39">
        <v>-3.6</v>
      </c>
      <c r="C38" s="71"/>
      <c r="D38" s="12">
        <v>0.13682393527498057</v>
      </c>
      <c r="E38" s="10">
        <v>7</v>
      </c>
      <c r="F38" s="10">
        <v>187</v>
      </c>
      <c r="G38" s="6">
        <v>-0.87</v>
      </c>
      <c r="H38" s="14">
        <f t="shared" si="0"/>
        <v>-0.25</v>
      </c>
      <c r="I38" s="25"/>
      <c r="J38" s="7"/>
      <c r="K38" s="7"/>
      <c r="L38" s="24"/>
      <c r="M38" s="66" t="s">
        <v>85</v>
      </c>
    </row>
    <row r="39" spans="1:13">
      <c r="A39" s="81" t="s">
        <v>87</v>
      </c>
      <c r="B39" s="39">
        <v>-2.31</v>
      </c>
      <c r="C39" s="71"/>
      <c r="D39" s="12">
        <v>0.20462356367492032</v>
      </c>
      <c r="E39" s="10">
        <v>4</v>
      </c>
      <c r="F39" s="10">
        <v>221.5</v>
      </c>
      <c r="G39" s="6">
        <v>0.71</v>
      </c>
      <c r="H39" s="14">
        <f t="shared" si="0"/>
        <v>-2.1749999999999998</v>
      </c>
      <c r="I39" s="25"/>
      <c r="J39" s="7"/>
      <c r="K39" s="7"/>
      <c r="L39" s="24"/>
      <c r="M39" s="11" t="s">
        <v>88</v>
      </c>
    </row>
    <row r="40" spans="1:13">
      <c r="A40" s="81" t="s">
        <v>90</v>
      </c>
      <c r="B40" s="39">
        <v>-4.7699999999999996</v>
      </c>
      <c r="C40" s="71"/>
      <c r="D40" s="12">
        <v>0.18274602564465547</v>
      </c>
      <c r="E40" s="10">
        <v>6</v>
      </c>
      <c r="F40" s="10">
        <v>157.83333333333334</v>
      </c>
      <c r="G40" s="6">
        <v>3.51</v>
      </c>
      <c r="H40" s="14">
        <f t="shared" si="0"/>
        <v>-4.3383333333333329</v>
      </c>
      <c r="I40" s="25"/>
      <c r="J40" s="39"/>
      <c r="K40" s="39"/>
      <c r="L40" s="40"/>
      <c r="M40" s="11" t="s">
        <v>91</v>
      </c>
    </row>
    <row r="41" spans="1:13">
      <c r="A41" s="84" t="s">
        <v>93</v>
      </c>
      <c r="B41" s="39">
        <v>-1.23</v>
      </c>
      <c r="C41" s="72"/>
      <c r="D41" s="4">
        <v>0.12610247911779729</v>
      </c>
      <c r="E41" s="2">
        <v>8</v>
      </c>
      <c r="F41" s="10">
        <v>140</v>
      </c>
      <c r="G41" s="6">
        <v>0.35</v>
      </c>
      <c r="H41" s="14">
        <f t="shared" si="0"/>
        <v>-1</v>
      </c>
      <c r="I41" s="25"/>
      <c r="J41" s="39"/>
      <c r="K41" s="39"/>
      <c r="L41" s="40"/>
      <c r="M41" s="11" t="s">
        <v>94</v>
      </c>
    </row>
    <row r="42" spans="1:13">
      <c r="A42" s="82" t="s">
        <v>96</v>
      </c>
      <c r="B42" s="39">
        <v>-3.86</v>
      </c>
      <c r="C42" s="71"/>
      <c r="D42" s="12">
        <v>0.14493441954543959</v>
      </c>
      <c r="E42" s="10">
        <v>7</v>
      </c>
      <c r="F42" s="10">
        <v>127.93333333333334</v>
      </c>
      <c r="G42" s="6">
        <v>1.74</v>
      </c>
      <c r="H42" s="14">
        <f t="shared" si="0"/>
        <v>-2.2693333333333334</v>
      </c>
      <c r="I42" s="25"/>
      <c r="J42" s="39"/>
      <c r="K42" s="39"/>
      <c r="L42" s="40"/>
      <c r="M42" s="11" t="s">
        <v>97</v>
      </c>
    </row>
    <row r="43" spans="1:13">
      <c r="A43" s="82" t="s">
        <v>79</v>
      </c>
      <c r="B43" s="39">
        <v>-5.12</v>
      </c>
      <c r="C43" s="71"/>
      <c r="D43" s="12">
        <v>0.14861388626870758</v>
      </c>
      <c r="E43" s="10">
        <v>7</v>
      </c>
      <c r="F43" s="10">
        <v>176</v>
      </c>
      <c r="G43" s="6">
        <v>4.4800000000000004</v>
      </c>
      <c r="H43" s="14">
        <f t="shared" si="0"/>
        <v>-5.49</v>
      </c>
      <c r="I43" s="25"/>
      <c r="J43" s="39"/>
      <c r="K43" s="39"/>
      <c r="L43" s="40"/>
      <c r="M43" s="11" t="s">
        <v>99</v>
      </c>
    </row>
    <row r="44" spans="1:13">
      <c r="A44" s="85" t="s">
        <v>101</v>
      </c>
      <c r="B44" s="39">
        <v>-4.46</v>
      </c>
      <c r="C44" s="72"/>
      <c r="D44" s="4">
        <v>0.1280711495400205</v>
      </c>
      <c r="E44" s="2">
        <v>3</v>
      </c>
      <c r="F44" s="10">
        <v>159.69999999999999</v>
      </c>
      <c r="G44" s="6">
        <v>3.46</v>
      </c>
      <c r="H44" s="14">
        <f t="shared" si="0"/>
        <v>-4.3070000000000004</v>
      </c>
      <c r="I44" s="25"/>
      <c r="J44" s="39"/>
      <c r="K44" s="39"/>
      <c r="L44" s="40"/>
      <c r="M44" s="11" t="s">
        <v>102</v>
      </c>
    </row>
    <row r="45" spans="1:13">
      <c r="A45" s="84" t="s">
        <v>104</v>
      </c>
      <c r="B45" s="39">
        <v>-1.54</v>
      </c>
      <c r="C45" s="72"/>
      <c r="D45" s="4">
        <v>0.21683500301481054</v>
      </c>
      <c r="E45" s="2">
        <v>8</v>
      </c>
      <c r="F45" s="10">
        <v>142</v>
      </c>
      <c r="G45" s="6">
        <v>0.6</v>
      </c>
      <c r="H45" s="14">
        <f t="shared" si="0"/>
        <v>-1.27</v>
      </c>
      <c r="I45" s="25"/>
      <c r="J45" s="39"/>
      <c r="K45" s="39"/>
      <c r="L45" s="40"/>
      <c r="M45" s="11" t="s">
        <v>105</v>
      </c>
    </row>
    <row r="46" spans="1:13">
      <c r="A46" s="82" t="s">
        <v>107</v>
      </c>
      <c r="B46" s="39">
        <v>-3.13</v>
      </c>
      <c r="C46" s="71"/>
      <c r="D46" s="12">
        <v>0.18255878892749886</v>
      </c>
      <c r="E46" s="10">
        <v>20</v>
      </c>
      <c r="F46" s="10">
        <v>267</v>
      </c>
      <c r="G46" s="6">
        <v>1.58</v>
      </c>
      <c r="H46" s="14">
        <f t="shared" si="0"/>
        <v>-3.5</v>
      </c>
      <c r="I46" s="25"/>
      <c r="J46" s="39"/>
      <c r="K46" s="39"/>
      <c r="L46" s="40"/>
      <c r="M46" s="11" t="s">
        <v>108</v>
      </c>
    </row>
    <row r="47" spans="1:13">
      <c r="A47" s="81" t="s">
        <v>110</v>
      </c>
      <c r="B47" s="39">
        <v>-4.07</v>
      </c>
      <c r="C47" s="71"/>
      <c r="D47" s="12">
        <v>0.16704647063532602</v>
      </c>
      <c r="E47" s="10">
        <v>6</v>
      </c>
      <c r="F47" s="10">
        <v>110.00000000000001</v>
      </c>
      <c r="G47" s="6">
        <v>3.36</v>
      </c>
      <c r="H47" s="14">
        <f t="shared" si="0"/>
        <v>-3.71</v>
      </c>
      <c r="I47" s="25"/>
      <c r="J47" s="39"/>
      <c r="K47" s="39"/>
      <c r="L47" s="40"/>
      <c r="M47" s="11" t="s">
        <v>111</v>
      </c>
    </row>
    <row r="48" spans="1:13">
      <c r="A48" s="82" t="s">
        <v>82</v>
      </c>
      <c r="B48" s="39">
        <v>-3.41</v>
      </c>
      <c r="C48" s="71"/>
      <c r="D48" s="12">
        <v>0.17164501312359953</v>
      </c>
      <c r="E48" s="10">
        <v>7</v>
      </c>
      <c r="F48" s="10">
        <v>182</v>
      </c>
      <c r="G48" s="6">
        <v>2.67</v>
      </c>
      <c r="H48" s="14">
        <f t="shared" si="0"/>
        <v>-3.74</v>
      </c>
      <c r="I48" s="25"/>
      <c r="J48" s="39"/>
      <c r="K48" s="39"/>
      <c r="L48" s="40"/>
      <c r="M48" s="11" t="s">
        <v>113</v>
      </c>
    </row>
    <row r="49" spans="1:13">
      <c r="A49" s="84" t="s">
        <v>115</v>
      </c>
      <c r="B49" s="39">
        <v>-2.97</v>
      </c>
      <c r="C49" s="72"/>
      <c r="D49" s="4">
        <v>0.12558353028546052</v>
      </c>
      <c r="E49" s="2">
        <v>4</v>
      </c>
      <c r="F49" s="10">
        <v>222.00000000000003</v>
      </c>
      <c r="G49" s="6">
        <v>2.56</v>
      </c>
      <c r="H49" s="14">
        <f t="shared" si="0"/>
        <v>-4.03</v>
      </c>
      <c r="I49" s="25"/>
      <c r="J49" s="39"/>
      <c r="K49" s="39"/>
      <c r="L49" s="40"/>
      <c r="M49" s="11" t="s">
        <v>116</v>
      </c>
    </row>
    <row r="50" spans="1:13">
      <c r="A50" s="82" t="s">
        <v>118</v>
      </c>
      <c r="B50" s="39">
        <v>-10.09</v>
      </c>
      <c r="C50" s="71"/>
      <c r="D50" s="12">
        <v>0.1568133990664792</v>
      </c>
      <c r="E50" s="10">
        <v>6</v>
      </c>
      <c r="F50" s="10">
        <v>151</v>
      </c>
      <c r="G50" s="6">
        <v>3.27</v>
      </c>
      <c r="H50" s="14">
        <f t="shared" si="0"/>
        <v>-4.03</v>
      </c>
      <c r="I50" s="25"/>
      <c r="J50" s="39"/>
      <c r="K50" s="39"/>
      <c r="L50" s="40"/>
      <c r="M50" s="11" t="s">
        <v>119</v>
      </c>
    </row>
    <row r="51" spans="1:13">
      <c r="A51" s="85" t="s">
        <v>84</v>
      </c>
      <c r="B51" s="39">
        <v>-3.82</v>
      </c>
      <c r="C51" s="72"/>
      <c r="D51" s="4">
        <v>0.12789394574374285</v>
      </c>
      <c r="E51" s="2">
        <v>5</v>
      </c>
      <c r="F51" s="10">
        <v>330</v>
      </c>
      <c r="G51" s="6">
        <v>2.87</v>
      </c>
      <c r="H51" s="14">
        <f t="shared" si="0"/>
        <v>-5.42</v>
      </c>
      <c r="I51" s="25"/>
      <c r="J51" s="39"/>
      <c r="K51" s="39"/>
      <c r="L51" s="40"/>
      <c r="M51" s="11" t="s">
        <v>120</v>
      </c>
    </row>
    <row r="52" spans="1:13">
      <c r="A52" s="82" t="s">
        <v>121</v>
      </c>
      <c r="B52" s="39">
        <v>-4.24</v>
      </c>
      <c r="C52" s="71"/>
      <c r="D52" s="12">
        <v>0.18012800124370357</v>
      </c>
      <c r="E52" s="10">
        <v>3</v>
      </c>
      <c r="F52" s="10">
        <v>100</v>
      </c>
      <c r="G52" s="6">
        <v>3.53</v>
      </c>
      <c r="H52" s="14">
        <f t="shared" si="0"/>
        <v>-3.78</v>
      </c>
      <c r="I52" s="23"/>
      <c r="J52" s="7"/>
      <c r="K52" s="7"/>
      <c r="L52" s="24"/>
      <c r="M52" s="11" t="s">
        <v>122</v>
      </c>
    </row>
    <row r="53" spans="1:13">
      <c r="A53" s="81" t="s">
        <v>123</v>
      </c>
      <c r="B53" s="39">
        <v>-3.66</v>
      </c>
      <c r="C53" s="71"/>
      <c r="D53" s="12">
        <v>0.18062104750721683</v>
      </c>
      <c r="E53" s="10">
        <v>16</v>
      </c>
      <c r="F53" s="10">
        <v>262.5</v>
      </c>
      <c r="G53" s="6">
        <v>1.9</v>
      </c>
      <c r="H53" s="14">
        <f t="shared" si="0"/>
        <v>-3.7749999999999999</v>
      </c>
      <c r="I53" s="23"/>
      <c r="J53" s="7"/>
      <c r="K53" s="7"/>
      <c r="L53" s="24"/>
      <c r="M53" s="11" t="s">
        <v>124</v>
      </c>
    </row>
    <row r="54" spans="1:13">
      <c r="A54" s="84" t="s">
        <v>125</v>
      </c>
      <c r="B54" s="39">
        <v>-2.93</v>
      </c>
      <c r="C54" s="72"/>
      <c r="D54" s="4">
        <v>0.22156244268660033</v>
      </c>
      <c r="E54" s="2">
        <v>4</v>
      </c>
      <c r="F54" s="10">
        <v>328.85</v>
      </c>
      <c r="G54" s="6">
        <v>1.87</v>
      </c>
      <c r="H54" s="14">
        <f t="shared" si="0"/>
        <v>-4.4085000000000001</v>
      </c>
      <c r="I54" s="23"/>
      <c r="J54" s="7"/>
      <c r="K54" s="7"/>
      <c r="L54" s="24"/>
      <c r="M54" s="11" t="s">
        <v>126</v>
      </c>
    </row>
    <row r="55" spans="1:13">
      <c r="A55" s="82" t="s">
        <v>127</v>
      </c>
      <c r="B55" s="39">
        <v>-4.51</v>
      </c>
      <c r="C55" s="71"/>
      <c r="D55" s="12">
        <v>0.18450811780713378</v>
      </c>
      <c r="E55" s="10">
        <v>33</v>
      </c>
      <c r="F55" s="10">
        <v>167.5</v>
      </c>
      <c r="G55" s="6">
        <v>4.3600000000000003</v>
      </c>
      <c r="H55" s="14">
        <f t="shared" ref="H55:H86" si="1">0.5-G55-0.01*(F55-25)</f>
        <v>-5.2850000000000001</v>
      </c>
      <c r="I55" s="23"/>
      <c r="J55" s="7"/>
      <c r="K55" s="7"/>
      <c r="L55" s="24"/>
      <c r="M55" s="11" t="s">
        <v>128</v>
      </c>
    </row>
    <row r="56" spans="1:13">
      <c r="A56" s="82" t="s">
        <v>86</v>
      </c>
      <c r="B56" s="39">
        <v>-3.7</v>
      </c>
      <c r="C56" s="71"/>
      <c r="D56" s="12">
        <v>0.15609203233531485</v>
      </c>
      <c r="E56" s="10">
        <v>3</v>
      </c>
      <c r="F56" s="10">
        <v>223</v>
      </c>
      <c r="G56" s="6">
        <v>2.99</v>
      </c>
      <c r="H56" s="14">
        <f t="shared" si="1"/>
        <v>-4.4700000000000006</v>
      </c>
      <c r="I56" s="23"/>
      <c r="J56" s="7"/>
      <c r="K56" s="7"/>
      <c r="L56" s="24"/>
      <c r="M56" s="11" t="s">
        <v>129</v>
      </c>
    </row>
    <row r="57" spans="1:13">
      <c r="A57" s="82" t="s">
        <v>89</v>
      </c>
      <c r="B57" s="39">
        <v>-3.87</v>
      </c>
      <c r="C57" s="71"/>
      <c r="D57" s="12">
        <v>0.20872343532408041</v>
      </c>
      <c r="E57" s="10">
        <v>3</v>
      </c>
      <c r="F57" s="10">
        <v>210.5</v>
      </c>
      <c r="G57" s="6">
        <v>2.72</v>
      </c>
      <c r="H57" s="14">
        <f t="shared" si="1"/>
        <v>-4.0750000000000002</v>
      </c>
      <c r="I57" s="26"/>
      <c r="J57" s="27"/>
      <c r="K57" s="27"/>
      <c r="L57" s="28"/>
      <c r="M57" s="11" t="s">
        <v>130</v>
      </c>
    </row>
    <row r="58" spans="1:13">
      <c r="A58" s="84" t="s">
        <v>131</v>
      </c>
      <c r="B58" s="39">
        <v>-3.34</v>
      </c>
      <c r="C58" s="72"/>
      <c r="D58" s="4">
        <v>0.1297319013416561</v>
      </c>
      <c r="E58" s="2">
        <v>3</v>
      </c>
      <c r="F58" s="10">
        <v>209.75</v>
      </c>
      <c r="G58" s="6">
        <v>3.37</v>
      </c>
      <c r="H58" s="14">
        <f t="shared" si="1"/>
        <v>-4.7175000000000002</v>
      </c>
      <c r="J58" s="14"/>
      <c r="K58" s="14"/>
      <c r="L58" s="14"/>
      <c r="M58" s="11" t="s">
        <v>132</v>
      </c>
    </row>
    <row r="59" spans="1:13">
      <c r="A59" s="81" t="s">
        <v>92</v>
      </c>
      <c r="B59" s="39">
        <v>-3.54</v>
      </c>
      <c r="C59" s="71"/>
      <c r="D59" s="12">
        <v>0.14124198841117766</v>
      </c>
      <c r="E59" s="10">
        <v>3</v>
      </c>
      <c r="F59" s="10">
        <v>53.5</v>
      </c>
      <c r="G59" s="6">
        <v>3.43</v>
      </c>
      <c r="H59" s="14">
        <f t="shared" si="1"/>
        <v>-3.2150000000000003</v>
      </c>
      <c r="I59" s="70" t="s">
        <v>133</v>
      </c>
      <c r="J59" s="75">
        <v>346</v>
      </c>
      <c r="K59" s="34"/>
      <c r="L59" s="14"/>
      <c r="M59" s="11" t="s">
        <v>134</v>
      </c>
    </row>
    <row r="60" spans="1:13">
      <c r="A60" s="81" t="s">
        <v>135</v>
      </c>
      <c r="B60" s="39">
        <v>-0.77</v>
      </c>
      <c r="C60" s="71"/>
      <c r="D60" s="12">
        <v>0.17069281866408892</v>
      </c>
      <c r="E60" s="10">
        <v>6</v>
      </c>
      <c r="F60" s="10">
        <v>270</v>
      </c>
      <c r="G60" s="6">
        <v>0.05</v>
      </c>
      <c r="H60" s="14">
        <f t="shared" si="1"/>
        <v>-2</v>
      </c>
      <c r="I60" s="70" t="s">
        <v>136</v>
      </c>
      <c r="J60" s="75">
        <v>90</v>
      </c>
      <c r="K60" s="34"/>
      <c r="L60" s="14"/>
      <c r="M60" s="11" t="s">
        <v>137</v>
      </c>
    </row>
    <row r="61" spans="1:13">
      <c r="A61" s="82" t="s">
        <v>138</v>
      </c>
      <c r="B61" s="39">
        <v>-2.04</v>
      </c>
      <c r="C61" s="71"/>
      <c r="D61" s="12">
        <v>0.2061475968316322</v>
      </c>
      <c r="E61" s="10">
        <v>3</v>
      </c>
      <c r="F61" s="10">
        <v>143.75</v>
      </c>
      <c r="G61" s="6">
        <v>1.6</v>
      </c>
      <c r="H61" s="14">
        <f t="shared" si="1"/>
        <v>-2.2875000000000001</v>
      </c>
      <c r="I61" s="70" t="s">
        <v>139</v>
      </c>
      <c r="J61" s="75">
        <f>COUNTA(A23:A122)</f>
        <v>100</v>
      </c>
      <c r="K61" s="34"/>
      <c r="L61" s="14"/>
      <c r="M61" s="11" t="s">
        <v>140</v>
      </c>
    </row>
    <row r="62" spans="1:13">
      <c r="A62" s="81" t="s">
        <v>141</v>
      </c>
      <c r="B62" s="39">
        <v>-4.24</v>
      </c>
      <c r="C62" s="71"/>
      <c r="D62" s="12">
        <v>0.18021422622763517</v>
      </c>
      <c r="E62" s="10">
        <v>5</v>
      </c>
      <c r="F62" s="10">
        <v>214.5</v>
      </c>
      <c r="G62" s="6">
        <v>3.61</v>
      </c>
      <c r="H62" s="14">
        <f t="shared" si="1"/>
        <v>-5.0049999999999999</v>
      </c>
      <c r="I62" s="14"/>
      <c r="J62" s="14"/>
      <c r="K62" s="14"/>
      <c r="L62" s="14"/>
      <c r="M62" s="11" t="s">
        <v>142</v>
      </c>
    </row>
    <row r="63" spans="1:13">
      <c r="A63" s="82" t="s">
        <v>143</v>
      </c>
      <c r="B63" s="39">
        <v>-4.1100000000000003</v>
      </c>
      <c r="C63" s="71"/>
      <c r="D63" s="12">
        <v>0.19225415374507382</v>
      </c>
      <c r="E63" s="10">
        <v>8</v>
      </c>
      <c r="F63" s="10">
        <v>255.29999999999998</v>
      </c>
      <c r="G63" s="6">
        <v>3.82</v>
      </c>
      <c r="H63" s="14">
        <f t="shared" si="1"/>
        <v>-5.6229999999999993</v>
      </c>
      <c r="I63" s="19" t="s">
        <v>144</v>
      </c>
      <c r="J63" s="17"/>
      <c r="K63" s="17"/>
      <c r="L63" s="18"/>
      <c r="M63" s="11" t="s">
        <v>145</v>
      </c>
    </row>
    <row r="64" spans="1:13">
      <c r="A64" s="82" t="s">
        <v>146</v>
      </c>
      <c r="B64" s="39">
        <v>-3.71</v>
      </c>
      <c r="C64" s="71"/>
      <c r="D64" s="12">
        <v>0.17</v>
      </c>
      <c r="E64" s="10">
        <v>3</v>
      </c>
      <c r="F64" s="10">
        <v>189</v>
      </c>
      <c r="G64" s="6">
        <v>1.34</v>
      </c>
      <c r="H64" s="14">
        <f t="shared" si="1"/>
        <v>-2.4800000000000004</v>
      </c>
      <c r="I64" s="124" t="s">
        <v>665</v>
      </c>
      <c r="J64" s="21"/>
      <c r="K64" s="21"/>
      <c r="L64" s="22"/>
      <c r="M64" s="11" t="s">
        <v>148</v>
      </c>
    </row>
    <row r="65" spans="1:13">
      <c r="A65" s="82" t="s">
        <v>149</v>
      </c>
      <c r="B65" s="39">
        <v>-3.67</v>
      </c>
      <c r="C65" s="71"/>
      <c r="D65" s="12">
        <v>0.19794493160510693</v>
      </c>
      <c r="E65" s="10">
        <v>4</v>
      </c>
      <c r="F65" s="10">
        <v>243.5</v>
      </c>
      <c r="G65" s="6">
        <v>1.34</v>
      </c>
      <c r="H65" s="14">
        <f t="shared" si="1"/>
        <v>-3.0250000000000004</v>
      </c>
      <c r="I65" s="128" t="s">
        <v>664</v>
      </c>
      <c r="J65" s="7"/>
      <c r="K65" s="7"/>
      <c r="L65" s="24"/>
      <c r="M65" s="11" t="s">
        <v>151</v>
      </c>
    </row>
    <row r="66" spans="1:13">
      <c r="A66" s="81" t="s">
        <v>95</v>
      </c>
      <c r="B66" s="39">
        <v>-2.84</v>
      </c>
      <c r="C66" s="71"/>
      <c r="D66" s="12">
        <v>0.21056099074293383</v>
      </c>
      <c r="E66" s="10">
        <v>3</v>
      </c>
      <c r="F66" s="10">
        <v>36.5</v>
      </c>
      <c r="G66" s="6">
        <v>2.74</v>
      </c>
      <c r="H66" s="14">
        <f t="shared" si="1"/>
        <v>-2.3550000000000004</v>
      </c>
      <c r="I66" s="128" t="s">
        <v>663</v>
      </c>
      <c r="J66" s="7"/>
      <c r="K66" s="7"/>
      <c r="L66" s="24"/>
      <c r="M66" s="11" t="s">
        <v>152</v>
      </c>
    </row>
    <row r="67" spans="1:13">
      <c r="A67" s="83" t="s">
        <v>153</v>
      </c>
      <c r="B67" s="39">
        <v>-3.77</v>
      </c>
      <c r="C67" s="71"/>
      <c r="D67" s="12">
        <v>0.21092434073951916</v>
      </c>
      <c r="E67" s="10">
        <v>10</v>
      </c>
      <c r="F67" s="10">
        <v>186</v>
      </c>
      <c r="G67" s="6">
        <v>3.4</v>
      </c>
      <c r="H67" s="14">
        <f t="shared" si="1"/>
        <v>-4.51</v>
      </c>
      <c r="I67" s="23"/>
      <c r="J67" s="7"/>
      <c r="K67" s="7"/>
      <c r="L67" s="24"/>
      <c r="M67" s="11" t="s">
        <v>154</v>
      </c>
    </row>
    <row r="68" spans="1:13">
      <c r="A68" s="81" t="s">
        <v>98</v>
      </c>
      <c r="B68" s="39">
        <v>-4.46</v>
      </c>
      <c r="C68" s="71"/>
      <c r="D68" s="12">
        <v>0.18695478693957188</v>
      </c>
      <c r="E68" s="10">
        <v>3</v>
      </c>
      <c r="F68" s="10">
        <v>252.99999999999997</v>
      </c>
      <c r="G68" s="6">
        <v>2.35</v>
      </c>
      <c r="H68" s="14">
        <f t="shared" si="1"/>
        <v>-4.13</v>
      </c>
      <c r="I68" s="23"/>
      <c r="J68" s="7"/>
      <c r="K68" s="7"/>
      <c r="L68" s="24"/>
      <c r="M68" s="11" t="s">
        <v>155</v>
      </c>
    </row>
    <row r="69" spans="1:13">
      <c r="A69" s="83" t="s">
        <v>156</v>
      </c>
      <c r="B69" s="39">
        <v>-4.49</v>
      </c>
      <c r="C69" s="71"/>
      <c r="D69" s="12">
        <v>0.20491085989689112</v>
      </c>
      <c r="E69" s="10">
        <v>23</v>
      </c>
      <c r="F69" s="10">
        <v>111.00000000000001</v>
      </c>
      <c r="G69" s="6">
        <v>3.68</v>
      </c>
      <c r="H69" s="14">
        <f t="shared" si="1"/>
        <v>-4.04</v>
      </c>
      <c r="I69" s="23"/>
      <c r="J69" s="7"/>
      <c r="K69" s="7"/>
      <c r="L69" s="24"/>
      <c r="M69" s="11" t="s">
        <v>157</v>
      </c>
    </row>
    <row r="70" spans="1:13">
      <c r="A70" s="81" t="s">
        <v>158</v>
      </c>
      <c r="B70" s="39">
        <v>-4.3099999999999996</v>
      </c>
      <c r="C70" s="71"/>
      <c r="D70" s="12">
        <v>0.15545016183846921</v>
      </c>
      <c r="E70" s="10">
        <v>6</v>
      </c>
      <c r="F70" s="10">
        <v>250</v>
      </c>
      <c r="G70" s="6">
        <v>-0.04</v>
      </c>
      <c r="H70" s="14">
        <f t="shared" si="1"/>
        <v>-1.71</v>
      </c>
      <c r="I70" s="23"/>
      <c r="J70" s="7"/>
      <c r="K70" s="7"/>
      <c r="L70" s="24"/>
      <c r="M70" s="11" t="s">
        <v>159</v>
      </c>
    </row>
    <row r="71" spans="1:13">
      <c r="A71" s="82" t="s">
        <v>160</v>
      </c>
      <c r="B71" s="39">
        <v>-1.22</v>
      </c>
      <c r="C71" s="71"/>
      <c r="D71" s="12">
        <v>0.13261436390895148</v>
      </c>
      <c r="E71" s="10">
        <v>3</v>
      </c>
      <c r="F71" s="10">
        <v>250</v>
      </c>
      <c r="G71" s="6">
        <v>-1.97</v>
      </c>
      <c r="H71" s="14">
        <f t="shared" si="1"/>
        <v>0.21999999999999975</v>
      </c>
      <c r="I71" s="23"/>
      <c r="J71" s="7"/>
      <c r="K71" s="7"/>
      <c r="L71" s="24"/>
      <c r="M71" s="11" t="s">
        <v>161</v>
      </c>
    </row>
    <row r="72" spans="1:13">
      <c r="A72" s="82" t="s">
        <v>162</v>
      </c>
      <c r="B72" s="39">
        <v>-5.45</v>
      </c>
      <c r="C72" s="71"/>
      <c r="D72" s="12">
        <v>0.21159815676624968</v>
      </c>
      <c r="E72" s="10">
        <v>9</v>
      </c>
      <c r="F72" s="10">
        <v>208.5</v>
      </c>
      <c r="G72" s="6">
        <v>2.08</v>
      </c>
      <c r="H72" s="14">
        <f t="shared" si="1"/>
        <v>-3.415</v>
      </c>
      <c r="I72" s="23"/>
      <c r="J72" s="7"/>
      <c r="K72" s="7"/>
      <c r="L72" s="24"/>
      <c r="M72" s="11" t="s">
        <v>163</v>
      </c>
    </row>
    <row r="73" spans="1:13">
      <c r="A73" s="82" t="s">
        <v>164</v>
      </c>
      <c r="B73" s="39">
        <v>-3.78</v>
      </c>
      <c r="C73" s="71"/>
      <c r="D73" s="12">
        <v>0.1900151243705871</v>
      </c>
      <c r="E73" s="10">
        <v>15</v>
      </c>
      <c r="F73" s="10">
        <v>220.00000000000003</v>
      </c>
      <c r="G73" s="6">
        <v>2.69</v>
      </c>
      <c r="H73" s="14">
        <f t="shared" si="1"/>
        <v>-4.1400000000000006</v>
      </c>
      <c r="I73" s="23"/>
      <c r="J73" s="7"/>
      <c r="K73" s="7"/>
      <c r="L73" s="24"/>
      <c r="M73" s="11" t="s">
        <v>165</v>
      </c>
    </row>
    <row r="74" spans="1:13">
      <c r="A74" s="82" t="s">
        <v>166</v>
      </c>
      <c r="B74" s="39">
        <v>-4.04</v>
      </c>
      <c r="C74" s="71"/>
      <c r="D74" s="12">
        <v>0.16978183023026608</v>
      </c>
      <c r="E74" s="10">
        <v>10</v>
      </c>
      <c r="F74" s="10">
        <v>151</v>
      </c>
      <c r="G74" s="6">
        <v>4.43</v>
      </c>
      <c r="H74" s="14">
        <f t="shared" si="1"/>
        <v>-5.1899999999999995</v>
      </c>
      <c r="I74" s="23"/>
      <c r="J74" s="7"/>
      <c r="K74" s="7"/>
      <c r="L74" s="24"/>
      <c r="M74" s="11" t="s">
        <v>167</v>
      </c>
    </row>
    <row r="75" spans="1:13">
      <c r="A75" s="83" t="s">
        <v>100</v>
      </c>
      <c r="B75" s="39">
        <v>-5.1100000000000003</v>
      </c>
      <c r="C75" s="71"/>
      <c r="D75" s="12">
        <v>0.19416214604145643</v>
      </c>
      <c r="E75" s="10">
        <v>7</v>
      </c>
      <c r="F75" s="10">
        <v>154.5</v>
      </c>
      <c r="G75" s="6">
        <v>4.22</v>
      </c>
      <c r="H75" s="14">
        <f t="shared" si="1"/>
        <v>-5.0149999999999997</v>
      </c>
      <c r="I75" s="23"/>
      <c r="J75" s="7"/>
      <c r="K75" s="7"/>
      <c r="L75" s="24"/>
      <c r="M75" s="11" t="s">
        <v>168</v>
      </c>
    </row>
    <row r="76" spans="1:13">
      <c r="A76" s="82" t="s">
        <v>169</v>
      </c>
      <c r="B76" s="39">
        <v>-3.23</v>
      </c>
      <c r="C76" s="71"/>
      <c r="D76" s="12">
        <v>0.16048013551961601</v>
      </c>
      <c r="E76" s="10">
        <v>5</v>
      </c>
      <c r="F76" s="10">
        <v>167.75</v>
      </c>
      <c r="G76" s="6">
        <v>2.87</v>
      </c>
      <c r="H76" s="14">
        <f t="shared" si="1"/>
        <v>-3.7975000000000003</v>
      </c>
      <c r="I76" s="23"/>
      <c r="J76" s="7"/>
      <c r="K76" s="7"/>
      <c r="L76" s="24"/>
      <c r="M76" s="11" t="s">
        <v>170</v>
      </c>
    </row>
    <row r="77" spans="1:13">
      <c r="A77" s="84" t="s">
        <v>171</v>
      </c>
      <c r="B77" s="39">
        <v>-4.82</v>
      </c>
      <c r="C77" s="72"/>
      <c r="D77" s="4">
        <v>0.22239504833634874</v>
      </c>
      <c r="E77" s="2">
        <v>21</v>
      </c>
      <c r="F77" s="10">
        <v>159</v>
      </c>
      <c r="G77" s="6">
        <v>3.93</v>
      </c>
      <c r="H77" s="14">
        <f t="shared" si="1"/>
        <v>-4.7700000000000005</v>
      </c>
      <c r="I77" s="23"/>
      <c r="J77" s="7"/>
      <c r="K77" s="7"/>
      <c r="L77" s="24"/>
      <c r="M77" s="11" t="s">
        <v>172</v>
      </c>
    </row>
    <row r="78" spans="1:13">
      <c r="A78" s="82" t="s">
        <v>173</v>
      </c>
      <c r="B78" s="39">
        <v>-3.53</v>
      </c>
      <c r="C78" s="71"/>
      <c r="D78" s="12">
        <v>0.21209434799218393</v>
      </c>
      <c r="E78" s="10">
        <v>5</v>
      </c>
      <c r="F78" s="10">
        <v>213.49999999999997</v>
      </c>
      <c r="G78" s="6">
        <v>3.04</v>
      </c>
      <c r="H78" s="14">
        <f t="shared" si="1"/>
        <v>-4.4249999999999998</v>
      </c>
      <c r="I78" s="23"/>
      <c r="J78" s="7"/>
      <c r="K78" s="7"/>
      <c r="L78" s="24"/>
      <c r="M78" s="11" t="s">
        <v>174</v>
      </c>
    </row>
    <row r="79" spans="1:13">
      <c r="A79" s="82" t="s">
        <v>175</v>
      </c>
      <c r="B79" s="39">
        <v>-4.04</v>
      </c>
      <c r="C79" s="71"/>
      <c r="D79" s="12">
        <v>0.1407224156406931</v>
      </c>
      <c r="E79" s="10">
        <v>11</v>
      </c>
      <c r="F79" s="10">
        <v>146</v>
      </c>
      <c r="G79" s="6">
        <v>4.21</v>
      </c>
      <c r="H79" s="14">
        <f t="shared" si="1"/>
        <v>-4.92</v>
      </c>
      <c r="I79" s="23"/>
      <c r="J79" s="7"/>
      <c r="K79" s="7"/>
      <c r="L79" s="24"/>
      <c r="M79" s="11" t="s">
        <v>176</v>
      </c>
    </row>
    <row r="80" spans="1:13">
      <c r="A80" s="82" t="s">
        <v>177</v>
      </c>
      <c r="B80" s="39">
        <v>-5.1100000000000003</v>
      </c>
      <c r="C80" s="71"/>
      <c r="D80" s="12">
        <v>0.21748916450754371</v>
      </c>
      <c r="E80" s="10">
        <v>5</v>
      </c>
      <c r="F80" s="10">
        <v>92.333333333333329</v>
      </c>
      <c r="G80" s="6">
        <v>4.21</v>
      </c>
      <c r="H80" s="14">
        <f t="shared" si="1"/>
        <v>-4.3833333333333329</v>
      </c>
      <c r="I80" s="23"/>
      <c r="J80" s="7"/>
      <c r="K80" s="7"/>
      <c r="L80" s="24"/>
      <c r="M80" s="11" t="s">
        <v>178</v>
      </c>
    </row>
    <row r="81" spans="1:13">
      <c r="A81" s="81" t="s">
        <v>179</v>
      </c>
      <c r="B81" s="39">
        <v>-4.57</v>
      </c>
      <c r="C81" s="71"/>
      <c r="D81" s="12">
        <v>0.20531013145176411</v>
      </c>
      <c r="E81" s="10">
        <v>8</v>
      </c>
      <c r="F81" s="10">
        <v>256</v>
      </c>
      <c r="G81" s="6">
        <v>2.71</v>
      </c>
      <c r="H81" s="14">
        <f t="shared" si="1"/>
        <v>-4.5199999999999996</v>
      </c>
      <c r="I81" s="23"/>
      <c r="J81" s="7"/>
      <c r="K81" s="7"/>
      <c r="L81" s="24"/>
      <c r="M81" s="11" t="s">
        <v>180</v>
      </c>
    </row>
    <row r="82" spans="1:13">
      <c r="A82" s="81" t="s">
        <v>181</v>
      </c>
      <c r="B82" s="39">
        <v>-4.2300000000000004</v>
      </c>
      <c r="C82" s="71"/>
      <c r="D82" s="12">
        <v>0.21176785142223761</v>
      </c>
      <c r="E82" s="10">
        <v>3</v>
      </c>
      <c r="F82" s="10">
        <v>80</v>
      </c>
      <c r="G82" s="6">
        <v>3.37</v>
      </c>
      <c r="H82" s="14">
        <f t="shared" si="1"/>
        <v>-3.42</v>
      </c>
      <c r="I82" s="23"/>
      <c r="J82" s="7"/>
      <c r="K82" s="7"/>
      <c r="L82" s="24"/>
      <c r="M82" s="11" t="s">
        <v>182</v>
      </c>
    </row>
    <row r="83" spans="1:13">
      <c r="A83" s="81" t="s">
        <v>183</v>
      </c>
      <c r="B83" s="39">
        <v>-4.16</v>
      </c>
      <c r="C83" s="71"/>
      <c r="D83" s="12">
        <v>0.16217657762412213</v>
      </c>
      <c r="E83" s="10">
        <v>17</v>
      </c>
      <c r="F83" s="10">
        <v>153</v>
      </c>
      <c r="G83" s="6">
        <v>3.04</v>
      </c>
      <c r="H83" s="14">
        <f t="shared" si="1"/>
        <v>-3.8200000000000003</v>
      </c>
      <c r="I83" s="23"/>
      <c r="J83" s="7"/>
      <c r="K83" s="7"/>
      <c r="L83" s="24"/>
      <c r="M83" s="11" t="s">
        <v>184</v>
      </c>
    </row>
    <row r="84" spans="1:13">
      <c r="A84" s="82" t="s">
        <v>185</v>
      </c>
      <c r="B84" s="39">
        <v>-5.14</v>
      </c>
      <c r="C84" s="71"/>
      <c r="D84" s="12">
        <v>0.20448827496623867</v>
      </c>
      <c r="E84" s="10">
        <v>3</v>
      </c>
      <c r="F84" s="10">
        <v>349.84</v>
      </c>
      <c r="G84" s="6">
        <v>4.75</v>
      </c>
      <c r="H84" s="14">
        <f t="shared" si="1"/>
        <v>-7.4984000000000002</v>
      </c>
      <c r="I84" s="23"/>
      <c r="J84" s="7"/>
      <c r="K84" s="7"/>
      <c r="L84" s="24"/>
      <c r="M84" s="11" t="s">
        <v>186</v>
      </c>
    </row>
    <row r="85" spans="1:13">
      <c r="A85" s="82" t="s">
        <v>187</v>
      </c>
      <c r="B85" s="39">
        <v>-3.6</v>
      </c>
      <c r="C85" s="71"/>
      <c r="D85" s="12">
        <v>0.14358294446577732</v>
      </c>
      <c r="E85" s="10">
        <v>6</v>
      </c>
      <c r="F85" s="10">
        <v>248</v>
      </c>
      <c r="G85" s="6">
        <v>2.65</v>
      </c>
      <c r="H85" s="14">
        <f t="shared" si="1"/>
        <v>-4.38</v>
      </c>
      <c r="I85" s="23"/>
      <c r="J85" s="7"/>
      <c r="K85" s="7"/>
      <c r="L85" s="24"/>
      <c r="M85" s="11" t="s">
        <v>188</v>
      </c>
    </row>
    <row r="86" spans="1:13">
      <c r="A86" s="82" t="s">
        <v>189</v>
      </c>
      <c r="B86" s="39">
        <v>-3.24</v>
      </c>
      <c r="C86" s="71"/>
      <c r="D86" s="12">
        <v>0.15384096988991314</v>
      </c>
      <c r="E86" s="10">
        <v>11</v>
      </c>
      <c r="F86" s="10">
        <v>173</v>
      </c>
      <c r="G86" s="6">
        <v>2.1800000000000002</v>
      </c>
      <c r="H86" s="14">
        <f t="shared" si="1"/>
        <v>-3.16</v>
      </c>
      <c r="I86" s="23"/>
      <c r="J86" s="7"/>
      <c r="K86" s="7"/>
      <c r="L86" s="24"/>
      <c r="M86" s="11" t="s">
        <v>190</v>
      </c>
    </row>
    <row r="87" spans="1:13">
      <c r="A87" s="82" t="s">
        <v>191</v>
      </c>
      <c r="B87" s="39">
        <v>-3.72</v>
      </c>
      <c r="C87" s="71"/>
      <c r="D87" s="12">
        <v>0.14176528631434945</v>
      </c>
      <c r="E87" s="10">
        <v>5</v>
      </c>
      <c r="F87" s="10">
        <v>143.75</v>
      </c>
      <c r="G87" s="6">
        <v>2.76</v>
      </c>
      <c r="H87" s="14">
        <f t="shared" ref="H87:H118" si="2">0.5-G87-0.01*(F87-25)</f>
        <v>-3.4474999999999998</v>
      </c>
      <c r="I87" s="23"/>
      <c r="J87" s="7"/>
      <c r="K87" s="7"/>
      <c r="L87" s="24"/>
      <c r="M87" s="11" t="s">
        <v>192</v>
      </c>
    </row>
    <row r="88" spans="1:13">
      <c r="A88" s="82" t="s">
        <v>193</v>
      </c>
      <c r="B88" s="39">
        <v>-2.92</v>
      </c>
      <c r="C88" s="71"/>
      <c r="D88" s="12">
        <v>0.16213928191469343</v>
      </c>
      <c r="E88" s="10">
        <v>19</v>
      </c>
      <c r="F88" s="10">
        <v>220.5</v>
      </c>
      <c r="G88" s="6">
        <v>1.27</v>
      </c>
      <c r="H88" s="14">
        <f t="shared" si="2"/>
        <v>-2.7250000000000001</v>
      </c>
      <c r="I88" s="23"/>
      <c r="J88" s="7"/>
      <c r="K88" s="7"/>
      <c r="L88" s="24"/>
      <c r="M88" s="11" t="s">
        <v>194</v>
      </c>
    </row>
    <row r="89" spans="1:13">
      <c r="A89" s="82" t="s">
        <v>195</v>
      </c>
      <c r="B89" s="39">
        <v>-4.8</v>
      </c>
      <c r="C89" s="71"/>
      <c r="D89" s="12">
        <v>0.16127920198135692</v>
      </c>
      <c r="E89" s="10">
        <v>5</v>
      </c>
      <c r="F89" s="10">
        <v>214</v>
      </c>
      <c r="G89" s="6">
        <v>3.83</v>
      </c>
      <c r="H89" s="14">
        <f t="shared" si="2"/>
        <v>-5.2200000000000006</v>
      </c>
      <c r="I89" s="23"/>
      <c r="J89" s="7"/>
      <c r="K89" s="7"/>
      <c r="L89" s="24"/>
      <c r="M89" s="11" t="s">
        <v>196</v>
      </c>
    </row>
    <row r="90" spans="1:13">
      <c r="A90" s="83" t="s">
        <v>197</v>
      </c>
      <c r="B90" s="39">
        <v>-4.18</v>
      </c>
      <c r="C90" s="71"/>
      <c r="D90" s="12">
        <v>0.13869006117838048</v>
      </c>
      <c r="E90" s="10">
        <v>3</v>
      </c>
      <c r="F90" s="10">
        <v>176</v>
      </c>
      <c r="G90" s="6">
        <v>2.88</v>
      </c>
      <c r="H90" s="14">
        <f t="shared" si="2"/>
        <v>-3.8899999999999997</v>
      </c>
      <c r="I90" s="23"/>
      <c r="J90" s="7"/>
      <c r="K90" s="7"/>
      <c r="L90" s="24"/>
      <c r="M90" s="11" t="s">
        <v>198</v>
      </c>
    </row>
    <row r="91" spans="1:13">
      <c r="A91" s="85" t="s">
        <v>199</v>
      </c>
      <c r="B91" s="39">
        <v>-2.7</v>
      </c>
      <c r="C91" s="72"/>
      <c r="D91" s="4">
        <v>0.1259834086188602</v>
      </c>
      <c r="E91" s="2">
        <v>14</v>
      </c>
      <c r="F91" s="10">
        <v>253.5</v>
      </c>
      <c r="G91" s="6">
        <v>1.54</v>
      </c>
      <c r="H91" s="14">
        <f t="shared" si="2"/>
        <v>-3.3250000000000002</v>
      </c>
      <c r="I91" s="23"/>
      <c r="J91" s="7"/>
      <c r="K91" s="7"/>
      <c r="L91" s="24"/>
      <c r="M91" s="11" t="s">
        <v>200</v>
      </c>
    </row>
    <row r="92" spans="1:13">
      <c r="A92" s="82" t="s">
        <v>201</v>
      </c>
      <c r="B92" s="39">
        <v>-3.62</v>
      </c>
      <c r="C92" s="71"/>
      <c r="D92" s="12">
        <v>0.16504944177542516</v>
      </c>
      <c r="E92" s="10">
        <v>5</v>
      </c>
      <c r="F92" s="10">
        <v>205.50000000000003</v>
      </c>
      <c r="G92" s="6">
        <v>2.4500000000000002</v>
      </c>
      <c r="H92" s="14">
        <f t="shared" si="2"/>
        <v>-3.7550000000000008</v>
      </c>
      <c r="I92" s="23"/>
      <c r="J92" s="7"/>
      <c r="K92" s="7"/>
      <c r="L92" s="24"/>
      <c r="M92" s="11" t="s">
        <v>202</v>
      </c>
    </row>
    <row r="93" spans="1:13">
      <c r="A93" s="83" t="s">
        <v>203</v>
      </c>
      <c r="B93" s="39">
        <v>-4.0199999999999996</v>
      </c>
      <c r="C93" s="71"/>
      <c r="D93" s="12">
        <v>0.19426266518058349</v>
      </c>
      <c r="E93" s="10">
        <v>3</v>
      </c>
      <c r="F93" s="10">
        <v>96</v>
      </c>
      <c r="G93" s="6">
        <v>3.49</v>
      </c>
      <c r="H93" s="14">
        <f t="shared" si="2"/>
        <v>-3.7</v>
      </c>
      <c r="I93" s="23"/>
      <c r="J93" s="7"/>
      <c r="K93" s="7"/>
      <c r="L93" s="24"/>
      <c r="M93" s="11" t="s">
        <v>204</v>
      </c>
    </row>
    <row r="94" spans="1:13">
      <c r="A94" s="82" t="s">
        <v>205</v>
      </c>
      <c r="B94" s="39">
        <v>-5.28</v>
      </c>
      <c r="C94" s="71"/>
      <c r="D94" s="12">
        <v>0.18894337149737056</v>
      </c>
      <c r="E94" s="10">
        <v>12</v>
      </c>
      <c r="F94" s="10">
        <v>147.25</v>
      </c>
      <c r="G94" s="6">
        <v>3.86</v>
      </c>
      <c r="H94" s="14">
        <f t="shared" si="2"/>
        <v>-4.5824999999999996</v>
      </c>
      <c r="I94" s="23"/>
      <c r="J94" s="7"/>
      <c r="K94" s="7"/>
      <c r="L94" s="24"/>
      <c r="M94" s="11" t="s">
        <v>206</v>
      </c>
    </row>
    <row r="95" spans="1:13">
      <c r="A95" s="82" t="s">
        <v>207</v>
      </c>
      <c r="B95" s="39">
        <v>-4</v>
      </c>
      <c r="C95" s="71"/>
      <c r="D95" s="12">
        <v>0.17391407185160324</v>
      </c>
      <c r="E95" s="10">
        <v>6</v>
      </c>
      <c r="F95" s="10">
        <v>97</v>
      </c>
      <c r="G95" s="6">
        <v>3.94</v>
      </c>
      <c r="H95" s="14">
        <f t="shared" si="2"/>
        <v>-4.16</v>
      </c>
      <c r="I95" s="23"/>
      <c r="J95" s="7"/>
      <c r="K95" s="7"/>
      <c r="L95" s="24"/>
      <c r="M95" s="11" t="s">
        <v>208</v>
      </c>
    </row>
    <row r="96" spans="1:13">
      <c r="A96" s="81" t="s">
        <v>209</v>
      </c>
      <c r="B96" s="39">
        <v>-2.29</v>
      </c>
      <c r="C96" s="71"/>
      <c r="D96" s="12">
        <v>0.13764369691033657</v>
      </c>
      <c r="E96" s="10">
        <v>10</v>
      </c>
      <c r="F96" s="10">
        <v>134.5</v>
      </c>
      <c r="G96" s="6">
        <v>2.04</v>
      </c>
      <c r="H96" s="14">
        <f t="shared" si="2"/>
        <v>-2.6349999999999998</v>
      </c>
      <c r="I96" s="23"/>
      <c r="J96" s="7"/>
      <c r="K96" s="7"/>
      <c r="L96" s="24"/>
      <c r="M96" s="11" t="s">
        <v>210</v>
      </c>
    </row>
    <row r="97" spans="1:13">
      <c r="A97" s="82" t="s">
        <v>211</v>
      </c>
      <c r="B97" s="39">
        <v>-3.7</v>
      </c>
      <c r="C97" s="71"/>
      <c r="D97" s="12">
        <v>0.16245746888591447</v>
      </c>
      <c r="E97" s="10">
        <v>7</v>
      </c>
      <c r="F97" s="10">
        <v>139</v>
      </c>
      <c r="G97" s="6">
        <v>2.66</v>
      </c>
      <c r="H97" s="14">
        <f t="shared" si="2"/>
        <v>-3.3000000000000003</v>
      </c>
      <c r="I97" s="23"/>
      <c r="J97" s="7"/>
      <c r="K97" s="7"/>
      <c r="L97" s="24"/>
      <c r="M97" s="11" t="s">
        <v>212</v>
      </c>
    </row>
    <row r="98" spans="1:13">
      <c r="A98" s="82" t="s">
        <v>213</v>
      </c>
      <c r="B98" s="39">
        <v>-2.71</v>
      </c>
      <c r="C98" s="71"/>
      <c r="D98" s="12">
        <v>0.15322122505052199</v>
      </c>
      <c r="E98" s="10">
        <v>9</v>
      </c>
      <c r="F98" s="10">
        <v>170</v>
      </c>
      <c r="G98" s="6">
        <v>1.91</v>
      </c>
      <c r="H98" s="14">
        <f t="shared" si="2"/>
        <v>-2.86</v>
      </c>
      <c r="I98" s="23"/>
      <c r="J98" s="7"/>
      <c r="K98" s="7"/>
      <c r="L98" s="24"/>
      <c r="M98" s="11" t="s">
        <v>214</v>
      </c>
    </row>
    <row r="99" spans="1:13">
      <c r="A99" s="81" t="s">
        <v>215</v>
      </c>
      <c r="B99" s="39">
        <v>-3.92</v>
      </c>
      <c r="C99" s="71"/>
      <c r="D99" s="12">
        <v>0.15273607916541068</v>
      </c>
      <c r="E99" s="10">
        <v>10</v>
      </c>
      <c r="F99" s="10">
        <v>326</v>
      </c>
      <c r="G99" s="6">
        <v>2.44</v>
      </c>
      <c r="H99" s="14">
        <f t="shared" si="2"/>
        <v>-4.95</v>
      </c>
      <c r="I99" s="23"/>
      <c r="J99" s="7"/>
      <c r="K99" s="7"/>
      <c r="L99" s="24"/>
      <c r="M99" s="11" t="s">
        <v>216</v>
      </c>
    </row>
    <row r="100" spans="1:13">
      <c r="A100" s="82" t="s">
        <v>217</v>
      </c>
      <c r="B100" s="39">
        <v>-3.64</v>
      </c>
      <c r="C100" s="71"/>
      <c r="D100" s="12">
        <v>0.18404701512102448</v>
      </c>
      <c r="E100" s="10">
        <v>5</v>
      </c>
      <c r="F100" s="10">
        <v>232.50000000000003</v>
      </c>
      <c r="G100" s="6">
        <v>1.8</v>
      </c>
      <c r="H100" s="14">
        <f t="shared" si="2"/>
        <v>-3.375</v>
      </c>
      <c r="I100" s="23"/>
      <c r="J100" s="7"/>
      <c r="K100" s="7"/>
      <c r="L100" s="24"/>
      <c r="M100" s="11" t="s">
        <v>218</v>
      </c>
    </row>
    <row r="101" spans="1:13">
      <c r="A101" s="82" t="s">
        <v>219</v>
      </c>
      <c r="B101" s="39">
        <v>-2.73</v>
      </c>
      <c r="C101" s="71"/>
      <c r="D101" s="12">
        <v>0.13604063752604376</v>
      </c>
      <c r="E101" s="10">
        <v>4</v>
      </c>
      <c r="F101" s="10">
        <v>281.5</v>
      </c>
      <c r="G101" s="6">
        <v>0.54</v>
      </c>
      <c r="H101" s="14">
        <f t="shared" si="2"/>
        <v>-2.605</v>
      </c>
      <c r="I101" s="23"/>
      <c r="J101" s="7"/>
      <c r="K101" s="7"/>
      <c r="L101" s="24"/>
      <c r="M101" s="11" t="s">
        <v>220</v>
      </c>
    </row>
    <row r="102" spans="1:13">
      <c r="A102" s="82" t="s">
        <v>221</v>
      </c>
      <c r="B102" s="39">
        <v>-3.69</v>
      </c>
      <c r="C102" s="71"/>
      <c r="D102" s="12">
        <v>0.19798964803022484</v>
      </c>
      <c r="E102" s="10">
        <v>4</v>
      </c>
      <c r="F102" s="10">
        <v>197.1</v>
      </c>
      <c r="G102" s="6">
        <v>2.2000000000000002</v>
      </c>
      <c r="H102" s="14">
        <f t="shared" si="2"/>
        <v>-3.4210000000000003</v>
      </c>
      <c r="I102" s="23"/>
      <c r="J102" s="7"/>
      <c r="K102" s="7"/>
      <c r="L102" s="24"/>
      <c r="M102" s="11" t="s">
        <v>222</v>
      </c>
    </row>
    <row r="103" spans="1:13">
      <c r="A103" s="83" t="s">
        <v>223</v>
      </c>
      <c r="B103" s="39">
        <v>-4.25</v>
      </c>
      <c r="C103" s="71"/>
      <c r="D103" s="12">
        <v>0.13486720020739137</v>
      </c>
      <c r="E103" s="10">
        <v>4</v>
      </c>
      <c r="F103" s="10">
        <v>33</v>
      </c>
      <c r="G103" s="6">
        <v>4.24</v>
      </c>
      <c r="H103" s="14">
        <f t="shared" si="2"/>
        <v>-3.8200000000000003</v>
      </c>
      <c r="I103" s="23"/>
      <c r="J103" s="7"/>
      <c r="K103" s="7"/>
      <c r="L103" s="24"/>
      <c r="M103" s="11" t="s">
        <v>224</v>
      </c>
    </row>
    <row r="104" spans="1:13">
      <c r="A104" s="82" t="s">
        <v>225</v>
      </c>
      <c r="B104" s="39">
        <v>-4.24</v>
      </c>
      <c r="C104" s="71"/>
      <c r="D104" s="12">
        <v>0.18801274760604275</v>
      </c>
      <c r="E104" s="10">
        <v>11</v>
      </c>
      <c r="F104" s="10">
        <v>60</v>
      </c>
      <c r="G104" s="6">
        <v>4.24</v>
      </c>
      <c r="H104" s="14">
        <f t="shared" si="2"/>
        <v>-4.09</v>
      </c>
      <c r="I104" s="23"/>
      <c r="J104" s="7"/>
      <c r="K104" s="7"/>
      <c r="L104" s="24"/>
      <c r="M104" s="11" t="s">
        <v>226</v>
      </c>
    </row>
    <row r="105" spans="1:13">
      <c r="A105" s="82" t="s">
        <v>227</v>
      </c>
      <c r="B105" s="39">
        <v>-5.8</v>
      </c>
      <c r="C105" s="71"/>
      <c r="D105" s="12">
        <v>0.1664014074224209</v>
      </c>
      <c r="E105" s="10">
        <v>4</v>
      </c>
      <c r="F105" s="10">
        <v>130.5</v>
      </c>
      <c r="G105" s="6">
        <v>5.22</v>
      </c>
      <c r="H105" s="14">
        <f t="shared" si="2"/>
        <v>-5.7749999999999995</v>
      </c>
      <c r="I105" s="23"/>
      <c r="J105" s="7"/>
      <c r="K105" s="7"/>
      <c r="L105" s="24"/>
      <c r="M105" s="11" t="s">
        <v>228</v>
      </c>
    </row>
    <row r="106" spans="1:13">
      <c r="A106" s="83" t="s">
        <v>103</v>
      </c>
      <c r="B106" s="39">
        <v>-3.96</v>
      </c>
      <c r="C106" s="71"/>
      <c r="D106" s="12">
        <v>0.17506472136100007</v>
      </c>
      <c r="E106" s="10">
        <v>7</v>
      </c>
      <c r="F106" s="10">
        <v>254</v>
      </c>
      <c r="G106" s="6">
        <v>2.97</v>
      </c>
      <c r="H106" s="14">
        <f t="shared" si="2"/>
        <v>-4.76</v>
      </c>
      <c r="I106" s="23"/>
      <c r="J106" s="7"/>
      <c r="K106" s="7"/>
      <c r="L106" s="24"/>
      <c r="M106" s="11" t="s">
        <v>229</v>
      </c>
    </row>
    <row r="107" spans="1:13">
      <c r="A107" s="83" t="s">
        <v>230</v>
      </c>
      <c r="B107" s="39">
        <v>-6.65</v>
      </c>
      <c r="C107" s="71"/>
      <c r="D107" s="12">
        <v>0.1605416460069265</v>
      </c>
      <c r="E107" s="10">
        <v>5</v>
      </c>
      <c r="F107" s="10">
        <v>121</v>
      </c>
      <c r="G107" s="6">
        <v>5.91</v>
      </c>
      <c r="H107" s="14">
        <f t="shared" si="2"/>
        <v>-6.37</v>
      </c>
      <c r="I107" s="23"/>
      <c r="J107" s="7"/>
      <c r="K107" s="7"/>
      <c r="L107" s="24"/>
      <c r="M107" s="11" t="s">
        <v>231</v>
      </c>
    </row>
    <row r="108" spans="1:13">
      <c r="A108" s="82" t="s">
        <v>232</v>
      </c>
      <c r="B108" s="39">
        <v>-3.93</v>
      </c>
      <c r="C108" s="71"/>
      <c r="D108" s="12">
        <v>0.15756984748208766</v>
      </c>
      <c r="E108" s="10">
        <v>5</v>
      </c>
      <c r="F108" s="10">
        <v>206.99999999999997</v>
      </c>
      <c r="G108" s="6">
        <v>2.56</v>
      </c>
      <c r="H108" s="14">
        <f t="shared" si="2"/>
        <v>-3.88</v>
      </c>
      <c r="I108" s="23"/>
      <c r="J108" s="7"/>
      <c r="K108" s="7"/>
      <c r="L108" s="24"/>
      <c r="M108" s="11" t="s">
        <v>233</v>
      </c>
    </row>
    <row r="109" spans="1:13">
      <c r="A109" s="81" t="s">
        <v>234</v>
      </c>
      <c r="B109" s="39">
        <v>-4.8099999999999996</v>
      </c>
      <c r="C109" s="71"/>
      <c r="D109" s="12">
        <v>0.16160362353179636</v>
      </c>
      <c r="E109" s="10">
        <v>6</v>
      </c>
      <c r="F109" s="10">
        <v>134.5</v>
      </c>
      <c r="G109" s="6">
        <v>4.8499999999999996</v>
      </c>
      <c r="H109" s="14">
        <f t="shared" si="2"/>
        <v>-5.4449999999999994</v>
      </c>
      <c r="I109" s="23"/>
      <c r="J109" s="7"/>
      <c r="K109" s="7"/>
      <c r="L109" s="24"/>
      <c r="M109" s="11" t="s">
        <v>235</v>
      </c>
    </row>
    <row r="110" spans="1:13">
      <c r="A110" s="81" t="s">
        <v>236</v>
      </c>
      <c r="B110" s="39">
        <v>-2.76</v>
      </c>
      <c r="C110" s="71"/>
      <c r="D110" s="12">
        <v>0.18685765827673947</v>
      </c>
      <c r="E110" s="10">
        <v>6</v>
      </c>
      <c r="F110" s="10">
        <v>275</v>
      </c>
      <c r="G110" s="6">
        <v>2.09</v>
      </c>
      <c r="H110" s="14">
        <f t="shared" si="2"/>
        <v>-4.09</v>
      </c>
      <c r="I110" s="23"/>
      <c r="J110" s="7"/>
      <c r="K110" s="7"/>
      <c r="L110" s="24"/>
      <c r="M110" s="11" t="s">
        <v>237</v>
      </c>
    </row>
    <row r="111" spans="1:13">
      <c r="A111" s="82" t="s">
        <v>238</v>
      </c>
      <c r="B111" s="39">
        <v>-5.67</v>
      </c>
      <c r="C111" s="71"/>
      <c r="D111" s="12">
        <v>0.13950112944748669</v>
      </c>
      <c r="E111" s="10">
        <v>9</v>
      </c>
      <c r="F111" s="10">
        <v>220.00000000000003</v>
      </c>
      <c r="G111" s="6">
        <v>1.8</v>
      </c>
      <c r="H111" s="14">
        <f t="shared" si="2"/>
        <v>-3.2500000000000004</v>
      </c>
      <c r="I111" s="23"/>
      <c r="J111" s="7"/>
      <c r="K111" s="7"/>
      <c r="L111" s="24"/>
      <c r="M111" s="11" t="s">
        <v>239</v>
      </c>
    </row>
    <row r="112" spans="1:13">
      <c r="A112" s="85" t="s">
        <v>240</v>
      </c>
      <c r="B112" s="39">
        <v>-2.99</v>
      </c>
      <c r="C112" s="72"/>
      <c r="D112" s="4">
        <v>0.22014005046870977</v>
      </c>
      <c r="E112" s="2">
        <v>9</v>
      </c>
      <c r="F112" s="10">
        <v>202</v>
      </c>
      <c r="G112" s="6">
        <v>1.53</v>
      </c>
      <c r="H112" s="14">
        <f t="shared" si="2"/>
        <v>-2.8</v>
      </c>
      <c r="I112" s="23"/>
      <c r="J112" s="7"/>
      <c r="K112" s="7"/>
      <c r="L112" s="24"/>
      <c r="M112" s="11" t="s">
        <v>241</v>
      </c>
    </row>
    <row r="113" spans="1:28">
      <c r="A113" s="82" t="s">
        <v>242</v>
      </c>
      <c r="B113" s="39">
        <v>-3.2</v>
      </c>
      <c r="C113" s="71"/>
      <c r="D113" s="12">
        <v>0.14014083879485537</v>
      </c>
      <c r="E113" s="10">
        <v>3</v>
      </c>
      <c r="F113" s="10">
        <v>243.00000000000003</v>
      </c>
      <c r="G113" s="6">
        <v>1.48</v>
      </c>
      <c r="H113" s="14">
        <f t="shared" si="2"/>
        <v>-3.16</v>
      </c>
      <c r="I113" s="23"/>
      <c r="J113" s="7"/>
      <c r="K113" s="7"/>
      <c r="L113" s="24"/>
      <c r="M113" s="11" t="s">
        <v>243</v>
      </c>
    </row>
    <row r="114" spans="1:28">
      <c r="A114" s="83" t="s">
        <v>244</v>
      </c>
      <c r="B114" s="39">
        <v>-3.22</v>
      </c>
      <c r="C114" s="71"/>
      <c r="D114" s="12">
        <v>0.13726989684757951</v>
      </c>
      <c r="E114" s="10">
        <v>3</v>
      </c>
      <c r="F114" s="10">
        <v>191</v>
      </c>
      <c r="G114" s="6">
        <v>1.67</v>
      </c>
      <c r="H114" s="14">
        <f t="shared" si="2"/>
        <v>-2.83</v>
      </c>
      <c r="I114" s="23"/>
      <c r="J114" s="7"/>
      <c r="K114" s="7"/>
      <c r="L114" s="24"/>
      <c r="M114" s="11" t="s">
        <v>245</v>
      </c>
    </row>
    <row r="115" spans="1:28">
      <c r="A115" s="82" t="s">
        <v>246</v>
      </c>
      <c r="B115" s="39">
        <v>-4.4000000000000004</v>
      </c>
      <c r="C115" s="71"/>
      <c r="D115" s="12">
        <v>0.21357402153711522</v>
      </c>
      <c r="E115" s="10">
        <v>7</v>
      </c>
      <c r="F115" s="10">
        <v>183.5</v>
      </c>
      <c r="G115" s="6">
        <v>4.37</v>
      </c>
      <c r="H115" s="14">
        <f t="shared" si="2"/>
        <v>-5.4550000000000001</v>
      </c>
      <c r="I115" s="23"/>
      <c r="J115" s="7"/>
      <c r="K115" s="7"/>
      <c r="L115" s="24"/>
      <c r="M115" s="11" t="s">
        <v>247</v>
      </c>
    </row>
    <row r="116" spans="1:28">
      <c r="A116" s="82" t="s">
        <v>248</v>
      </c>
      <c r="B116" s="39">
        <v>-2.85</v>
      </c>
      <c r="C116" s="71"/>
      <c r="D116" s="12">
        <v>0.10564411177747912</v>
      </c>
      <c r="E116" s="10">
        <v>3</v>
      </c>
      <c r="F116" s="10">
        <v>149</v>
      </c>
      <c r="G116" s="6">
        <v>2.62</v>
      </c>
      <c r="H116" s="14">
        <f t="shared" si="2"/>
        <v>-3.3600000000000003</v>
      </c>
      <c r="I116" s="23"/>
      <c r="J116" s="7"/>
      <c r="K116" s="7"/>
      <c r="L116" s="24"/>
      <c r="M116" s="11" t="s">
        <v>249</v>
      </c>
    </row>
    <row r="117" spans="1:28">
      <c r="A117" s="81" t="s">
        <v>250</v>
      </c>
      <c r="B117" s="39">
        <v>-2.48</v>
      </c>
      <c r="C117" s="71"/>
      <c r="D117" s="12">
        <v>0.14623917640453388</v>
      </c>
      <c r="E117" s="10">
        <v>8</v>
      </c>
      <c r="F117" s="10">
        <v>165</v>
      </c>
      <c r="G117" s="6">
        <v>-0.37</v>
      </c>
      <c r="H117" s="14">
        <f t="shared" si="2"/>
        <v>-0.53000000000000014</v>
      </c>
      <c r="I117" s="23"/>
      <c r="J117" s="7"/>
      <c r="K117" s="7"/>
      <c r="L117" s="24"/>
      <c r="M117" s="11" t="s">
        <v>251</v>
      </c>
    </row>
    <row r="118" spans="1:28">
      <c r="A118" s="82" t="s">
        <v>252</v>
      </c>
      <c r="B118" s="39">
        <v>-2.02</v>
      </c>
      <c r="C118" s="71"/>
      <c r="D118" s="12">
        <v>0.16291639539032501</v>
      </c>
      <c r="E118" s="10">
        <v>10</v>
      </c>
      <c r="F118" s="10">
        <v>225</v>
      </c>
      <c r="G118" s="6">
        <v>0.81</v>
      </c>
      <c r="H118" s="14">
        <f t="shared" si="2"/>
        <v>-2.31</v>
      </c>
      <c r="I118" s="23"/>
      <c r="J118" s="7"/>
      <c r="K118" s="7"/>
      <c r="L118" s="24"/>
      <c r="M118" s="11" t="s">
        <v>253</v>
      </c>
    </row>
    <row r="119" spans="1:28">
      <c r="A119" s="82" t="s">
        <v>254</v>
      </c>
      <c r="B119" s="39">
        <v>-3.52</v>
      </c>
      <c r="C119" s="71"/>
      <c r="D119" s="12">
        <v>0.21166647357477791</v>
      </c>
      <c r="E119" s="10">
        <v>5</v>
      </c>
      <c r="F119" s="10">
        <v>270</v>
      </c>
      <c r="G119" s="6">
        <v>0.62</v>
      </c>
      <c r="H119" s="14">
        <f t="shared" ref="H119:H122" si="3">0.5-G119-0.01*(F119-25)</f>
        <v>-2.5700000000000003</v>
      </c>
      <c r="I119" s="23"/>
      <c r="J119" s="7"/>
      <c r="K119" s="7"/>
      <c r="L119" s="24"/>
      <c r="M119" s="11" t="s">
        <v>255</v>
      </c>
    </row>
    <row r="120" spans="1:28">
      <c r="A120" s="81" t="s">
        <v>256</v>
      </c>
      <c r="B120" s="39">
        <v>-3.6</v>
      </c>
      <c r="C120" s="71"/>
      <c r="D120" s="12">
        <v>0.14175650298978676</v>
      </c>
      <c r="E120" s="10">
        <v>9</v>
      </c>
      <c r="F120" s="10">
        <v>312.66666666666669</v>
      </c>
      <c r="G120" s="6">
        <v>0.83</v>
      </c>
      <c r="H120" s="14">
        <f t="shared" si="3"/>
        <v>-3.206666666666667</v>
      </c>
      <c r="I120" s="23"/>
      <c r="J120" s="7"/>
      <c r="K120" s="7"/>
      <c r="L120" s="24"/>
      <c r="M120" s="11" t="s">
        <v>257</v>
      </c>
    </row>
    <row r="121" spans="1:28">
      <c r="A121" s="82" t="s">
        <v>258</v>
      </c>
      <c r="B121" s="39">
        <v>-3.65</v>
      </c>
      <c r="C121" s="71"/>
      <c r="D121" s="12">
        <v>0.2034688635346244</v>
      </c>
      <c r="E121" s="10">
        <v>11</v>
      </c>
      <c r="F121" s="10">
        <v>161</v>
      </c>
      <c r="G121" s="6">
        <v>3.61</v>
      </c>
      <c r="H121" s="14">
        <f t="shared" si="3"/>
        <v>-4.47</v>
      </c>
      <c r="I121" s="23"/>
      <c r="J121" s="7"/>
      <c r="K121" s="7"/>
      <c r="L121" s="24"/>
      <c r="M121" s="11" t="s">
        <v>259</v>
      </c>
    </row>
    <row r="122" spans="1:28">
      <c r="A122" s="81" t="s">
        <v>109</v>
      </c>
      <c r="B122" s="39">
        <v>-1.64</v>
      </c>
      <c r="C122" s="71"/>
      <c r="D122" s="12">
        <v>0.20579636821699754</v>
      </c>
      <c r="E122" s="10">
        <v>3</v>
      </c>
      <c r="F122" s="10">
        <v>300</v>
      </c>
      <c r="G122" s="6">
        <v>-1.06</v>
      </c>
      <c r="H122" s="14">
        <f t="shared" si="3"/>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s="39">
        <v>-2.8</v>
      </c>
      <c r="C129" s="73" t="s">
        <v>30</v>
      </c>
      <c r="D129" s="12">
        <v>0.50033555401430185</v>
      </c>
      <c r="E129" s="10">
        <v>3</v>
      </c>
      <c r="F129" s="10">
        <v>180</v>
      </c>
      <c r="G129" s="1">
        <v>1.91</v>
      </c>
      <c r="H129" s="14">
        <f t="shared" ref="H129:H160" si="4">0.5-G129-0.01*(F129-25)</f>
        <v>-2.96</v>
      </c>
      <c r="I129" s="53" t="s">
        <v>31</v>
      </c>
      <c r="J129" s="54" t="s">
        <v>367</v>
      </c>
      <c r="K129" s="14"/>
      <c r="L129" s="14"/>
      <c r="M129" s="3" t="s">
        <v>269</v>
      </c>
    </row>
    <row r="130" spans="1:13">
      <c r="A130" s="82" t="s">
        <v>270</v>
      </c>
      <c r="B130" s="39">
        <v>-8.0299999999999994</v>
      </c>
      <c r="C130" s="73" t="s">
        <v>36</v>
      </c>
      <c r="D130" s="12">
        <v>0.5</v>
      </c>
      <c r="E130" s="6">
        <v>5</v>
      </c>
      <c r="F130" s="10">
        <v>156</v>
      </c>
      <c r="G130" s="1">
        <v>6.94</v>
      </c>
      <c r="H130" s="14">
        <f t="shared" si="4"/>
        <v>-7.75</v>
      </c>
      <c r="I130" s="53" t="s">
        <v>37</v>
      </c>
      <c r="J130" s="54"/>
      <c r="K130" s="14"/>
      <c r="L130" s="14"/>
      <c r="M130" s="3" t="s">
        <v>271</v>
      </c>
    </row>
    <row r="131" spans="1:13">
      <c r="A131" s="83" t="s">
        <v>272</v>
      </c>
      <c r="B131" s="39">
        <v>-4.66</v>
      </c>
      <c r="C131" s="73" t="s">
        <v>41</v>
      </c>
      <c r="D131" s="12">
        <v>0.6530957900260097</v>
      </c>
      <c r="E131" s="10">
        <v>3</v>
      </c>
      <c r="F131" s="10">
        <v>208</v>
      </c>
      <c r="G131" s="1">
        <v>5.18</v>
      </c>
      <c r="H131" s="14">
        <f t="shared" si="4"/>
        <v>-6.51</v>
      </c>
      <c r="I131" s="53" t="s">
        <v>42</v>
      </c>
      <c r="J131" s="54"/>
      <c r="K131" s="14"/>
      <c r="L131" s="14"/>
      <c r="M131" s="3" t="s">
        <v>273</v>
      </c>
    </row>
    <row r="132" spans="1:13">
      <c r="A132" s="82" t="s">
        <v>274</v>
      </c>
      <c r="B132" s="39">
        <v>-2.64</v>
      </c>
      <c r="C132" s="73" t="s">
        <v>46</v>
      </c>
      <c r="D132" s="12">
        <v>0.59285217963150294</v>
      </c>
      <c r="E132" s="10">
        <v>3</v>
      </c>
      <c r="F132" s="10">
        <v>100</v>
      </c>
      <c r="G132" s="1">
        <v>2.37</v>
      </c>
      <c r="H132" s="14">
        <f t="shared" si="4"/>
        <v>-2.62</v>
      </c>
      <c r="I132" s="15" t="s">
        <v>47</v>
      </c>
      <c r="J132" s="29"/>
      <c r="K132" s="14"/>
      <c r="L132" s="14"/>
      <c r="M132" s="3" t="s">
        <v>275</v>
      </c>
    </row>
    <row r="133" spans="1:13">
      <c r="A133" s="82" t="s">
        <v>276</v>
      </c>
      <c r="B133" s="39">
        <v>-5.09</v>
      </c>
      <c r="C133" s="73" t="s">
        <v>51</v>
      </c>
      <c r="D133" s="12">
        <v>0.51067901383936642</v>
      </c>
      <c r="E133" s="10">
        <v>5</v>
      </c>
      <c r="F133" s="10">
        <v>217</v>
      </c>
      <c r="G133" s="1">
        <v>3.19</v>
      </c>
      <c r="H133" s="14">
        <f t="shared" si="4"/>
        <v>-4.6099999999999994</v>
      </c>
      <c r="I133" s="15" t="s">
        <v>52</v>
      </c>
      <c r="J133" s="29"/>
      <c r="K133" s="14"/>
      <c r="L133" s="14"/>
      <c r="M133" s="3" t="s">
        <v>277</v>
      </c>
    </row>
    <row r="134" spans="1:13">
      <c r="A134" s="82" t="s">
        <v>278</v>
      </c>
      <c r="B134" s="39">
        <v>-4.93</v>
      </c>
      <c r="C134" s="71"/>
      <c r="D134" s="12">
        <v>0.83065522865171437</v>
      </c>
      <c r="E134" s="10">
        <v>3</v>
      </c>
      <c r="F134" s="10">
        <v>209.50000000000003</v>
      </c>
      <c r="G134" s="1">
        <v>4.41</v>
      </c>
      <c r="H134" s="14">
        <f t="shared" si="4"/>
        <v>-5.7550000000000008</v>
      </c>
      <c r="I134" s="15" t="s">
        <v>56</v>
      </c>
      <c r="J134" s="29"/>
      <c r="K134" s="14"/>
      <c r="L134" s="14"/>
      <c r="M134" s="3" t="s">
        <v>279</v>
      </c>
    </row>
    <row r="135" spans="1:13">
      <c r="A135" s="82" t="s">
        <v>280</v>
      </c>
      <c r="B135" s="39">
        <v>-5.38</v>
      </c>
      <c r="C135" s="71"/>
      <c r="D135" s="12">
        <v>0.51097181417141646</v>
      </c>
      <c r="E135" s="10">
        <v>6</v>
      </c>
      <c r="F135" s="10">
        <v>97.5</v>
      </c>
      <c r="G135" s="1">
        <v>5.19</v>
      </c>
      <c r="H135" s="14">
        <f t="shared" si="4"/>
        <v>-5.415</v>
      </c>
      <c r="I135" s="15" t="s">
        <v>60</v>
      </c>
      <c r="J135" s="31"/>
      <c r="K135" s="14"/>
      <c r="L135" s="14"/>
      <c r="M135" s="3" t="s">
        <v>281</v>
      </c>
    </row>
    <row r="136" spans="1:13">
      <c r="A136" s="81" t="s">
        <v>282</v>
      </c>
      <c r="B136" s="39">
        <v>-8.2200000000000006</v>
      </c>
      <c r="C136" s="71"/>
      <c r="D136" s="12">
        <v>0.92735432696895004</v>
      </c>
      <c r="E136" s="10">
        <v>5</v>
      </c>
      <c r="F136" s="10">
        <v>211</v>
      </c>
      <c r="G136" s="1">
        <v>7.49</v>
      </c>
      <c r="H136" s="14">
        <f t="shared" si="4"/>
        <v>-8.85</v>
      </c>
      <c r="I136" s="30" t="s">
        <v>64</v>
      </c>
      <c r="J136" s="32"/>
      <c r="K136" s="33"/>
      <c r="L136" s="34"/>
      <c r="M136" s="3" t="s">
        <v>283</v>
      </c>
    </row>
    <row r="137" spans="1:13">
      <c r="A137" s="82" t="s">
        <v>112</v>
      </c>
      <c r="B137" s="39">
        <v>-4.93</v>
      </c>
      <c r="C137" s="71"/>
      <c r="D137" s="12">
        <v>0.68239272333923895</v>
      </c>
      <c r="E137" s="10">
        <v>3</v>
      </c>
      <c r="F137" s="10">
        <v>177</v>
      </c>
      <c r="G137" s="1">
        <v>3.37</v>
      </c>
      <c r="H137" s="14">
        <f t="shared" si="4"/>
        <v>-4.3900000000000006</v>
      </c>
      <c r="J137" s="14"/>
      <c r="K137" s="14"/>
      <c r="L137" s="14"/>
      <c r="M137" s="3" t="s">
        <v>284</v>
      </c>
    </row>
    <row r="138" spans="1:13">
      <c r="A138" s="82" t="s">
        <v>285</v>
      </c>
      <c r="B138" s="39">
        <v>-4.97</v>
      </c>
      <c r="C138" s="71"/>
      <c r="D138" s="12">
        <v>0.520951861602862</v>
      </c>
      <c r="E138" s="10">
        <v>10</v>
      </c>
      <c r="F138" s="10">
        <v>228.6</v>
      </c>
      <c r="G138" s="1">
        <v>4.22</v>
      </c>
      <c r="H138" s="14">
        <f t="shared" si="4"/>
        <v>-5.7560000000000002</v>
      </c>
      <c r="I138" s="16" t="s">
        <v>286</v>
      </c>
      <c r="J138" s="17"/>
      <c r="K138" s="17"/>
      <c r="L138" s="18"/>
      <c r="M138" s="3" t="s">
        <v>287</v>
      </c>
    </row>
    <row r="139" spans="1:13">
      <c r="A139" s="81" t="s">
        <v>288</v>
      </c>
      <c r="B139" s="39">
        <v>-1.24</v>
      </c>
      <c r="C139" s="71"/>
      <c r="D139" s="12">
        <v>0.53906642829149898</v>
      </c>
      <c r="E139" s="10">
        <v>3</v>
      </c>
      <c r="F139" s="10">
        <v>161.5</v>
      </c>
      <c r="G139" s="1">
        <v>-0.21</v>
      </c>
      <c r="H139" s="14">
        <f t="shared" si="4"/>
        <v>-0.65500000000000003</v>
      </c>
      <c r="I139" s="124" t="s">
        <v>632</v>
      </c>
      <c r="J139" s="21"/>
      <c r="K139" s="21"/>
      <c r="L139" s="22"/>
      <c r="M139" s="3" t="s">
        <v>289</v>
      </c>
    </row>
    <row r="140" spans="1:13">
      <c r="A140" s="81" t="s">
        <v>290</v>
      </c>
      <c r="B140" s="39">
        <v>-4.5599999999999996</v>
      </c>
      <c r="C140" s="71"/>
      <c r="D140" s="12">
        <v>0.56233984781338708</v>
      </c>
      <c r="E140" s="10">
        <v>11</v>
      </c>
      <c r="F140" s="10">
        <v>213.49999999999997</v>
      </c>
      <c r="G140" s="1">
        <v>3.04</v>
      </c>
      <c r="H140" s="14">
        <f t="shared" si="4"/>
        <v>-4.4249999999999998</v>
      </c>
      <c r="I140" s="23"/>
      <c r="J140" s="7"/>
      <c r="K140" s="7"/>
      <c r="L140" s="24"/>
      <c r="M140" s="3" t="s">
        <v>291</v>
      </c>
    </row>
    <row r="141" spans="1:13">
      <c r="A141" s="83" t="s">
        <v>292</v>
      </c>
      <c r="B141" s="39">
        <v>-3.12</v>
      </c>
      <c r="C141" s="71"/>
      <c r="D141" s="12">
        <v>0.54710381306524825</v>
      </c>
      <c r="E141" s="10">
        <v>4</v>
      </c>
      <c r="F141" s="10">
        <v>168.5</v>
      </c>
      <c r="G141" s="1">
        <v>3.35</v>
      </c>
      <c r="H141" s="14">
        <f t="shared" si="4"/>
        <v>-4.2850000000000001</v>
      </c>
      <c r="I141" s="23"/>
      <c r="J141" s="7"/>
      <c r="K141" s="7"/>
      <c r="L141" s="24"/>
      <c r="M141" s="3" t="s">
        <v>293</v>
      </c>
    </row>
    <row r="142" spans="1:13">
      <c r="A142" s="81" t="s">
        <v>114</v>
      </c>
      <c r="B142" s="39">
        <v>-3.17</v>
      </c>
      <c r="C142" s="71"/>
      <c r="D142" s="12">
        <v>0.54612637818466869</v>
      </c>
      <c r="E142" s="10">
        <v>3</v>
      </c>
      <c r="F142" s="13">
        <v>124.1</v>
      </c>
      <c r="G142" s="1">
        <v>2.81</v>
      </c>
      <c r="H142" s="14">
        <f t="shared" si="4"/>
        <v>-3.3010000000000002</v>
      </c>
      <c r="I142" s="25"/>
      <c r="J142" s="7"/>
      <c r="K142" s="7"/>
      <c r="L142" s="24"/>
      <c r="M142" s="3" t="s">
        <v>294</v>
      </c>
    </row>
    <row r="143" spans="1:13">
      <c r="A143" s="81" t="s">
        <v>295</v>
      </c>
      <c r="B143" s="39">
        <v>-4.7699999999999996</v>
      </c>
      <c r="C143" s="71"/>
      <c r="D143" s="12">
        <v>0.51160213896594608</v>
      </c>
      <c r="E143" s="10">
        <v>4</v>
      </c>
      <c r="F143" s="10">
        <v>165</v>
      </c>
      <c r="G143" s="1">
        <v>4.8899999999999997</v>
      </c>
      <c r="H143" s="14">
        <f t="shared" si="4"/>
        <v>-5.79</v>
      </c>
      <c r="I143" s="25"/>
      <c r="J143" s="7"/>
      <c r="K143" s="7"/>
      <c r="L143" s="24"/>
      <c r="M143" s="3" t="s">
        <v>296</v>
      </c>
    </row>
    <row r="144" spans="1:13">
      <c r="A144" s="81" t="s">
        <v>117</v>
      </c>
      <c r="B144" s="39">
        <v>-5.21</v>
      </c>
      <c r="C144" s="71"/>
      <c r="D144" s="12">
        <v>0.65141515533308314</v>
      </c>
      <c r="E144" s="10">
        <v>4</v>
      </c>
      <c r="F144" s="10">
        <v>161.1</v>
      </c>
      <c r="G144" s="1">
        <v>4.76</v>
      </c>
      <c r="H144" s="14">
        <f t="shared" si="4"/>
        <v>-5.6209999999999996</v>
      </c>
      <c r="I144" s="25"/>
      <c r="J144" s="7"/>
      <c r="K144" s="7"/>
      <c r="L144" s="24"/>
      <c r="M144" s="3" t="s">
        <v>297</v>
      </c>
    </row>
    <row r="145" spans="1:28">
      <c r="A145" s="83" t="s">
        <v>298</v>
      </c>
      <c r="B145" s="39">
        <v>-6.16</v>
      </c>
      <c r="C145" s="71"/>
      <c r="D145" s="12">
        <v>0.65883215509381909</v>
      </c>
      <c r="E145" s="10">
        <v>3</v>
      </c>
      <c r="F145" s="10">
        <v>155</v>
      </c>
      <c r="G145" s="1">
        <v>3.74</v>
      </c>
      <c r="H145" s="14">
        <f t="shared" si="4"/>
        <v>-4.54</v>
      </c>
      <c r="I145" s="25"/>
      <c r="J145" s="7"/>
      <c r="K145" s="7"/>
      <c r="L145" s="24"/>
      <c r="M145" s="3" t="s">
        <v>299</v>
      </c>
    </row>
    <row r="146" spans="1:28">
      <c r="A146" s="82" t="s">
        <v>300</v>
      </c>
      <c r="B146" s="39">
        <v>-6.94</v>
      </c>
      <c r="C146" s="71"/>
      <c r="D146" s="12">
        <v>0.61400477095750339</v>
      </c>
      <c r="E146" s="10">
        <v>3</v>
      </c>
      <c r="F146" s="10">
        <v>165.4</v>
      </c>
      <c r="G146" s="1">
        <v>5.58</v>
      </c>
      <c r="H146" s="14">
        <f t="shared" si="4"/>
        <v>-6.484</v>
      </c>
      <c r="I146" s="25"/>
      <c r="J146" s="7"/>
      <c r="K146" s="7"/>
      <c r="L146" s="24"/>
      <c r="M146" s="3" t="s">
        <v>301</v>
      </c>
    </row>
    <row r="147" spans="1:28">
      <c r="A147" s="82" t="s">
        <v>302</v>
      </c>
      <c r="B147" s="39">
        <v>-5.25</v>
      </c>
      <c r="C147" s="71"/>
      <c r="D147" s="12">
        <v>0.50406532001413251</v>
      </c>
      <c r="E147" s="10">
        <v>6</v>
      </c>
      <c r="F147" s="10">
        <v>161</v>
      </c>
      <c r="G147" s="1">
        <v>6.45</v>
      </c>
      <c r="H147" s="14">
        <f t="shared" si="4"/>
        <v>-7.3100000000000005</v>
      </c>
      <c r="I147" s="26"/>
      <c r="J147" s="27"/>
      <c r="K147" s="27"/>
      <c r="L147" s="28"/>
      <c r="M147" s="3" t="s">
        <v>303</v>
      </c>
    </row>
    <row r="148" spans="1:28">
      <c r="A148" s="82" t="s">
        <v>304</v>
      </c>
      <c r="B148" s="39">
        <v>-4.75</v>
      </c>
      <c r="C148" s="71"/>
      <c r="D148" s="12">
        <v>0.75493366325441691</v>
      </c>
      <c r="E148" s="10">
        <v>4</v>
      </c>
      <c r="F148" s="10">
        <v>193.5</v>
      </c>
      <c r="G148" s="1">
        <v>5.41</v>
      </c>
      <c r="H148" s="14">
        <f t="shared" si="4"/>
        <v>-6.5950000000000006</v>
      </c>
      <c r="J148" s="14"/>
      <c r="K148" s="14"/>
      <c r="L148" s="14"/>
      <c r="M148" s="3" t="s">
        <v>305</v>
      </c>
    </row>
    <row r="149" spans="1:28">
      <c r="A149" s="82" t="s">
        <v>306</v>
      </c>
      <c r="B149" s="39">
        <v>-3.2</v>
      </c>
      <c r="C149" s="71"/>
      <c r="D149" s="12">
        <v>0.50089358058597189</v>
      </c>
      <c r="E149" s="10">
        <v>3</v>
      </c>
      <c r="F149" s="10">
        <v>156</v>
      </c>
      <c r="G149" s="1">
        <v>2.9</v>
      </c>
      <c r="H149" s="14">
        <f t="shared" si="4"/>
        <v>-3.71</v>
      </c>
      <c r="I149" s="70" t="s">
        <v>133</v>
      </c>
      <c r="J149" s="75">
        <v>346</v>
      </c>
      <c r="K149" s="34"/>
      <c r="L149" s="14"/>
      <c r="M149" s="3" t="s">
        <v>307</v>
      </c>
    </row>
    <row r="150" spans="1:28">
      <c r="A150" s="83" t="s">
        <v>308</v>
      </c>
      <c r="B150" s="39">
        <v>-4.5999999999999996</v>
      </c>
      <c r="C150" s="71"/>
      <c r="D150" s="12">
        <v>0.6587984329866341</v>
      </c>
      <c r="E150" s="10">
        <v>4</v>
      </c>
      <c r="F150" s="10">
        <v>183.5</v>
      </c>
      <c r="G150" s="1">
        <v>3.16</v>
      </c>
      <c r="H150" s="14">
        <f t="shared" si="4"/>
        <v>-4.2450000000000001</v>
      </c>
      <c r="I150" s="70" t="s">
        <v>136</v>
      </c>
      <c r="J150" s="75">
        <v>90</v>
      </c>
      <c r="K150" s="34"/>
      <c r="L150" s="14"/>
      <c r="M150" s="3" t="s">
        <v>309</v>
      </c>
    </row>
    <row r="151" spans="1:28">
      <c r="A151" s="83" t="s">
        <v>310</v>
      </c>
      <c r="B151" s="39">
        <v>-2.29</v>
      </c>
      <c r="C151" s="71"/>
      <c r="D151" s="12">
        <v>0.59871706042825668</v>
      </c>
      <c r="E151" s="10">
        <v>3</v>
      </c>
      <c r="F151" s="10">
        <v>61</v>
      </c>
      <c r="G151" s="1">
        <v>1.77</v>
      </c>
      <c r="H151" s="14">
        <f t="shared" si="4"/>
        <v>-1.63</v>
      </c>
      <c r="I151" s="70" t="s">
        <v>139</v>
      </c>
      <c r="J151" s="75">
        <f>COUNTA(A129:A160)</f>
        <v>32</v>
      </c>
      <c r="K151" s="34"/>
      <c r="L151" s="14"/>
      <c r="M151" s="3" t="s">
        <v>311</v>
      </c>
    </row>
    <row r="152" spans="1:28">
      <c r="A152" s="82" t="s">
        <v>312</v>
      </c>
      <c r="B152" s="39">
        <v>-3.52</v>
      </c>
      <c r="C152" s="71"/>
      <c r="D152" s="12">
        <v>0.57115657899345518</v>
      </c>
      <c r="E152" s="10">
        <v>7</v>
      </c>
      <c r="F152" s="10">
        <v>177</v>
      </c>
      <c r="G152" s="1">
        <v>3.17</v>
      </c>
      <c r="H152" s="14">
        <f t="shared" si="4"/>
        <v>-4.1899999999999995</v>
      </c>
      <c r="I152" s="14"/>
      <c r="J152" s="14"/>
      <c r="K152" s="14"/>
      <c r="L152" s="14"/>
      <c r="M152" s="3" t="s">
        <v>313</v>
      </c>
    </row>
    <row r="153" spans="1:28">
      <c r="A153" s="81" t="s">
        <v>314</v>
      </c>
      <c r="B153" s="39">
        <v>-6.59</v>
      </c>
      <c r="C153" s="71"/>
      <c r="D153" s="12">
        <v>0.55807775121880254</v>
      </c>
      <c r="E153" s="10">
        <v>6</v>
      </c>
      <c r="F153" s="10">
        <v>145</v>
      </c>
      <c r="G153" s="1">
        <v>6.08</v>
      </c>
      <c r="H153" s="14">
        <f t="shared" si="4"/>
        <v>-6.78</v>
      </c>
      <c r="I153" s="19" t="s">
        <v>144</v>
      </c>
      <c r="J153" s="17"/>
      <c r="K153" s="17"/>
      <c r="L153" s="18"/>
      <c r="M153" s="3" t="s">
        <v>315</v>
      </c>
    </row>
    <row r="154" spans="1:28">
      <c r="A154" s="81" t="s">
        <v>316</v>
      </c>
      <c r="B154" s="39">
        <v>-7.06</v>
      </c>
      <c r="C154" s="71"/>
      <c r="D154" s="12">
        <v>0.66417698790166113</v>
      </c>
      <c r="E154" s="10">
        <v>3</v>
      </c>
      <c r="F154" s="13">
        <v>175.8</v>
      </c>
      <c r="G154" s="1">
        <v>4.62</v>
      </c>
      <c r="H154" s="14">
        <f t="shared" si="4"/>
        <v>-5.6280000000000001</v>
      </c>
      <c r="I154" s="124" t="s">
        <v>665</v>
      </c>
      <c r="J154" s="21"/>
      <c r="K154" s="21"/>
      <c r="L154" s="22"/>
      <c r="M154" s="3" t="s">
        <v>317</v>
      </c>
    </row>
    <row r="155" spans="1:28">
      <c r="A155" s="82" t="s">
        <v>318</v>
      </c>
      <c r="B155" s="39">
        <v>-6</v>
      </c>
      <c r="C155" s="71"/>
      <c r="D155" s="12">
        <v>0.57716593661781801</v>
      </c>
      <c r="E155" s="10">
        <v>3</v>
      </c>
      <c r="F155" s="10">
        <v>349.84</v>
      </c>
      <c r="G155" s="1">
        <v>3.09</v>
      </c>
      <c r="H155" s="14">
        <f t="shared" si="4"/>
        <v>-5.8384</v>
      </c>
      <c r="I155" s="128" t="s">
        <v>664</v>
      </c>
      <c r="J155" s="7"/>
      <c r="K155" s="7"/>
      <c r="L155" s="24"/>
      <c r="M155" s="3" t="s">
        <v>319</v>
      </c>
    </row>
    <row r="156" spans="1:28">
      <c r="A156" s="83" t="s">
        <v>320</v>
      </c>
      <c r="B156" s="39">
        <v>-3.47</v>
      </c>
      <c r="C156" s="71"/>
      <c r="D156" s="12">
        <v>0.70324590282883903</v>
      </c>
      <c r="E156" s="10">
        <v>3</v>
      </c>
      <c r="F156" s="10">
        <v>204</v>
      </c>
      <c r="G156" s="1">
        <v>0.88</v>
      </c>
      <c r="H156" s="14">
        <f t="shared" si="4"/>
        <v>-2.17</v>
      </c>
      <c r="I156" s="128" t="s">
        <v>663</v>
      </c>
      <c r="J156" s="7"/>
      <c r="K156" s="7"/>
      <c r="L156" s="24"/>
      <c r="M156" s="3" t="s">
        <v>321</v>
      </c>
    </row>
    <row r="157" spans="1:28">
      <c r="A157" s="82" t="s">
        <v>322</v>
      </c>
      <c r="B157" s="39">
        <v>-6.96</v>
      </c>
      <c r="C157" s="71"/>
      <c r="D157" s="12">
        <v>0.7237903588794764</v>
      </c>
      <c r="E157" s="10">
        <v>7</v>
      </c>
      <c r="F157" s="10">
        <v>97.8</v>
      </c>
      <c r="G157" s="1">
        <v>6</v>
      </c>
      <c r="H157" s="14">
        <f t="shared" si="4"/>
        <v>-6.2279999999999998</v>
      </c>
      <c r="I157" s="23"/>
      <c r="J157" s="7"/>
      <c r="K157" s="7"/>
      <c r="L157" s="24"/>
      <c r="M157" s="3" t="s">
        <v>323</v>
      </c>
    </row>
    <row r="158" spans="1:28">
      <c r="A158" s="82" t="s">
        <v>324</v>
      </c>
      <c r="B158" s="39">
        <v>-6.87</v>
      </c>
      <c r="C158" s="71"/>
      <c r="D158" s="12">
        <v>0.84033450922624497</v>
      </c>
      <c r="E158" s="10">
        <v>5</v>
      </c>
      <c r="F158" s="10">
        <v>262</v>
      </c>
      <c r="G158" s="1">
        <v>7.26</v>
      </c>
      <c r="H158" s="14">
        <f t="shared" si="4"/>
        <v>-9.129999999999999</v>
      </c>
      <c r="I158" s="23"/>
      <c r="J158" s="7"/>
      <c r="K158" s="7"/>
      <c r="L158" s="24"/>
      <c r="M158" s="3" t="s">
        <v>325</v>
      </c>
    </row>
    <row r="159" spans="1:28">
      <c r="A159" s="82" t="s">
        <v>326</v>
      </c>
      <c r="B159" s="39">
        <v>-5.72</v>
      </c>
      <c r="C159" s="71"/>
      <c r="D159" s="12">
        <v>0.70969645885144073</v>
      </c>
      <c r="E159" s="10">
        <v>11</v>
      </c>
      <c r="F159" s="10">
        <v>149.6</v>
      </c>
      <c r="G159" s="1">
        <v>6.45</v>
      </c>
      <c r="H159" s="14">
        <f t="shared" si="4"/>
        <v>-7.1959999999999997</v>
      </c>
      <c r="I159" s="23"/>
      <c r="J159" s="7"/>
      <c r="K159" s="7"/>
      <c r="L159" s="24"/>
      <c r="M159" s="3" t="s">
        <v>327</v>
      </c>
    </row>
    <row r="160" spans="1:28" s="62" customFormat="1">
      <c r="A160" s="81" t="s">
        <v>328</v>
      </c>
      <c r="B160" s="39">
        <v>-2.78</v>
      </c>
      <c r="C160" s="71"/>
      <c r="D160" s="12">
        <v>0.49644864464459931</v>
      </c>
      <c r="E160" s="10">
        <v>4</v>
      </c>
      <c r="F160" s="10">
        <v>304.5</v>
      </c>
      <c r="G160" s="1">
        <v>2.69</v>
      </c>
      <c r="H160" s="14">
        <f t="shared" si="4"/>
        <v>-4.9849999999999994</v>
      </c>
      <c r="I160" s="35"/>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662</v>
      </c>
    </row>
    <row r="194" spans="1:17">
      <c r="A194" s="43" t="s">
        <v>660</v>
      </c>
      <c r="B194" s="44"/>
      <c r="C194" s="44"/>
      <c r="D194" s="44"/>
      <c r="E194" s="44"/>
      <c r="F194" s="44"/>
      <c r="G194" s="44"/>
      <c r="H194" s="44"/>
      <c r="I194" s="44"/>
      <c r="J194" s="44"/>
      <c r="K194" s="44"/>
      <c r="L194" s="44"/>
      <c r="M194" s="48"/>
      <c r="N194" s="44"/>
      <c r="O194" s="44"/>
      <c r="P194" s="44"/>
      <c r="Q194" s="45"/>
    </row>
    <row r="195" spans="1:17">
      <c r="A195" s="43" t="s">
        <v>661</v>
      </c>
      <c r="B195" s="44"/>
      <c r="C195" s="44"/>
      <c r="D195" s="44"/>
      <c r="E195" s="44"/>
      <c r="F195" s="44"/>
      <c r="G195" s="44"/>
      <c r="H195" s="44"/>
      <c r="I195" s="44"/>
      <c r="J195" s="44"/>
      <c r="K195" s="44"/>
      <c r="L195" s="44"/>
      <c r="M195" s="48"/>
      <c r="N195" s="44"/>
      <c r="O195" s="44"/>
      <c r="P195" s="44"/>
      <c r="Q195" s="45"/>
    </row>
  </sheetData>
  <pageMargins left="0" right="0" top="0" bottom="0" header="0.3" footer="0.3"/>
  <pageSetup scale="54"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E9D5C-0C2D-41FE-9060-294BEE2BDE45}">
  <dimension ref="A1:AB199"/>
  <sheetViews>
    <sheetView workbookViewId="0">
      <selection activeCell="B4" sqref="B4:B9"/>
    </sheetView>
  </sheetViews>
  <sheetFormatPr baseColWidth="10" defaultColWidth="9.1640625" defaultRowHeight="15"/>
  <cols>
    <col min="1" max="1" width="18.83203125" customWidth="1"/>
    <col min="2" max="3" width="11.33203125" customWidth="1"/>
    <col min="4" max="4" width="7.6640625" customWidth="1"/>
    <col min="5" max="5" width="7.83203125" customWidth="1"/>
    <col min="6" max="6" width="10.1640625" customWidth="1"/>
    <col min="7" max="7" width="11.5" customWidth="1"/>
    <col min="9" max="9" width="67.6640625" customWidth="1"/>
    <col min="10" max="10" width="4.5" customWidth="1"/>
    <col min="11" max="11" width="18" customWidth="1"/>
    <col min="12" max="12" width="31.664062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41"/>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t="s">
        <v>32</v>
      </c>
      <c r="C14" t="s">
        <v>11</v>
      </c>
    </row>
    <row r="15" spans="1:25" s="90" customFormat="1">
      <c r="A15" s="89" t="s">
        <v>12</v>
      </c>
    </row>
    <row r="16" spans="1:25">
      <c r="B16" s="117"/>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s="239">
        <v>-2.37211506695184</v>
      </c>
      <c r="C23" s="73" t="s">
        <v>30</v>
      </c>
      <c r="D23" s="12">
        <v>0.17592262140645501</v>
      </c>
      <c r="E23" s="10">
        <v>11</v>
      </c>
      <c r="F23" s="10">
        <v>258.5</v>
      </c>
      <c r="G23" s="6">
        <v>-0.86</v>
      </c>
      <c r="H23" s="14">
        <f t="shared" ref="H23:H86" si="0">0.5-G23-0.01*(F23-25)</f>
        <v>-0.97500000000000009</v>
      </c>
      <c r="I23" s="53" t="s">
        <v>31</v>
      </c>
      <c r="J23" s="54"/>
      <c r="K23" s="14"/>
      <c r="L23" s="14"/>
      <c r="M23" s="11" t="s">
        <v>33</v>
      </c>
    </row>
    <row r="24" spans="1:28">
      <c r="A24" s="82" t="s">
        <v>35</v>
      </c>
      <c r="B24" s="239">
        <v>-1.5394971045416199</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s="239">
        <v>-3.2694632249462701</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s="239">
        <v>-4.0026022314698704</v>
      </c>
      <c r="C26" s="73" t="s">
        <v>46</v>
      </c>
      <c r="D26" s="12">
        <v>0.16999222507469616</v>
      </c>
      <c r="E26" s="10">
        <v>3</v>
      </c>
      <c r="F26" s="10">
        <v>234</v>
      </c>
      <c r="G26" s="6">
        <v>3.19</v>
      </c>
      <c r="H26" s="14">
        <f t="shared" si="0"/>
        <v>-4.7799999999999994</v>
      </c>
      <c r="I26" s="15" t="s">
        <v>47</v>
      </c>
      <c r="J26" s="29"/>
      <c r="K26" s="14"/>
      <c r="L26" s="14"/>
      <c r="M26" s="11" t="s">
        <v>48</v>
      </c>
    </row>
    <row r="27" spans="1:28">
      <c r="A27" s="82" t="s">
        <v>50</v>
      </c>
      <c r="B27" s="239">
        <v>-4.92788175482558</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s="239">
        <v>-5.7377364062369702</v>
      </c>
      <c r="C28" s="71"/>
      <c r="D28" s="12">
        <v>0.18412396392404196</v>
      </c>
      <c r="E28" s="10">
        <v>3</v>
      </c>
      <c r="F28" s="10">
        <v>224.00000000000003</v>
      </c>
      <c r="G28" s="6">
        <v>5.51</v>
      </c>
      <c r="H28" s="14">
        <f t="shared" si="0"/>
        <v>-7</v>
      </c>
      <c r="I28" s="15" t="s">
        <v>56</v>
      </c>
      <c r="J28" s="29"/>
      <c r="K28" s="14"/>
      <c r="L28" s="14"/>
      <c r="M28" s="11" t="s">
        <v>57</v>
      </c>
    </row>
    <row r="29" spans="1:28">
      <c r="A29" s="81" t="s">
        <v>59</v>
      </c>
      <c r="B29" s="239">
        <v>-2.0254930347011602</v>
      </c>
      <c r="C29" s="71"/>
      <c r="D29" s="12">
        <v>0.14933733874523175</v>
      </c>
      <c r="E29" s="10">
        <v>6</v>
      </c>
      <c r="F29" s="10">
        <v>172.5</v>
      </c>
      <c r="G29" s="6">
        <v>1.78</v>
      </c>
      <c r="H29" s="14">
        <f t="shared" si="0"/>
        <v>-2.7549999999999999</v>
      </c>
      <c r="I29" s="15" t="s">
        <v>60</v>
      </c>
      <c r="J29" s="31" t="s">
        <v>367</v>
      </c>
      <c r="K29" s="14"/>
      <c r="L29" s="14"/>
      <c r="M29" s="11" t="s">
        <v>61</v>
      </c>
    </row>
    <row r="30" spans="1:28">
      <c r="A30" s="81" t="s">
        <v>63</v>
      </c>
      <c r="B30" s="239">
        <v>-2.2897295801600901</v>
      </c>
      <c r="C30" s="71"/>
      <c r="D30" s="12">
        <v>0.14842266063120066</v>
      </c>
      <c r="E30" s="10">
        <v>4</v>
      </c>
      <c r="F30" s="10">
        <v>207.50000000000003</v>
      </c>
      <c r="G30" s="6">
        <v>1.86</v>
      </c>
      <c r="H30" s="14">
        <f t="shared" si="0"/>
        <v>-3.1850000000000005</v>
      </c>
      <c r="I30" s="30" t="s">
        <v>64</v>
      </c>
      <c r="J30" s="32"/>
      <c r="K30" s="33"/>
      <c r="L30" s="34"/>
      <c r="M30" s="11" t="s">
        <v>65</v>
      </c>
    </row>
    <row r="31" spans="1:28">
      <c r="A31" s="83" t="s">
        <v>66</v>
      </c>
      <c r="B31" s="239">
        <v>-2.24684791052821</v>
      </c>
      <c r="C31" s="71"/>
      <c r="D31" s="12">
        <v>0.1617973106900604</v>
      </c>
      <c r="E31" s="10">
        <v>10</v>
      </c>
      <c r="F31" s="10">
        <v>166.5</v>
      </c>
      <c r="G31" s="6">
        <v>0.79</v>
      </c>
      <c r="H31" s="14">
        <f t="shared" si="0"/>
        <v>-1.7050000000000001</v>
      </c>
      <c r="J31" s="14"/>
      <c r="K31" s="14"/>
      <c r="L31" s="14"/>
      <c r="M31" s="11" t="s">
        <v>67</v>
      </c>
    </row>
    <row r="32" spans="1:28">
      <c r="A32" s="82" t="s">
        <v>68</v>
      </c>
      <c r="B32" s="239">
        <v>-3.9072876259110498</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s="239">
        <v>-3.5529656597452299</v>
      </c>
      <c r="C33" s="72"/>
      <c r="D33" s="4">
        <v>0.12912520605069597</v>
      </c>
      <c r="E33" s="2">
        <v>3</v>
      </c>
      <c r="F33" s="13">
        <v>192.7</v>
      </c>
      <c r="G33" s="6">
        <v>2.63</v>
      </c>
      <c r="H33" s="14">
        <f t="shared" si="0"/>
        <v>-3.8069999999999995</v>
      </c>
      <c r="I33" s="20" t="s">
        <v>666</v>
      </c>
      <c r="J33" s="21"/>
      <c r="K33" s="21"/>
      <c r="L33" s="22"/>
      <c r="M33" s="11" t="s">
        <v>72</v>
      </c>
    </row>
    <row r="34" spans="1:13">
      <c r="A34" s="81" t="s">
        <v>74</v>
      </c>
      <c r="B34" s="239">
        <v>-6.27288669150008</v>
      </c>
      <c r="C34" s="71"/>
      <c r="D34" s="12">
        <v>0.14911462098310888</v>
      </c>
      <c r="E34" s="10">
        <v>6</v>
      </c>
      <c r="F34" s="10">
        <v>167</v>
      </c>
      <c r="G34" s="6">
        <v>6.32</v>
      </c>
      <c r="H34" s="14">
        <f t="shared" si="0"/>
        <v>-7.24</v>
      </c>
      <c r="I34" s="23" t="s">
        <v>667</v>
      </c>
      <c r="J34" s="7"/>
      <c r="K34" s="7"/>
      <c r="L34" s="24"/>
      <c r="M34" s="11" t="s">
        <v>75</v>
      </c>
    </row>
    <row r="35" spans="1:13">
      <c r="A35" s="82" t="s">
        <v>77</v>
      </c>
      <c r="B35" s="239">
        <v>-4.1872223718801704</v>
      </c>
      <c r="C35" s="71"/>
      <c r="D35" s="12">
        <v>0.15809078703524676</v>
      </c>
      <c r="E35" s="10">
        <v>15</v>
      </c>
      <c r="F35" s="10">
        <v>191.5</v>
      </c>
      <c r="G35" s="6">
        <v>3.39</v>
      </c>
      <c r="H35" s="14">
        <f t="shared" si="0"/>
        <v>-4.5549999999999997</v>
      </c>
      <c r="I35" s="23"/>
      <c r="J35" s="7"/>
      <c r="K35" s="7"/>
      <c r="L35" s="24"/>
      <c r="M35" s="11" t="s">
        <v>78</v>
      </c>
    </row>
    <row r="36" spans="1:13">
      <c r="A36" s="83" t="s">
        <v>80</v>
      </c>
      <c r="B36" s="239">
        <v>-4.2963592400643096</v>
      </c>
      <c r="C36" s="71"/>
      <c r="D36" s="12">
        <v>0.1911503089068218</v>
      </c>
      <c r="E36" s="10">
        <v>3</v>
      </c>
      <c r="F36" s="10">
        <v>246.2</v>
      </c>
      <c r="G36" s="6">
        <v>3.32</v>
      </c>
      <c r="H36" s="14">
        <f t="shared" si="0"/>
        <v>-5.032</v>
      </c>
      <c r="I36" s="25"/>
      <c r="J36" s="7"/>
      <c r="K36" s="7"/>
      <c r="L36" s="24"/>
      <c r="M36" s="11" t="s">
        <v>81</v>
      </c>
    </row>
    <row r="37" spans="1:13">
      <c r="A37" s="83" t="s">
        <v>73</v>
      </c>
      <c r="B37" s="239">
        <v>-2.1785661202000699</v>
      </c>
      <c r="C37" s="71"/>
      <c r="D37" s="12">
        <v>0.19050575600734274</v>
      </c>
      <c r="E37" s="10">
        <v>4</v>
      </c>
      <c r="F37" s="10">
        <v>304</v>
      </c>
      <c r="G37" s="6">
        <v>1.74</v>
      </c>
      <c r="H37" s="14">
        <f t="shared" si="0"/>
        <v>-4.03</v>
      </c>
      <c r="I37" s="25"/>
      <c r="J37" s="7"/>
      <c r="K37" s="7"/>
      <c r="L37" s="24"/>
      <c r="M37" s="11" t="s">
        <v>83</v>
      </c>
    </row>
    <row r="38" spans="1:13">
      <c r="A38" s="81" t="s">
        <v>76</v>
      </c>
      <c r="B38" s="239">
        <v>-2.87279374138719</v>
      </c>
      <c r="C38" s="71"/>
      <c r="D38" s="12">
        <v>0.13682393527498057</v>
      </c>
      <c r="E38" s="10">
        <v>7</v>
      </c>
      <c r="F38" s="10">
        <v>187</v>
      </c>
      <c r="G38" s="6">
        <v>-0.87</v>
      </c>
      <c r="H38" s="14">
        <f t="shared" si="0"/>
        <v>-0.25</v>
      </c>
      <c r="I38" s="25"/>
      <c r="J38" s="7"/>
      <c r="K38" s="7"/>
      <c r="L38" s="24"/>
      <c r="M38" s="66" t="s">
        <v>85</v>
      </c>
    </row>
    <row r="39" spans="1:13">
      <c r="A39" s="81" t="s">
        <v>87</v>
      </c>
      <c r="B39" s="239">
        <v>-2.6068110913421698</v>
      </c>
      <c r="C39" s="71"/>
      <c r="D39" s="12">
        <v>0.20462356367492032</v>
      </c>
      <c r="E39" s="10">
        <v>4</v>
      </c>
      <c r="F39" s="10">
        <v>221.5</v>
      </c>
      <c r="G39" s="6">
        <v>0.71</v>
      </c>
      <c r="H39" s="14">
        <f t="shared" si="0"/>
        <v>-2.1749999999999998</v>
      </c>
      <c r="I39" s="25"/>
      <c r="J39" s="7"/>
      <c r="K39" s="7"/>
      <c r="L39" s="24"/>
      <c r="M39" s="11" t="s">
        <v>88</v>
      </c>
    </row>
    <row r="40" spans="1:13">
      <c r="A40" s="81" t="s">
        <v>90</v>
      </c>
      <c r="B40" s="239">
        <v>-4.3996451942289401</v>
      </c>
      <c r="C40" s="71"/>
      <c r="D40" s="12">
        <v>0.18274602564465547</v>
      </c>
      <c r="E40" s="10">
        <v>6</v>
      </c>
      <c r="F40" s="10">
        <v>157.83333333333334</v>
      </c>
      <c r="G40" s="6">
        <v>3.51</v>
      </c>
      <c r="H40" s="14">
        <f t="shared" si="0"/>
        <v>-4.3383333333333329</v>
      </c>
      <c r="I40" s="25"/>
      <c r="J40" s="39"/>
      <c r="K40" s="39"/>
      <c r="L40" s="40"/>
      <c r="M40" s="11" t="s">
        <v>91</v>
      </c>
    </row>
    <row r="41" spans="1:13">
      <c r="A41" s="84" t="s">
        <v>93</v>
      </c>
      <c r="B41" s="239">
        <v>-2.1948143540804099</v>
      </c>
      <c r="C41" s="72"/>
      <c r="D41" s="4">
        <v>0.12610247911779729</v>
      </c>
      <c r="E41" s="2">
        <v>8</v>
      </c>
      <c r="F41" s="10">
        <v>140</v>
      </c>
      <c r="G41" s="6">
        <v>0.35</v>
      </c>
      <c r="H41" s="14">
        <f t="shared" si="0"/>
        <v>-1</v>
      </c>
      <c r="I41" s="25"/>
      <c r="J41" s="39"/>
      <c r="K41" s="39"/>
      <c r="L41" s="40"/>
      <c r="M41" s="11" t="s">
        <v>94</v>
      </c>
    </row>
    <row r="42" spans="1:13">
      <c r="A42" s="82" t="s">
        <v>96</v>
      </c>
      <c r="B42" s="239">
        <v>-2.9037820046030598</v>
      </c>
      <c r="C42" s="71"/>
      <c r="D42" s="12">
        <v>0.14493441954543959</v>
      </c>
      <c r="E42" s="10">
        <v>7</v>
      </c>
      <c r="F42" s="10">
        <v>127.93333333333334</v>
      </c>
      <c r="G42" s="6">
        <v>1.74</v>
      </c>
      <c r="H42" s="14">
        <f t="shared" si="0"/>
        <v>-2.2693333333333334</v>
      </c>
      <c r="I42" s="25"/>
      <c r="J42" s="39"/>
      <c r="K42" s="39"/>
      <c r="L42" s="40"/>
      <c r="M42" s="11" t="s">
        <v>97</v>
      </c>
    </row>
    <row r="43" spans="1:13">
      <c r="A43" s="82" t="s">
        <v>79</v>
      </c>
      <c r="B43" s="239">
        <v>-4.73179888282887</v>
      </c>
      <c r="C43" s="71"/>
      <c r="D43" s="12">
        <v>0.14861388626870758</v>
      </c>
      <c r="E43" s="10">
        <v>7</v>
      </c>
      <c r="F43" s="10">
        <v>176</v>
      </c>
      <c r="G43" s="6">
        <v>4.4800000000000004</v>
      </c>
      <c r="H43" s="14">
        <f t="shared" si="0"/>
        <v>-5.49</v>
      </c>
      <c r="I43" s="25"/>
      <c r="J43" s="39"/>
      <c r="K43" s="39"/>
      <c r="L43" s="40"/>
      <c r="M43" s="11" t="s">
        <v>99</v>
      </c>
    </row>
    <row r="44" spans="1:13">
      <c r="A44" s="85" t="s">
        <v>101</v>
      </c>
      <c r="B44" s="239">
        <v>-3.58998991194983</v>
      </c>
      <c r="C44" s="72"/>
      <c r="D44" s="4">
        <v>0.1280711495400205</v>
      </c>
      <c r="E44" s="2">
        <v>3</v>
      </c>
      <c r="F44" s="10">
        <v>159.69999999999999</v>
      </c>
      <c r="G44" s="6">
        <v>3.46</v>
      </c>
      <c r="H44" s="14">
        <f t="shared" si="0"/>
        <v>-4.3070000000000004</v>
      </c>
      <c r="I44" s="25"/>
      <c r="J44" s="39"/>
      <c r="K44" s="39"/>
      <c r="L44" s="40"/>
      <c r="M44" s="11" t="s">
        <v>102</v>
      </c>
    </row>
    <row r="45" spans="1:13">
      <c r="A45" s="84" t="s">
        <v>104</v>
      </c>
      <c r="B45" s="239">
        <v>-2.78530219160898</v>
      </c>
      <c r="C45" s="72"/>
      <c r="D45" s="4">
        <v>0.21683500301481054</v>
      </c>
      <c r="E45" s="2">
        <v>8</v>
      </c>
      <c r="F45" s="10">
        <v>142</v>
      </c>
      <c r="G45" s="6">
        <v>0.6</v>
      </c>
      <c r="H45" s="14">
        <f t="shared" si="0"/>
        <v>-1.27</v>
      </c>
      <c r="I45" s="25"/>
      <c r="J45" s="39"/>
      <c r="K45" s="39"/>
      <c r="L45" s="40"/>
      <c r="M45" s="11" t="s">
        <v>105</v>
      </c>
    </row>
    <row r="46" spans="1:13">
      <c r="A46" s="82" t="s">
        <v>107</v>
      </c>
      <c r="B46" s="239">
        <v>-3.0430405888830898</v>
      </c>
      <c r="C46" s="71"/>
      <c r="D46" s="12">
        <v>0.18255878892749886</v>
      </c>
      <c r="E46" s="10">
        <v>20</v>
      </c>
      <c r="F46" s="10">
        <v>267</v>
      </c>
      <c r="G46" s="6">
        <v>1.58</v>
      </c>
      <c r="H46" s="14">
        <f t="shared" si="0"/>
        <v>-3.5</v>
      </c>
      <c r="I46" s="25"/>
      <c r="J46" s="39"/>
      <c r="K46" s="39"/>
      <c r="L46" s="40"/>
      <c r="M46" s="11" t="s">
        <v>108</v>
      </c>
    </row>
    <row r="47" spans="1:13">
      <c r="A47" s="81" t="s">
        <v>110</v>
      </c>
      <c r="B47" s="239">
        <v>-4.4149967705713804</v>
      </c>
      <c r="C47" s="71"/>
      <c r="D47" s="12">
        <v>0.16704647063532602</v>
      </c>
      <c r="E47" s="10">
        <v>6</v>
      </c>
      <c r="F47" s="10">
        <v>110.00000000000001</v>
      </c>
      <c r="G47" s="6">
        <v>3.36</v>
      </c>
      <c r="H47" s="14">
        <f t="shared" si="0"/>
        <v>-3.71</v>
      </c>
      <c r="I47" s="25"/>
      <c r="J47" s="39"/>
      <c r="K47" s="39"/>
      <c r="L47" s="40"/>
      <c r="M47" s="11" t="s">
        <v>111</v>
      </c>
    </row>
    <row r="48" spans="1:13">
      <c r="A48" s="82" t="s">
        <v>82</v>
      </c>
      <c r="B48" s="239">
        <v>-3.5439305736804898</v>
      </c>
      <c r="C48" s="71"/>
      <c r="D48" s="12">
        <v>0.17164501312359953</v>
      </c>
      <c r="E48" s="10">
        <v>7</v>
      </c>
      <c r="F48" s="10">
        <v>182</v>
      </c>
      <c r="G48" s="6">
        <v>2.67</v>
      </c>
      <c r="H48" s="14">
        <f t="shared" si="0"/>
        <v>-3.74</v>
      </c>
      <c r="I48" s="25"/>
      <c r="J48" s="39"/>
      <c r="K48" s="39"/>
      <c r="L48" s="40"/>
      <c r="M48" s="11" t="s">
        <v>113</v>
      </c>
    </row>
    <row r="49" spans="1:13">
      <c r="A49" s="84" t="s">
        <v>115</v>
      </c>
      <c r="B49" s="239">
        <v>-3.8323770303299298</v>
      </c>
      <c r="C49" s="72"/>
      <c r="D49" s="4">
        <v>0.12558353028546052</v>
      </c>
      <c r="E49" s="2">
        <v>4</v>
      </c>
      <c r="F49" s="10">
        <v>222.00000000000003</v>
      </c>
      <c r="G49" s="6">
        <v>2.56</v>
      </c>
      <c r="H49" s="14">
        <f t="shared" si="0"/>
        <v>-4.03</v>
      </c>
      <c r="I49" s="25"/>
      <c r="J49" s="39"/>
      <c r="K49" s="39"/>
      <c r="L49" s="40"/>
      <c r="M49" s="11" t="s">
        <v>116</v>
      </c>
    </row>
    <row r="50" spans="1:13">
      <c r="A50" s="82" t="s">
        <v>118</v>
      </c>
      <c r="B50" s="239">
        <v>-6.4664338676808599</v>
      </c>
      <c r="C50" s="71"/>
      <c r="D50" s="12">
        <v>0.1568133990664792</v>
      </c>
      <c r="E50" s="10">
        <v>6</v>
      </c>
      <c r="F50" s="10">
        <v>151</v>
      </c>
      <c r="G50" s="6">
        <v>3.27</v>
      </c>
      <c r="H50" s="14">
        <f t="shared" si="0"/>
        <v>-4.03</v>
      </c>
      <c r="I50" s="25"/>
      <c r="J50" s="39"/>
      <c r="K50" s="39"/>
      <c r="L50" s="40"/>
      <c r="M50" s="11" t="s">
        <v>119</v>
      </c>
    </row>
    <row r="51" spans="1:13">
      <c r="A51" s="85" t="s">
        <v>84</v>
      </c>
      <c r="B51" s="239">
        <v>-4.0157392597913297</v>
      </c>
      <c r="C51" s="72"/>
      <c r="D51" s="4">
        <v>0.12789394574374285</v>
      </c>
      <c r="E51" s="2">
        <v>5</v>
      </c>
      <c r="F51" s="10">
        <v>330</v>
      </c>
      <c r="G51" s="6">
        <v>2.87</v>
      </c>
      <c r="H51" s="14">
        <f t="shared" si="0"/>
        <v>-5.42</v>
      </c>
      <c r="I51" s="25"/>
      <c r="J51" s="39"/>
      <c r="K51" s="39"/>
      <c r="L51" s="40"/>
      <c r="M51" s="11" t="s">
        <v>120</v>
      </c>
    </row>
    <row r="52" spans="1:13">
      <c r="A52" s="82" t="s">
        <v>121</v>
      </c>
      <c r="B52" s="239">
        <v>-4.6085005457108803</v>
      </c>
      <c r="C52" s="71"/>
      <c r="D52" s="12">
        <v>0.18012800124370357</v>
      </c>
      <c r="E52" s="10">
        <v>3</v>
      </c>
      <c r="F52" s="10">
        <v>100</v>
      </c>
      <c r="G52" s="6">
        <v>3.53</v>
      </c>
      <c r="H52" s="14">
        <f t="shared" si="0"/>
        <v>-3.78</v>
      </c>
      <c r="I52" s="23"/>
      <c r="J52" s="7"/>
      <c r="K52" s="7"/>
      <c r="L52" s="24"/>
      <c r="M52" s="11" t="s">
        <v>122</v>
      </c>
    </row>
    <row r="53" spans="1:13">
      <c r="A53" s="81" t="s">
        <v>123</v>
      </c>
      <c r="B53" s="239">
        <v>-3.5079902848111399</v>
      </c>
      <c r="C53" s="71"/>
      <c r="D53" s="12">
        <v>0.18062104750721683</v>
      </c>
      <c r="E53" s="10">
        <v>16</v>
      </c>
      <c r="F53" s="10">
        <v>262.5</v>
      </c>
      <c r="G53" s="6">
        <v>1.9</v>
      </c>
      <c r="H53" s="14">
        <f t="shared" si="0"/>
        <v>-3.7749999999999999</v>
      </c>
      <c r="I53" s="23"/>
      <c r="J53" s="7"/>
      <c r="K53" s="7"/>
      <c r="L53" s="24"/>
      <c r="M53" s="11" t="s">
        <v>124</v>
      </c>
    </row>
    <row r="54" spans="1:13">
      <c r="A54" s="84" t="s">
        <v>125</v>
      </c>
      <c r="B54" s="239">
        <v>-2.68791023028911</v>
      </c>
      <c r="C54" s="72"/>
      <c r="D54" s="4">
        <v>0.22156244268660033</v>
      </c>
      <c r="E54" s="2">
        <v>4</v>
      </c>
      <c r="F54" s="10">
        <v>328.85</v>
      </c>
      <c r="G54" s="6">
        <v>1.87</v>
      </c>
      <c r="H54" s="14">
        <f t="shared" si="0"/>
        <v>-4.4085000000000001</v>
      </c>
      <c r="I54" s="23"/>
      <c r="J54" s="7"/>
      <c r="K54" s="7"/>
      <c r="L54" s="24"/>
      <c r="M54" s="11" t="s">
        <v>126</v>
      </c>
    </row>
    <row r="55" spans="1:13">
      <c r="A55" s="82" t="s">
        <v>127</v>
      </c>
      <c r="B55" s="239">
        <v>-5.2395704631132904</v>
      </c>
      <c r="C55" s="71"/>
      <c r="D55" s="12">
        <v>0.18450811780713378</v>
      </c>
      <c r="E55" s="10">
        <v>33</v>
      </c>
      <c r="F55" s="10">
        <v>167.5</v>
      </c>
      <c r="G55" s="6">
        <v>4.3600000000000003</v>
      </c>
      <c r="H55" s="14">
        <f t="shared" si="0"/>
        <v>-5.2850000000000001</v>
      </c>
      <c r="I55" s="23"/>
      <c r="J55" s="7"/>
      <c r="K55" s="7"/>
      <c r="L55" s="24"/>
      <c r="M55" s="11" t="s">
        <v>128</v>
      </c>
    </row>
    <row r="56" spans="1:13">
      <c r="A56" s="82" t="s">
        <v>86</v>
      </c>
      <c r="B56" s="239">
        <v>-4.3398081696312802</v>
      </c>
      <c r="C56" s="71"/>
      <c r="D56" s="12">
        <v>0.15609203233531485</v>
      </c>
      <c r="E56" s="10">
        <v>3</v>
      </c>
      <c r="F56" s="10">
        <v>223</v>
      </c>
      <c r="G56" s="6">
        <v>2.99</v>
      </c>
      <c r="H56" s="14">
        <f t="shared" si="0"/>
        <v>-4.4700000000000006</v>
      </c>
      <c r="I56" s="23"/>
      <c r="J56" s="7"/>
      <c r="K56" s="7"/>
      <c r="L56" s="24"/>
      <c r="M56" s="11" t="s">
        <v>129</v>
      </c>
    </row>
    <row r="57" spans="1:13">
      <c r="A57" s="82" t="s">
        <v>89</v>
      </c>
      <c r="B57" s="239">
        <v>-3.55066491354021</v>
      </c>
      <c r="C57" s="71"/>
      <c r="D57" s="12">
        <v>0.20872343532408041</v>
      </c>
      <c r="E57" s="10">
        <v>3</v>
      </c>
      <c r="F57" s="10">
        <v>210.5</v>
      </c>
      <c r="G57" s="6">
        <v>2.72</v>
      </c>
      <c r="H57" s="14">
        <f t="shared" si="0"/>
        <v>-4.0750000000000002</v>
      </c>
      <c r="I57" s="26"/>
      <c r="J57" s="27"/>
      <c r="K57" s="27"/>
      <c r="L57" s="28"/>
      <c r="M57" s="11" t="s">
        <v>130</v>
      </c>
    </row>
    <row r="58" spans="1:13">
      <c r="A58" s="84" t="s">
        <v>131</v>
      </c>
      <c r="B58" s="239">
        <v>-3.6697560401176301</v>
      </c>
      <c r="C58" s="72"/>
      <c r="D58" s="4">
        <v>0.1297319013416561</v>
      </c>
      <c r="E58" s="2">
        <v>3</v>
      </c>
      <c r="F58" s="10">
        <v>209.75</v>
      </c>
      <c r="G58" s="6">
        <v>3.37</v>
      </c>
      <c r="H58" s="14">
        <f t="shared" si="0"/>
        <v>-4.7175000000000002</v>
      </c>
      <c r="J58" s="14"/>
      <c r="K58" s="14"/>
      <c r="L58" s="14"/>
      <c r="M58" s="11" t="s">
        <v>132</v>
      </c>
    </row>
    <row r="59" spans="1:13">
      <c r="A59" s="81" t="s">
        <v>92</v>
      </c>
      <c r="B59" s="239">
        <v>-4.2311699499872102</v>
      </c>
      <c r="C59" s="71"/>
      <c r="D59" s="12">
        <v>0.14124198841117766</v>
      </c>
      <c r="E59" s="10">
        <v>3</v>
      </c>
      <c r="F59" s="10">
        <v>53.5</v>
      </c>
      <c r="G59" s="6">
        <v>3.43</v>
      </c>
      <c r="H59" s="14">
        <f t="shared" si="0"/>
        <v>-3.2150000000000003</v>
      </c>
      <c r="I59" s="70" t="s">
        <v>133</v>
      </c>
      <c r="J59" s="75">
        <v>333</v>
      </c>
      <c r="K59" s="34"/>
      <c r="L59" s="14"/>
      <c r="M59" s="11" t="s">
        <v>134</v>
      </c>
    </row>
    <row r="60" spans="1:13">
      <c r="A60" s="81" t="s">
        <v>135</v>
      </c>
      <c r="B60" s="239">
        <v>-2.0068048031445098</v>
      </c>
      <c r="C60" s="71"/>
      <c r="D60" s="12">
        <v>0.17069281866408892</v>
      </c>
      <c r="E60" s="10">
        <v>6</v>
      </c>
      <c r="F60" s="10">
        <v>270</v>
      </c>
      <c r="G60" s="6">
        <v>0.05</v>
      </c>
      <c r="H60" s="14">
        <f t="shared" si="0"/>
        <v>-2</v>
      </c>
      <c r="I60" s="70" t="s">
        <v>136</v>
      </c>
      <c r="J60" s="32" t="s">
        <v>668</v>
      </c>
      <c r="K60" s="34"/>
      <c r="L60" s="14"/>
      <c r="M60" s="11" t="s">
        <v>137</v>
      </c>
    </row>
    <row r="61" spans="1:13">
      <c r="A61" s="82" t="s">
        <v>138</v>
      </c>
      <c r="B61" s="239">
        <v>-2.3901879419733101</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s="240">
        <v>-4.6878485958871599</v>
      </c>
      <c r="C62" s="71"/>
      <c r="D62" s="12">
        <v>0.18021422622763517</v>
      </c>
      <c r="E62" s="10">
        <v>5</v>
      </c>
      <c r="F62" s="10">
        <v>214.5</v>
      </c>
      <c r="G62" s="6">
        <v>3.61</v>
      </c>
      <c r="H62" s="14">
        <f t="shared" si="0"/>
        <v>-5.0049999999999999</v>
      </c>
      <c r="I62" s="14"/>
      <c r="J62" s="14"/>
      <c r="K62" s="14"/>
      <c r="L62" s="14"/>
      <c r="M62" s="11" t="s">
        <v>142</v>
      </c>
    </row>
    <row r="63" spans="1:13">
      <c r="A63" s="82" t="s">
        <v>143</v>
      </c>
      <c r="B63" s="239">
        <v>-4.7009989001720696</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s="239">
        <v>-2.7644900633068299</v>
      </c>
      <c r="C64" s="71"/>
      <c r="D64" s="12">
        <v>0.17</v>
      </c>
      <c r="E64" s="10">
        <v>3</v>
      </c>
      <c r="F64" s="10">
        <v>189</v>
      </c>
      <c r="G64" s="6">
        <v>1.34</v>
      </c>
      <c r="H64" s="14">
        <f t="shared" si="0"/>
        <v>-2.4800000000000004</v>
      </c>
      <c r="I64" s="20" t="s">
        <v>669</v>
      </c>
      <c r="J64" s="21"/>
      <c r="K64" s="21"/>
      <c r="L64" s="22"/>
      <c r="M64" s="11" t="s">
        <v>148</v>
      </c>
    </row>
    <row r="65" spans="1:13">
      <c r="A65" s="82" t="s">
        <v>149</v>
      </c>
      <c r="B65" s="239">
        <v>-3.0738378250310099</v>
      </c>
      <c r="C65" s="71"/>
      <c r="D65" s="12">
        <v>0.19794493160510693</v>
      </c>
      <c r="E65" s="10">
        <v>4</v>
      </c>
      <c r="F65" s="10">
        <v>243.5</v>
      </c>
      <c r="G65" s="6">
        <v>1.34</v>
      </c>
      <c r="H65" s="14">
        <f t="shared" si="0"/>
        <v>-3.0250000000000004</v>
      </c>
      <c r="I65" s="23" t="s">
        <v>670</v>
      </c>
      <c r="J65" s="7"/>
      <c r="K65" s="7"/>
      <c r="L65" s="24"/>
      <c r="M65" s="11" t="s">
        <v>151</v>
      </c>
    </row>
    <row r="66" spans="1:13">
      <c r="A66" s="81" t="s">
        <v>95</v>
      </c>
      <c r="B66" s="239">
        <v>-2.6344087904728002</v>
      </c>
      <c r="C66" s="71"/>
      <c r="D66" s="12">
        <v>0.21056099074293383</v>
      </c>
      <c r="E66" s="10">
        <v>3</v>
      </c>
      <c r="F66" s="10">
        <v>36.5</v>
      </c>
      <c r="G66" s="6">
        <v>2.74</v>
      </c>
      <c r="H66" s="14">
        <f t="shared" si="0"/>
        <v>-2.3550000000000004</v>
      </c>
      <c r="I66" s="23" t="s">
        <v>671</v>
      </c>
      <c r="J66" s="7"/>
      <c r="K66" s="7"/>
      <c r="L66" s="24"/>
      <c r="M66" s="11" t="s">
        <v>152</v>
      </c>
    </row>
    <row r="67" spans="1:13">
      <c r="A67" s="83" t="s">
        <v>153</v>
      </c>
      <c r="B67" s="239">
        <v>-4.1598038304532396</v>
      </c>
      <c r="C67" s="71"/>
      <c r="D67" s="12">
        <v>0.21092434073951916</v>
      </c>
      <c r="E67" s="10">
        <v>10</v>
      </c>
      <c r="F67" s="10">
        <v>186</v>
      </c>
      <c r="G67" s="6">
        <v>3.4</v>
      </c>
      <c r="H67" s="14">
        <f t="shared" si="0"/>
        <v>-4.51</v>
      </c>
      <c r="I67" s="23"/>
      <c r="J67" s="7"/>
      <c r="K67" s="7"/>
      <c r="L67" s="24"/>
      <c r="M67" s="11" t="s">
        <v>154</v>
      </c>
    </row>
    <row r="68" spans="1:13">
      <c r="A68" s="81" t="s">
        <v>98</v>
      </c>
      <c r="B68" s="239">
        <v>-2.8655250916754098</v>
      </c>
      <c r="C68" s="71"/>
      <c r="D68" s="12">
        <v>0.18695478693957188</v>
      </c>
      <c r="E68" s="10">
        <v>3</v>
      </c>
      <c r="F68" s="10">
        <v>252.99999999999997</v>
      </c>
      <c r="G68" s="6">
        <v>2.35</v>
      </c>
      <c r="H68" s="14">
        <f t="shared" si="0"/>
        <v>-4.13</v>
      </c>
      <c r="I68" s="23" t="s">
        <v>672</v>
      </c>
      <c r="J68" s="7"/>
      <c r="K68" s="7"/>
      <c r="L68" s="24"/>
      <c r="M68" s="11" t="s">
        <v>155</v>
      </c>
    </row>
    <row r="69" spans="1:13">
      <c r="A69" s="83" t="s">
        <v>156</v>
      </c>
      <c r="B69" s="239">
        <v>-4.2674533143126796</v>
      </c>
      <c r="C69" s="71"/>
      <c r="D69" s="12">
        <v>0.20491085989689112</v>
      </c>
      <c r="E69" s="10">
        <v>23</v>
      </c>
      <c r="F69" s="10">
        <v>111.00000000000001</v>
      </c>
      <c r="G69" s="6">
        <v>3.68</v>
      </c>
      <c r="H69" s="14">
        <f t="shared" si="0"/>
        <v>-4.04</v>
      </c>
      <c r="I69" s="23" t="s">
        <v>673</v>
      </c>
      <c r="J69" s="7"/>
      <c r="K69" s="7"/>
      <c r="L69" s="24"/>
      <c r="M69" s="11" t="s">
        <v>157</v>
      </c>
    </row>
    <row r="70" spans="1:13">
      <c r="A70" s="81" t="s">
        <v>158</v>
      </c>
      <c r="B70" s="239">
        <v>-3.85702310465533</v>
      </c>
      <c r="C70" s="71"/>
      <c r="D70" s="12">
        <v>0.15545016183846921</v>
      </c>
      <c r="E70" s="10">
        <v>6</v>
      </c>
      <c r="F70" s="10">
        <v>250</v>
      </c>
      <c r="G70" s="6">
        <v>-0.04</v>
      </c>
      <c r="H70" s="14">
        <f t="shared" si="0"/>
        <v>-1.71</v>
      </c>
      <c r="I70" s="23" t="s">
        <v>674</v>
      </c>
      <c r="J70" s="7"/>
      <c r="K70" s="7"/>
      <c r="L70" s="24"/>
      <c r="M70" s="11" t="s">
        <v>159</v>
      </c>
    </row>
    <row r="71" spans="1:13">
      <c r="A71" s="82" t="s">
        <v>160</v>
      </c>
      <c r="B71" s="239">
        <v>-2.44425057836022</v>
      </c>
      <c r="C71" s="71"/>
      <c r="D71" s="12">
        <v>0.13261436390895148</v>
      </c>
      <c r="E71" s="10">
        <v>3</v>
      </c>
      <c r="F71" s="10">
        <v>250</v>
      </c>
      <c r="G71" s="6">
        <v>-1.97</v>
      </c>
      <c r="H71" s="14">
        <f t="shared" si="0"/>
        <v>0.21999999999999975</v>
      </c>
      <c r="I71" s="23"/>
      <c r="J71" s="7"/>
      <c r="K71" s="7"/>
      <c r="L71" s="24"/>
      <c r="M71" s="11" t="s">
        <v>161</v>
      </c>
    </row>
    <row r="72" spans="1:13">
      <c r="A72" s="82" t="s">
        <v>162</v>
      </c>
      <c r="B72" s="239">
        <v>-4.0333936360310298</v>
      </c>
      <c r="C72" s="71"/>
      <c r="D72" s="12">
        <v>0.21159815676624968</v>
      </c>
      <c r="E72" s="10">
        <v>9</v>
      </c>
      <c r="F72" s="10">
        <v>208.5</v>
      </c>
      <c r="G72" s="6">
        <v>2.08</v>
      </c>
      <c r="H72" s="14">
        <f t="shared" si="0"/>
        <v>-3.415</v>
      </c>
      <c r="I72" s="23"/>
      <c r="J72" s="7"/>
      <c r="K72" s="7"/>
      <c r="L72" s="24"/>
      <c r="M72" s="11" t="s">
        <v>163</v>
      </c>
    </row>
    <row r="73" spans="1:13">
      <c r="A73" s="82" t="s">
        <v>164</v>
      </c>
      <c r="B73" s="239">
        <v>-3.0706501676778002</v>
      </c>
      <c r="C73" s="71"/>
      <c r="D73" s="12">
        <v>0.1900151243705871</v>
      </c>
      <c r="E73" s="10">
        <v>15</v>
      </c>
      <c r="F73" s="10">
        <v>220.00000000000003</v>
      </c>
      <c r="G73" s="6">
        <v>2.69</v>
      </c>
      <c r="H73" s="14">
        <f t="shared" si="0"/>
        <v>-4.1400000000000006</v>
      </c>
      <c r="I73" s="23"/>
      <c r="J73" s="7"/>
      <c r="K73" s="7"/>
      <c r="L73" s="24"/>
      <c r="M73" s="11" t="s">
        <v>165</v>
      </c>
    </row>
    <row r="74" spans="1:13">
      <c r="A74" s="82" t="s">
        <v>166</v>
      </c>
      <c r="B74" s="239">
        <v>-4.7356466061988396</v>
      </c>
      <c r="C74" s="71"/>
      <c r="D74" s="12">
        <v>0.16978183023026608</v>
      </c>
      <c r="E74" s="10">
        <v>10</v>
      </c>
      <c r="F74" s="10">
        <v>151</v>
      </c>
      <c r="G74" s="6">
        <v>4.43</v>
      </c>
      <c r="H74" s="14">
        <f t="shared" si="0"/>
        <v>-5.1899999999999995</v>
      </c>
      <c r="I74" s="23"/>
      <c r="J74" s="7"/>
      <c r="K74" s="7"/>
      <c r="L74" s="24"/>
      <c r="M74" s="11" t="s">
        <v>167</v>
      </c>
    </row>
    <row r="75" spans="1:13">
      <c r="A75" s="83" t="s">
        <v>100</v>
      </c>
      <c r="B75" s="239">
        <v>-4.9443607599941197</v>
      </c>
      <c r="C75" s="71"/>
      <c r="D75" s="12">
        <v>0.19416214604145643</v>
      </c>
      <c r="E75" s="10">
        <v>7</v>
      </c>
      <c r="F75" s="10">
        <v>154.5</v>
      </c>
      <c r="G75" s="6">
        <v>4.22</v>
      </c>
      <c r="H75" s="14">
        <f t="shared" si="0"/>
        <v>-5.0149999999999997</v>
      </c>
      <c r="I75" s="23"/>
      <c r="J75" s="7"/>
      <c r="K75" s="7"/>
      <c r="L75" s="24"/>
      <c r="M75" s="11" t="s">
        <v>168</v>
      </c>
    </row>
    <row r="76" spans="1:13">
      <c r="A76" s="82" t="s">
        <v>169</v>
      </c>
      <c r="B76" s="239">
        <v>-5.1347754248861897</v>
      </c>
      <c r="C76" s="71"/>
      <c r="D76" s="12">
        <v>0.16048013551961601</v>
      </c>
      <c r="E76" s="10">
        <v>5</v>
      </c>
      <c r="F76" s="10">
        <v>167.75</v>
      </c>
      <c r="G76" s="6">
        <v>2.87</v>
      </c>
      <c r="H76" s="14">
        <f t="shared" si="0"/>
        <v>-3.7975000000000003</v>
      </c>
      <c r="I76" s="23"/>
      <c r="J76" s="7"/>
      <c r="K76" s="7"/>
      <c r="L76" s="24"/>
      <c r="M76" s="11" t="s">
        <v>170</v>
      </c>
    </row>
    <row r="77" spans="1:13">
      <c r="A77" s="84" t="s">
        <v>171</v>
      </c>
      <c r="B77" s="239">
        <v>-4.5876189212762597</v>
      </c>
      <c r="C77" s="72"/>
      <c r="D77" s="4">
        <v>0.22239504833634874</v>
      </c>
      <c r="E77" s="2">
        <v>21</v>
      </c>
      <c r="F77" s="10">
        <v>159</v>
      </c>
      <c r="G77" s="6">
        <v>3.93</v>
      </c>
      <c r="H77" s="14">
        <f t="shared" si="0"/>
        <v>-4.7700000000000005</v>
      </c>
      <c r="I77" s="23"/>
      <c r="J77" s="7"/>
      <c r="K77" s="7"/>
      <c r="L77" s="24"/>
      <c r="M77" s="11" t="s">
        <v>172</v>
      </c>
    </row>
    <row r="78" spans="1:13">
      <c r="A78" s="82" t="s">
        <v>173</v>
      </c>
      <c r="B78" s="239">
        <v>-4.0423191414479698</v>
      </c>
      <c r="C78" s="71"/>
      <c r="D78" s="12">
        <v>0.21209434799218393</v>
      </c>
      <c r="E78" s="10">
        <v>5</v>
      </c>
      <c r="F78" s="10">
        <v>213.49999999999997</v>
      </c>
      <c r="G78" s="6">
        <v>3.04</v>
      </c>
      <c r="H78" s="14">
        <f t="shared" si="0"/>
        <v>-4.4249999999999998</v>
      </c>
      <c r="I78" s="23"/>
      <c r="J78" s="7"/>
      <c r="K78" s="7"/>
      <c r="L78" s="24"/>
      <c r="M78" s="11" t="s">
        <v>174</v>
      </c>
    </row>
    <row r="79" spans="1:13">
      <c r="A79" s="82" t="s">
        <v>175</v>
      </c>
      <c r="B79" s="239">
        <v>-4.9438124637342096</v>
      </c>
      <c r="C79" s="71"/>
      <c r="D79" s="12">
        <v>0.1407224156406931</v>
      </c>
      <c r="E79" s="10">
        <v>11</v>
      </c>
      <c r="F79" s="10">
        <v>146</v>
      </c>
      <c r="G79" s="6">
        <v>4.21</v>
      </c>
      <c r="H79" s="14">
        <f t="shared" si="0"/>
        <v>-4.92</v>
      </c>
      <c r="I79" s="23"/>
      <c r="J79" s="7"/>
      <c r="K79" s="7"/>
      <c r="L79" s="24"/>
      <c r="M79" s="11" t="s">
        <v>176</v>
      </c>
    </row>
    <row r="80" spans="1:13">
      <c r="A80" s="82" t="s">
        <v>177</v>
      </c>
      <c r="B80" s="239">
        <v>-4.8501332446267202</v>
      </c>
      <c r="C80" s="71"/>
      <c r="D80" s="12">
        <v>0.21748916450754371</v>
      </c>
      <c r="E80" s="10">
        <v>5</v>
      </c>
      <c r="F80" s="10">
        <v>92.333333333333329</v>
      </c>
      <c r="G80" s="6">
        <v>4.21</v>
      </c>
      <c r="H80" s="14">
        <f t="shared" si="0"/>
        <v>-4.3833333333333329</v>
      </c>
      <c r="I80" s="23"/>
      <c r="J80" s="7"/>
      <c r="K80" s="7"/>
      <c r="L80" s="24"/>
      <c r="M80" s="11" t="s">
        <v>178</v>
      </c>
    </row>
    <row r="81" spans="1:13">
      <c r="A81" s="81" t="s">
        <v>179</v>
      </c>
      <c r="B81" s="239">
        <v>-3.6840639593868301</v>
      </c>
      <c r="C81" s="71"/>
      <c r="D81" s="12">
        <v>0.20531013145176411</v>
      </c>
      <c r="E81" s="10">
        <v>8</v>
      </c>
      <c r="F81" s="10">
        <v>256</v>
      </c>
      <c r="G81" s="6">
        <v>2.71</v>
      </c>
      <c r="H81" s="14">
        <f t="shared" si="0"/>
        <v>-4.5199999999999996</v>
      </c>
      <c r="I81" s="23"/>
      <c r="J81" s="7"/>
      <c r="K81" s="7"/>
      <c r="L81" s="24"/>
      <c r="M81" s="11" t="s">
        <v>180</v>
      </c>
    </row>
    <row r="82" spans="1:13">
      <c r="A82" s="81" t="s">
        <v>181</v>
      </c>
      <c r="B82" s="239">
        <v>-3.90460429187686</v>
      </c>
      <c r="C82" s="71"/>
      <c r="D82" s="12">
        <v>0.21176785142223761</v>
      </c>
      <c r="E82" s="10">
        <v>3</v>
      </c>
      <c r="F82" s="10">
        <v>80</v>
      </c>
      <c r="G82" s="6">
        <v>3.37</v>
      </c>
      <c r="H82" s="14">
        <f t="shared" si="0"/>
        <v>-3.42</v>
      </c>
      <c r="I82" s="23"/>
      <c r="J82" s="7"/>
      <c r="K82" s="7"/>
      <c r="L82" s="24"/>
      <c r="M82" s="11" t="s">
        <v>182</v>
      </c>
    </row>
    <row r="83" spans="1:13">
      <c r="A83" s="81" t="s">
        <v>183</v>
      </c>
      <c r="B83" s="239">
        <v>-3.5948959414548698</v>
      </c>
      <c r="C83" s="71"/>
      <c r="D83" s="12">
        <v>0.16217657762412213</v>
      </c>
      <c r="E83" s="10">
        <v>17</v>
      </c>
      <c r="F83" s="10">
        <v>153</v>
      </c>
      <c r="G83" s="6">
        <v>3.04</v>
      </c>
      <c r="H83" s="14">
        <f t="shared" si="0"/>
        <v>-3.8200000000000003</v>
      </c>
      <c r="I83" s="23"/>
      <c r="J83" s="7"/>
      <c r="K83" s="7"/>
      <c r="L83" s="24"/>
      <c r="M83" s="11" t="s">
        <v>184</v>
      </c>
    </row>
    <row r="84" spans="1:13">
      <c r="A84" s="82" t="s">
        <v>185</v>
      </c>
      <c r="B84" s="239">
        <v>-5.8183597792262596</v>
      </c>
      <c r="C84" s="71"/>
      <c r="D84" s="12">
        <v>0.20448827496623867</v>
      </c>
      <c r="E84" s="10">
        <v>3</v>
      </c>
      <c r="F84" s="10">
        <v>349.84</v>
      </c>
      <c r="G84" s="6">
        <v>4.75</v>
      </c>
      <c r="H84" s="14">
        <f t="shared" si="0"/>
        <v>-7.4984000000000002</v>
      </c>
      <c r="I84" s="23"/>
      <c r="J84" s="7"/>
      <c r="K84" s="7"/>
      <c r="L84" s="24"/>
      <c r="M84" s="11" t="s">
        <v>186</v>
      </c>
    </row>
    <row r="85" spans="1:13">
      <c r="A85" s="82" t="s">
        <v>187</v>
      </c>
      <c r="B85" s="239">
        <v>-3.5943213489500399</v>
      </c>
      <c r="C85" s="71"/>
      <c r="D85" s="12">
        <v>0.14358294446577732</v>
      </c>
      <c r="E85" s="10">
        <v>6</v>
      </c>
      <c r="F85" s="10">
        <v>248</v>
      </c>
      <c r="G85" s="6">
        <v>2.65</v>
      </c>
      <c r="H85" s="14">
        <f t="shared" si="0"/>
        <v>-4.38</v>
      </c>
      <c r="I85" s="23"/>
      <c r="J85" s="7"/>
      <c r="K85" s="7"/>
      <c r="L85" s="24"/>
      <c r="M85" s="11" t="s">
        <v>188</v>
      </c>
    </row>
    <row r="86" spans="1:13">
      <c r="A86" s="82" t="s">
        <v>189</v>
      </c>
      <c r="B86" s="239">
        <v>-3.0356459486161</v>
      </c>
      <c r="C86" s="71"/>
      <c r="D86" s="12">
        <v>0.15384096988991314</v>
      </c>
      <c r="E86" s="10">
        <v>11</v>
      </c>
      <c r="F86" s="10">
        <v>173</v>
      </c>
      <c r="G86" s="6">
        <v>2.1800000000000002</v>
      </c>
      <c r="H86" s="14">
        <f t="shared" si="0"/>
        <v>-3.16</v>
      </c>
      <c r="I86" s="23"/>
      <c r="J86" s="7"/>
      <c r="K86" s="7"/>
      <c r="L86" s="24"/>
      <c r="M86" s="11" t="s">
        <v>190</v>
      </c>
    </row>
    <row r="87" spans="1:13">
      <c r="A87" s="82" t="s">
        <v>191</v>
      </c>
      <c r="B87" s="239">
        <v>-3.6869782285733201</v>
      </c>
      <c r="C87" s="71"/>
      <c r="D87" s="12">
        <v>0.14176528631434945</v>
      </c>
      <c r="E87" s="10">
        <v>5</v>
      </c>
      <c r="F87" s="10">
        <v>143.75</v>
      </c>
      <c r="G87" s="6">
        <v>2.76</v>
      </c>
      <c r="H87" s="14">
        <f t="shared" ref="H87:H122" si="1">0.5-G87-0.01*(F87-25)</f>
        <v>-3.4474999999999998</v>
      </c>
      <c r="I87" s="23"/>
      <c r="J87" s="7"/>
      <c r="K87" s="7"/>
      <c r="L87" s="24"/>
      <c r="M87" s="11" t="s">
        <v>192</v>
      </c>
    </row>
    <row r="88" spans="1:13">
      <c r="A88" s="82" t="s">
        <v>193</v>
      </c>
      <c r="B88" s="239">
        <v>-2.979598546783</v>
      </c>
      <c r="C88" s="71"/>
      <c r="D88" s="12">
        <v>0.16213928191469343</v>
      </c>
      <c r="E88" s="10">
        <v>19</v>
      </c>
      <c r="F88" s="10">
        <v>220.5</v>
      </c>
      <c r="G88" s="6">
        <v>1.27</v>
      </c>
      <c r="H88" s="14">
        <f t="shared" si="1"/>
        <v>-2.7250000000000001</v>
      </c>
      <c r="I88" s="23"/>
      <c r="J88" s="7"/>
      <c r="K88" s="7"/>
      <c r="L88" s="24"/>
      <c r="M88" s="11" t="s">
        <v>194</v>
      </c>
    </row>
    <row r="89" spans="1:13">
      <c r="A89" s="82" t="s">
        <v>195</v>
      </c>
      <c r="B89" s="239">
        <v>-4.8566540486471901</v>
      </c>
      <c r="C89" s="71"/>
      <c r="D89" s="12">
        <v>0.16127920198135692</v>
      </c>
      <c r="E89" s="10">
        <v>5</v>
      </c>
      <c r="F89" s="10">
        <v>214</v>
      </c>
      <c r="G89" s="6">
        <v>3.83</v>
      </c>
      <c r="H89" s="14">
        <f t="shared" si="1"/>
        <v>-5.2200000000000006</v>
      </c>
      <c r="I89" s="23"/>
      <c r="J89" s="7"/>
      <c r="K89" s="7"/>
      <c r="L89" s="24"/>
      <c r="M89" s="11" t="s">
        <v>196</v>
      </c>
    </row>
    <row r="90" spans="1:13">
      <c r="A90" s="83" t="s">
        <v>197</v>
      </c>
      <c r="B90" s="239">
        <v>-2.8446207537569799</v>
      </c>
      <c r="C90" s="71"/>
      <c r="D90" s="12">
        <v>0.13869006117838048</v>
      </c>
      <c r="E90" s="10">
        <v>3</v>
      </c>
      <c r="F90" s="10">
        <v>176</v>
      </c>
      <c r="G90" s="6">
        <v>2.88</v>
      </c>
      <c r="H90" s="14">
        <f t="shared" si="1"/>
        <v>-3.8899999999999997</v>
      </c>
      <c r="I90" s="23"/>
      <c r="J90" s="7"/>
      <c r="K90" s="7"/>
      <c r="L90" s="24"/>
      <c r="M90" s="11" t="s">
        <v>198</v>
      </c>
    </row>
    <row r="91" spans="1:13">
      <c r="A91" s="85" t="s">
        <v>199</v>
      </c>
      <c r="B91" s="239">
        <v>-2.4937310546944902</v>
      </c>
      <c r="C91" s="72"/>
      <c r="D91" s="4">
        <v>0.1259834086188602</v>
      </c>
      <c r="E91" s="2">
        <v>14</v>
      </c>
      <c r="F91" s="10">
        <v>253.5</v>
      </c>
      <c r="G91" s="6">
        <v>1.54</v>
      </c>
      <c r="H91" s="14">
        <f t="shared" si="1"/>
        <v>-3.3250000000000002</v>
      </c>
      <c r="I91" s="23"/>
      <c r="J91" s="7"/>
      <c r="K91" s="7"/>
      <c r="L91" s="24"/>
      <c r="M91" s="11" t="s">
        <v>200</v>
      </c>
    </row>
    <row r="92" spans="1:13">
      <c r="A92" s="82" t="s">
        <v>201</v>
      </c>
      <c r="B92" s="239">
        <v>-3.5941505853026401</v>
      </c>
      <c r="C92" s="71"/>
      <c r="D92" s="12">
        <v>0.16504944177542516</v>
      </c>
      <c r="E92" s="10">
        <v>5</v>
      </c>
      <c r="F92" s="10">
        <v>205.50000000000003</v>
      </c>
      <c r="G92" s="6">
        <v>2.4500000000000002</v>
      </c>
      <c r="H92" s="14">
        <f t="shared" si="1"/>
        <v>-3.7550000000000008</v>
      </c>
      <c r="I92" s="23"/>
      <c r="J92" s="7"/>
      <c r="K92" s="7"/>
      <c r="L92" s="24"/>
      <c r="M92" s="11" t="s">
        <v>202</v>
      </c>
    </row>
    <row r="93" spans="1:13">
      <c r="A93" s="83" t="s">
        <v>203</v>
      </c>
      <c r="B93" s="239">
        <v>-4.55760680215172</v>
      </c>
      <c r="C93" s="71"/>
      <c r="D93" s="12">
        <v>0.19426266518058349</v>
      </c>
      <c r="E93" s="10">
        <v>3</v>
      </c>
      <c r="F93" s="10">
        <v>96</v>
      </c>
      <c r="G93" s="6">
        <v>3.49</v>
      </c>
      <c r="H93" s="14">
        <f t="shared" si="1"/>
        <v>-3.7</v>
      </c>
      <c r="I93" s="23"/>
      <c r="J93" s="7"/>
      <c r="K93" s="7"/>
      <c r="L93" s="24"/>
      <c r="M93" s="11" t="s">
        <v>204</v>
      </c>
    </row>
    <row r="94" spans="1:13">
      <c r="A94" s="82" t="s">
        <v>205</v>
      </c>
      <c r="B94" s="239">
        <v>-4.0082451795461296</v>
      </c>
      <c r="C94" s="71"/>
      <c r="D94" s="12">
        <v>0.18894337149737056</v>
      </c>
      <c r="E94" s="10">
        <v>12</v>
      </c>
      <c r="F94" s="10">
        <v>147.25</v>
      </c>
      <c r="G94" s="6">
        <v>3.86</v>
      </c>
      <c r="H94" s="14">
        <f t="shared" si="1"/>
        <v>-4.5824999999999996</v>
      </c>
      <c r="I94" s="23"/>
      <c r="J94" s="7"/>
      <c r="K94" s="7"/>
      <c r="L94" s="24"/>
      <c r="M94" s="11" t="s">
        <v>206</v>
      </c>
    </row>
    <row r="95" spans="1:13">
      <c r="A95" s="82" t="s">
        <v>207</v>
      </c>
      <c r="B95" s="239">
        <v>-4.2518630537395197</v>
      </c>
      <c r="C95" s="71"/>
      <c r="D95" s="12">
        <v>0.17391407185160324</v>
      </c>
      <c r="E95" s="10">
        <v>6</v>
      </c>
      <c r="F95" s="10">
        <v>97</v>
      </c>
      <c r="G95" s="6">
        <v>3.94</v>
      </c>
      <c r="H95" s="14">
        <f t="shared" si="1"/>
        <v>-4.16</v>
      </c>
      <c r="I95" s="23"/>
      <c r="J95" s="7"/>
      <c r="K95" s="7"/>
      <c r="L95" s="24"/>
      <c r="M95" s="11" t="s">
        <v>208</v>
      </c>
    </row>
    <row r="96" spans="1:13">
      <c r="A96" s="81" t="s">
        <v>209</v>
      </c>
      <c r="B96" s="239">
        <v>-1.6672658732968599</v>
      </c>
      <c r="C96" s="71"/>
      <c r="D96" s="12">
        <v>0.13764369691033657</v>
      </c>
      <c r="E96" s="10">
        <v>10</v>
      </c>
      <c r="F96" s="10">
        <v>134.5</v>
      </c>
      <c r="G96" s="6">
        <v>2.04</v>
      </c>
      <c r="H96" s="14">
        <f t="shared" si="1"/>
        <v>-2.6349999999999998</v>
      </c>
      <c r="I96" s="23"/>
      <c r="J96" s="7"/>
      <c r="K96" s="7"/>
      <c r="L96" s="24"/>
      <c r="M96" s="11" t="s">
        <v>210</v>
      </c>
    </row>
    <row r="97" spans="1:13">
      <c r="A97" s="82" t="s">
        <v>211</v>
      </c>
      <c r="B97" s="239">
        <v>-3.3840915496463899</v>
      </c>
      <c r="C97" s="71"/>
      <c r="D97" s="12">
        <v>0.16245746888591447</v>
      </c>
      <c r="E97" s="10">
        <v>7</v>
      </c>
      <c r="F97" s="10">
        <v>139</v>
      </c>
      <c r="G97" s="6">
        <v>2.66</v>
      </c>
      <c r="H97" s="14">
        <f t="shared" si="1"/>
        <v>-3.3000000000000003</v>
      </c>
      <c r="I97" s="23"/>
      <c r="J97" s="7"/>
      <c r="K97" s="7"/>
      <c r="L97" s="24"/>
      <c r="M97" s="11" t="s">
        <v>212</v>
      </c>
    </row>
    <row r="98" spans="1:13">
      <c r="A98" s="82" t="s">
        <v>213</v>
      </c>
      <c r="B98" s="239">
        <v>-2.2599484494070601</v>
      </c>
      <c r="C98" s="71"/>
      <c r="D98" s="12">
        <v>0.15322122505052199</v>
      </c>
      <c r="E98" s="10">
        <v>9</v>
      </c>
      <c r="F98" s="10">
        <v>170</v>
      </c>
      <c r="G98" s="6">
        <v>1.91</v>
      </c>
      <c r="H98" s="14">
        <f t="shared" si="1"/>
        <v>-2.86</v>
      </c>
      <c r="I98" s="23"/>
      <c r="J98" s="7"/>
      <c r="K98" s="7"/>
      <c r="L98" s="24"/>
      <c r="M98" s="11" t="s">
        <v>214</v>
      </c>
    </row>
    <row r="99" spans="1:13">
      <c r="A99" s="81" t="s">
        <v>215</v>
      </c>
      <c r="B99" s="239">
        <v>-3.20291727956173</v>
      </c>
      <c r="C99" s="71"/>
      <c r="D99" s="12">
        <v>0.15273607916541068</v>
      </c>
      <c r="E99" s="10">
        <v>10</v>
      </c>
      <c r="F99" s="10">
        <v>326</v>
      </c>
      <c r="G99" s="6">
        <v>2.44</v>
      </c>
      <c r="H99" s="14">
        <f t="shared" si="1"/>
        <v>-4.95</v>
      </c>
      <c r="I99" s="23"/>
      <c r="J99" s="7"/>
      <c r="K99" s="7"/>
      <c r="L99" s="24"/>
      <c r="M99" s="11" t="s">
        <v>216</v>
      </c>
    </row>
    <row r="100" spans="1:13">
      <c r="A100" s="82" t="s">
        <v>217</v>
      </c>
      <c r="B100" s="239">
        <v>-3.4144644047418802</v>
      </c>
      <c r="C100" s="71"/>
      <c r="D100" s="12">
        <v>0.18404701512102448</v>
      </c>
      <c r="E100" s="10">
        <v>5</v>
      </c>
      <c r="F100" s="10">
        <v>232.50000000000003</v>
      </c>
      <c r="G100" s="6">
        <v>1.8</v>
      </c>
      <c r="H100" s="14">
        <f t="shared" si="1"/>
        <v>-3.375</v>
      </c>
      <c r="I100" s="23"/>
      <c r="J100" s="7"/>
      <c r="K100" s="7"/>
      <c r="L100" s="24"/>
      <c r="M100" s="11" t="s">
        <v>218</v>
      </c>
    </row>
    <row r="101" spans="1:13">
      <c r="A101" s="82" t="s">
        <v>219</v>
      </c>
      <c r="B101" s="239">
        <v>-2.48370038888421</v>
      </c>
      <c r="C101" s="71"/>
      <c r="D101" s="12">
        <v>0.13604063752604376</v>
      </c>
      <c r="E101" s="10">
        <v>4</v>
      </c>
      <c r="F101" s="10">
        <v>281.5</v>
      </c>
      <c r="G101" s="6">
        <v>0.54</v>
      </c>
      <c r="H101" s="14">
        <f t="shared" si="1"/>
        <v>-2.605</v>
      </c>
      <c r="I101" s="23"/>
      <c r="J101" s="7"/>
      <c r="K101" s="7"/>
      <c r="L101" s="24"/>
      <c r="M101" s="11" t="s">
        <v>220</v>
      </c>
    </row>
    <row r="102" spans="1:13">
      <c r="A102" s="82" t="s">
        <v>221</v>
      </c>
      <c r="B102" s="239">
        <v>-3.1108655988438301</v>
      </c>
      <c r="C102" s="71"/>
      <c r="D102" s="12">
        <v>0.19798964803022484</v>
      </c>
      <c r="E102" s="10">
        <v>4</v>
      </c>
      <c r="F102" s="10">
        <v>197.1</v>
      </c>
      <c r="G102" s="6">
        <v>2.2000000000000002</v>
      </c>
      <c r="H102" s="14">
        <f t="shared" si="1"/>
        <v>-3.4210000000000003</v>
      </c>
      <c r="I102" s="23"/>
      <c r="J102" s="7"/>
      <c r="K102" s="7"/>
      <c r="L102" s="24"/>
      <c r="M102" s="11" t="s">
        <v>222</v>
      </c>
    </row>
    <row r="103" spans="1:13">
      <c r="A103" s="83" t="s">
        <v>223</v>
      </c>
      <c r="B103" s="239">
        <v>-4.9171534682342601</v>
      </c>
      <c r="C103" s="71"/>
      <c r="D103" s="12">
        <v>0.13486720020739137</v>
      </c>
      <c r="E103" s="10">
        <v>4</v>
      </c>
      <c r="F103" s="10">
        <v>33</v>
      </c>
      <c r="G103" s="6">
        <v>4.24</v>
      </c>
      <c r="H103" s="14">
        <f t="shared" si="1"/>
        <v>-3.8200000000000003</v>
      </c>
      <c r="I103" s="23"/>
      <c r="J103" s="7"/>
      <c r="K103" s="7"/>
      <c r="L103" s="24"/>
      <c r="M103" s="11" t="s">
        <v>224</v>
      </c>
    </row>
    <row r="104" spans="1:13">
      <c r="A104" s="82" t="s">
        <v>225</v>
      </c>
      <c r="B104" s="239">
        <v>-4.9854493113451497</v>
      </c>
      <c r="C104" s="71"/>
      <c r="D104" s="12">
        <v>0.18801274760604275</v>
      </c>
      <c r="E104" s="10">
        <v>11</v>
      </c>
      <c r="F104" s="10">
        <v>60</v>
      </c>
      <c r="G104" s="6">
        <v>4.24</v>
      </c>
      <c r="H104" s="14">
        <f t="shared" si="1"/>
        <v>-4.09</v>
      </c>
      <c r="I104" s="23"/>
      <c r="J104" s="7"/>
      <c r="K104" s="7"/>
      <c r="L104" s="24"/>
      <c r="M104" s="11" t="s">
        <v>226</v>
      </c>
    </row>
    <row r="105" spans="1:13">
      <c r="A105" s="82" t="s">
        <v>227</v>
      </c>
      <c r="B105" s="239">
        <v>-5.6103128324983604</v>
      </c>
      <c r="C105" s="71"/>
      <c r="D105" s="12">
        <v>0.1664014074224209</v>
      </c>
      <c r="E105" s="10">
        <v>4</v>
      </c>
      <c r="F105" s="10">
        <v>130.5</v>
      </c>
      <c r="G105" s="6">
        <v>5.22</v>
      </c>
      <c r="H105" s="14">
        <f t="shared" si="1"/>
        <v>-5.7749999999999995</v>
      </c>
      <c r="I105" s="23"/>
      <c r="J105" s="7"/>
      <c r="K105" s="7"/>
      <c r="L105" s="24"/>
      <c r="M105" s="11" t="s">
        <v>228</v>
      </c>
    </row>
    <row r="106" spans="1:13">
      <c r="A106" s="83" t="s">
        <v>103</v>
      </c>
      <c r="B106" s="239">
        <v>-4.2395122001530297</v>
      </c>
      <c r="C106" s="71"/>
      <c r="D106" s="12">
        <v>0.17506472136100007</v>
      </c>
      <c r="E106" s="10">
        <v>7</v>
      </c>
      <c r="F106" s="10">
        <v>254</v>
      </c>
      <c r="G106" s="6">
        <v>2.97</v>
      </c>
      <c r="H106" s="14">
        <f t="shared" si="1"/>
        <v>-4.76</v>
      </c>
      <c r="I106" s="23"/>
      <c r="J106" s="7"/>
      <c r="K106" s="7"/>
      <c r="L106" s="24"/>
      <c r="M106" s="11" t="s">
        <v>229</v>
      </c>
    </row>
    <row r="107" spans="1:13">
      <c r="A107" s="83" t="s">
        <v>230</v>
      </c>
      <c r="B107" s="239">
        <v>-6.1697085913211103</v>
      </c>
      <c r="C107" s="71"/>
      <c r="D107" s="12">
        <v>0.1605416460069265</v>
      </c>
      <c r="E107" s="10">
        <v>5</v>
      </c>
      <c r="F107" s="10">
        <v>121</v>
      </c>
      <c r="G107" s="6">
        <v>5.91</v>
      </c>
      <c r="H107" s="14">
        <f t="shared" si="1"/>
        <v>-6.37</v>
      </c>
      <c r="I107" s="23"/>
      <c r="J107" s="7"/>
      <c r="K107" s="7"/>
      <c r="L107" s="24"/>
      <c r="M107" s="11" t="s">
        <v>231</v>
      </c>
    </row>
    <row r="108" spans="1:13">
      <c r="A108" s="82" t="s">
        <v>232</v>
      </c>
      <c r="B108" s="239">
        <v>-3.98122371760011</v>
      </c>
      <c r="C108" s="71"/>
      <c r="D108" s="12">
        <v>0.15756984748208766</v>
      </c>
      <c r="E108" s="10">
        <v>5</v>
      </c>
      <c r="F108" s="10">
        <v>206.99999999999997</v>
      </c>
      <c r="G108" s="6">
        <v>2.56</v>
      </c>
      <c r="H108" s="14">
        <f t="shared" si="1"/>
        <v>-3.88</v>
      </c>
      <c r="I108" s="23"/>
      <c r="J108" s="7"/>
      <c r="K108" s="7"/>
      <c r="L108" s="24"/>
      <c r="M108" s="11" t="s">
        <v>233</v>
      </c>
    </row>
    <row r="109" spans="1:13">
      <c r="A109" s="81" t="s">
        <v>234</v>
      </c>
      <c r="B109" s="239">
        <v>-4.8406535611172403</v>
      </c>
      <c r="C109" s="71"/>
      <c r="D109" s="12">
        <v>0.16160362353179636</v>
      </c>
      <c r="E109" s="10">
        <v>6</v>
      </c>
      <c r="F109" s="10">
        <v>134.5</v>
      </c>
      <c r="G109" s="6">
        <v>4.8499999999999996</v>
      </c>
      <c r="H109" s="14">
        <f t="shared" si="1"/>
        <v>-5.4449999999999994</v>
      </c>
      <c r="I109" s="23"/>
      <c r="J109" s="7"/>
      <c r="K109" s="7"/>
      <c r="L109" s="24"/>
      <c r="M109" s="11" t="s">
        <v>235</v>
      </c>
    </row>
    <row r="110" spans="1:13">
      <c r="A110" s="81" t="s">
        <v>236</v>
      </c>
      <c r="B110" s="239">
        <v>-2.6267841549292998</v>
      </c>
      <c r="C110" s="71"/>
      <c r="D110" s="12">
        <v>0.18685765827673947</v>
      </c>
      <c r="E110" s="10">
        <v>6</v>
      </c>
      <c r="F110" s="10">
        <v>275</v>
      </c>
      <c r="G110" s="6">
        <v>2.09</v>
      </c>
      <c r="H110" s="14">
        <f t="shared" si="1"/>
        <v>-4.09</v>
      </c>
      <c r="I110" s="23"/>
      <c r="J110" s="7"/>
      <c r="K110" s="7"/>
      <c r="L110" s="24"/>
      <c r="M110" s="11" t="s">
        <v>237</v>
      </c>
    </row>
    <row r="111" spans="1:13">
      <c r="A111" s="82" t="s">
        <v>238</v>
      </c>
      <c r="B111" s="239">
        <v>-4.5257179089075201</v>
      </c>
      <c r="C111" s="71"/>
      <c r="D111" s="12">
        <v>0.13950112944748669</v>
      </c>
      <c r="E111" s="10">
        <v>9</v>
      </c>
      <c r="F111" s="10">
        <v>220.00000000000003</v>
      </c>
      <c r="G111" s="6">
        <v>1.8</v>
      </c>
      <c r="H111" s="14">
        <f t="shared" si="1"/>
        <v>-3.2500000000000004</v>
      </c>
      <c r="I111" s="23"/>
      <c r="J111" s="7"/>
      <c r="K111" s="7"/>
      <c r="L111" s="24"/>
      <c r="M111" s="11" t="s">
        <v>239</v>
      </c>
    </row>
    <row r="112" spans="1:13">
      <c r="A112" s="85" t="s">
        <v>240</v>
      </c>
      <c r="B112" s="239">
        <v>-3.00862156346798</v>
      </c>
      <c r="C112" s="72"/>
      <c r="D112" s="4">
        <v>0.22014005046870977</v>
      </c>
      <c r="E112" s="2">
        <v>9</v>
      </c>
      <c r="F112" s="10">
        <v>202</v>
      </c>
      <c r="G112" s="6">
        <v>1.53</v>
      </c>
      <c r="H112" s="14">
        <f t="shared" si="1"/>
        <v>-2.8</v>
      </c>
      <c r="I112" s="23"/>
      <c r="J112" s="7"/>
      <c r="K112" s="7"/>
      <c r="L112" s="24"/>
      <c r="M112" s="11" t="s">
        <v>241</v>
      </c>
    </row>
    <row r="113" spans="1:28">
      <c r="A113" s="82" t="s">
        <v>242</v>
      </c>
      <c r="B113" s="239">
        <v>-3.2447124279576798</v>
      </c>
      <c r="C113" s="71"/>
      <c r="D113" s="12">
        <v>0.14014083879485537</v>
      </c>
      <c r="E113" s="10">
        <v>3</v>
      </c>
      <c r="F113" s="10">
        <v>243.00000000000003</v>
      </c>
      <c r="G113" s="6">
        <v>1.48</v>
      </c>
      <c r="H113" s="14">
        <f t="shared" si="1"/>
        <v>-3.16</v>
      </c>
      <c r="I113" s="23"/>
      <c r="J113" s="7"/>
      <c r="K113" s="7"/>
      <c r="L113" s="24"/>
      <c r="M113" s="11" t="s">
        <v>243</v>
      </c>
    </row>
    <row r="114" spans="1:28">
      <c r="A114" s="83" t="s">
        <v>244</v>
      </c>
      <c r="B114" s="239">
        <v>-2.82367020531556</v>
      </c>
      <c r="C114" s="71"/>
      <c r="D114" s="12">
        <v>0.13726989684757951</v>
      </c>
      <c r="E114" s="10">
        <v>3</v>
      </c>
      <c r="F114" s="10">
        <v>191</v>
      </c>
      <c r="G114" s="6">
        <v>1.67</v>
      </c>
      <c r="H114" s="14">
        <f t="shared" si="1"/>
        <v>-2.83</v>
      </c>
      <c r="I114" s="23"/>
      <c r="J114" s="7"/>
      <c r="K114" s="7"/>
      <c r="L114" s="24"/>
      <c r="M114" s="11" t="s">
        <v>245</v>
      </c>
    </row>
    <row r="115" spans="1:28">
      <c r="A115" s="82" t="s">
        <v>246</v>
      </c>
      <c r="B115" s="239">
        <v>-4.1223283542142601</v>
      </c>
      <c r="C115" s="71"/>
      <c r="D115" s="12">
        <v>0.21357402153711522</v>
      </c>
      <c r="E115" s="10">
        <v>7</v>
      </c>
      <c r="F115" s="10">
        <v>183.5</v>
      </c>
      <c r="G115" s="6">
        <v>4.37</v>
      </c>
      <c r="H115" s="14">
        <f t="shared" si="1"/>
        <v>-5.4550000000000001</v>
      </c>
      <c r="I115" s="23"/>
      <c r="J115" s="7"/>
      <c r="K115" s="7"/>
      <c r="L115" s="24"/>
      <c r="M115" s="11" t="s">
        <v>247</v>
      </c>
    </row>
    <row r="116" spans="1:28">
      <c r="A116" s="82" t="s">
        <v>248</v>
      </c>
      <c r="B116" s="239">
        <v>-3.0199106384999199</v>
      </c>
      <c r="C116" s="71"/>
      <c r="D116" s="12">
        <v>0.10564411177747912</v>
      </c>
      <c r="E116" s="10">
        <v>3</v>
      </c>
      <c r="F116" s="10">
        <v>149</v>
      </c>
      <c r="G116" s="6">
        <v>2.62</v>
      </c>
      <c r="H116" s="14">
        <f t="shared" si="1"/>
        <v>-3.3600000000000003</v>
      </c>
      <c r="I116" s="23"/>
      <c r="J116" s="7"/>
      <c r="K116" s="7"/>
      <c r="L116" s="24"/>
      <c r="M116" s="11" t="s">
        <v>249</v>
      </c>
    </row>
    <row r="117" spans="1:28">
      <c r="A117" s="81" t="s">
        <v>250</v>
      </c>
      <c r="B117" s="239">
        <v>-2.5984317832154402</v>
      </c>
      <c r="C117" s="71"/>
      <c r="D117" s="12">
        <v>0.14623917640453388</v>
      </c>
      <c r="E117" s="10">
        <v>8</v>
      </c>
      <c r="F117" s="10">
        <v>165</v>
      </c>
      <c r="G117" s="6">
        <v>-0.37</v>
      </c>
      <c r="H117" s="14">
        <f t="shared" si="1"/>
        <v>-0.53000000000000014</v>
      </c>
      <c r="I117" s="23"/>
      <c r="J117" s="7"/>
      <c r="K117" s="7"/>
      <c r="L117" s="24"/>
      <c r="M117" s="11" t="s">
        <v>251</v>
      </c>
    </row>
    <row r="118" spans="1:28">
      <c r="A118" s="82" t="s">
        <v>252</v>
      </c>
      <c r="B118" s="239">
        <v>-3.39109562733357</v>
      </c>
      <c r="C118" s="71"/>
      <c r="D118" s="12">
        <v>0.16291639539032501</v>
      </c>
      <c r="E118" s="10">
        <v>10</v>
      </c>
      <c r="F118" s="10">
        <v>225</v>
      </c>
      <c r="G118" s="6">
        <v>0.81</v>
      </c>
      <c r="H118" s="14">
        <f t="shared" si="1"/>
        <v>-2.31</v>
      </c>
      <c r="I118" s="23"/>
      <c r="J118" s="7"/>
      <c r="K118" s="7"/>
      <c r="L118" s="24"/>
      <c r="M118" s="11" t="s">
        <v>253</v>
      </c>
    </row>
    <row r="119" spans="1:28">
      <c r="A119" s="82" t="s">
        <v>254</v>
      </c>
      <c r="B119" s="239">
        <v>-3.2251231635876301</v>
      </c>
      <c r="C119" s="71"/>
      <c r="D119" s="12">
        <v>0.21166647357477791</v>
      </c>
      <c r="E119" s="10">
        <v>5</v>
      </c>
      <c r="F119" s="10">
        <v>270</v>
      </c>
      <c r="G119" s="6">
        <v>0.62</v>
      </c>
      <c r="H119" s="14">
        <f t="shared" si="1"/>
        <v>-2.5700000000000003</v>
      </c>
      <c r="I119" s="23"/>
      <c r="J119" s="7"/>
      <c r="K119" s="7"/>
      <c r="L119" s="24"/>
      <c r="M119" s="11" t="s">
        <v>255</v>
      </c>
    </row>
    <row r="120" spans="1:28">
      <c r="A120" s="81" t="s">
        <v>256</v>
      </c>
      <c r="B120" s="239">
        <v>-3.6965877161092102</v>
      </c>
      <c r="C120" s="71"/>
      <c r="D120" s="12">
        <v>0.14175650298978676</v>
      </c>
      <c r="E120" s="10">
        <v>9</v>
      </c>
      <c r="F120" s="10">
        <v>312.66666666666669</v>
      </c>
      <c r="G120" s="6">
        <v>0.83</v>
      </c>
      <c r="H120" s="14">
        <f t="shared" si="1"/>
        <v>-3.206666666666667</v>
      </c>
      <c r="I120" s="23"/>
      <c r="J120" s="7"/>
      <c r="K120" s="7"/>
      <c r="L120" s="24"/>
      <c r="M120" s="11" t="s">
        <v>257</v>
      </c>
    </row>
    <row r="121" spans="1:28">
      <c r="A121" s="82" t="s">
        <v>258</v>
      </c>
      <c r="B121" s="239">
        <v>-4.06555193367622</v>
      </c>
      <c r="C121" s="71"/>
      <c r="D121" s="12">
        <v>0.2034688635346244</v>
      </c>
      <c r="E121" s="10">
        <v>11</v>
      </c>
      <c r="F121" s="10">
        <v>161</v>
      </c>
      <c r="G121" s="6">
        <v>3.61</v>
      </c>
      <c r="H121" s="14">
        <f t="shared" si="1"/>
        <v>-4.47</v>
      </c>
      <c r="I121" s="23"/>
      <c r="J121" s="7"/>
      <c r="K121" s="7"/>
      <c r="L121" s="24"/>
      <c r="M121" s="11" t="s">
        <v>259</v>
      </c>
    </row>
    <row r="122" spans="1:28">
      <c r="A122" s="81" t="s">
        <v>109</v>
      </c>
      <c r="B122" s="239">
        <v>-2.5756215775425599</v>
      </c>
      <c r="C122" s="71"/>
      <c r="D122" s="12">
        <v>0.20579636821699754</v>
      </c>
      <c r="E122" s="10">
        <v>3</v>
      </c>
      <c r="F122" s="10">
        <v>300</v>
      </c>
      <c r="G122" s="6">
        <v>-1.06</v>
      </c>
      <c r="H122" s="14">
        <f t="shared" si="1"/>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s="239">
        <v>-2.1436218308636499</v>
      </c>
      <c r="C129" s="73" t="s">
        <v>30</v>
      </c>
      <c r="D129" s="12">
        <v>0.50033555401430185</v>
      </c>
      <c r="E129" s="10">
        <v>3</v>
      </c>
      <c r="F129" s="10">
        <v>180</v>
      </c>
      <c r="G129" s="1">
        <v>1.91</v>
      </c>
      <c r="H129" s="14">
        <f t="shared" ref="H129:H160" si="2">0.5-G129-0.01*(F129-25)</f>
        <v>-2.96</v>
      </c>
      <c r="I129" s="53" t="s">
        <v>31</v>
      </c>
      <c r="J129" s="54"/>
      <c r="K129" s="14"/>
      <c r="L129" s="14"/>
      <c r="M129" s="3" t="s">
        <v>269</v>
      </c>
    </row>
    <row r="130" spans="1:13">
      <c r="A130" s="82" t="s">
        <v>270</v>
      </c>
      <c r="B130" s="239">
        <v>-5.7461418146730798</v>
      </c>
      <c r="C130" s="73" t="s">
        <v>36</v>
      </c>
      <c r="D130" s="12">
        <v>0.5</v>
      </c>
      <c r="E130" s="6">
        <v>5</v>
      </c>
      <c r="F130" s="10">
        <v>156</v>
      </c>
      <c r="G130" s="1">
        <v>6.94</v>
      </c>
      <c r="H130" s="14">
        <f t="shared" si="2"/>
        <v>-7.75</v>
      </c>
      <c r="I130" s="53" t="s">
        <v>37</v>
      </c>
      <c r="J130" s="54"/>
      <c r="K130" s="14"/>
      <c r="L130" s="14"/>
      <c r="M130" s="3" t="s">
        <v>271</v>
      </c>
    </row>
    <row r="131" spans="1:13">
      <c r="A131" s="83" t="s">
        <v>272</v>
      </c>
      <c r="B131" s="239">
        <v>-4.8603885496694499</v>
      </c>
      <c r="C131" s="73" t="s">
        <v>41</v>
      </c>
      <c r="D131" s="12">
        <v>0.6530957900260097</v>
      </c>
      <c r="E131" s="10">
        <v>3</v>
      </c>
      <c r="F131" s="10">
        <v>208</v>
      </c>
      <c r="G131" s="1">
        <v>5.18</v>
      </c>
      <c r="H131" s="14">
        <f t="shared" si="2"/>
        <v>-6.51</v>
      </c>
      <c r="I131" s="53" t="s">
        <v>42</v>
      </c>
      <c r="J131" s="54"/>
      <c r="K131" s="14"/>
      <c r="L131" s="14"/>
      <c r="M131" s="3" t="s">
        <v>273</v>
      </c>
    </row>
    <row r="132" spans="1:13">
      <c r="A132" s="82" t="s">
        <v>274</v>
      </c>
      <c r="B132" s="239">
        <v>-1.69019114376132</v>
      </c>
      <c r="C132" s="73" t="s">
        <v>46</v>
      </c>
      <c r="D132" s="12">
        <v>0.59285217963150294</v>
      </c>
      <c r="E132" s="10">
        <v>3</v>
      </c>
      <c r="F132" s="10">
        <v>100</v>
      </c>
      <c r="G132" s="1">
        <v>2.37</v>
      </c>
      <c r="H132" s="14">
        <f t="shared" si="2"/>
        <v>-2.62</v>
      </c>
      <c r="I132" s="15" t="s">
        <v>47</v>
      </c>
      <c r="J132" s="29"/>
      <c r="K132" s="14"/>
      <c r="L132" s="14"/>
      <c r="M132" s="3" t="s">
        <v>275</v>
      </c>
    </row>
    <row r="133" spans="1:13">
      <c r="A133" s="82" t="s">
        <v>276</v>
      </c>
      <c r="B133" s="239">
        <v>-5.8381496262196499</v>
      </c>
      <c r="C133" s="73" t="s">
        <v>51</v>
      </c>
      <c r="D133" s="12">
        <v>0.51067901383936642</v>
      </c>
      <c r="E133" s="10">
        <v>5</v>
      </c>
      <c r="F133" s="10">
        <v>217</v>
      </c>
      <c r="G133" s="1">
        <v>3.19</v>
      </c>
      <c r="H133" s="14">
        <f t="shared" si="2"/>
        <v>-4.6099999999999994</v>
      </c>
      <c r="I133" s="15" t="s">
        <v>52</v>
      </c>
      <c r="J133" s="29"/>
      <c r="K133" s="14"/>
      <c r="L133" s="14"/>
      <c r="M133" s="3" t="s">
        <v>277</v>
      </c>
    </row>
    <row r="134" spans="1:13">
      <c r="A134" s="82" t="s">
        <v>278</v>
      </c>
      <c r="B134" s="239">
        <v>-4.3071827250506596</v>
      </c>
      <c r="C134" s="71"/>
      <c r="D134" s="12">
        <v>0.83065522865171437</v>
      </c>
      <c r="E134" s="10">
        <v>3</v>
      </c>
      <c r="F134" s="10">
        <v>209.50000000000003</v>
      </c>
      <c r="G134" s="1">
        <v>4.41</v>
      </c>
      <c r="H134" s="14">
        <f t="shared" si="2"/>
        <v>-5.7550000000000008</v>
      </c>
      <c r="I134" s="15" t="s">
        <v>56</v>
      </c>
      <c r="J134" s="29"/>
      <c r="K134" s="14"/>
      <c r="L134" s="14"/>
      <c r="M134" s="3" t="s">
        <v>279</v>
      </c>
    </row>
    <row r="135" spans="1:13">
      <c r="A135" s="82" t="s">
        <v>280</v>
      </c>
      <c r="B135" s="239">
        <v>-6.0213508673232301</v>
      </c>
      <c r="C135" s="71"/>
      <c r="D135" s="12">
        <v>0.51097181417141646</v>
      </c>
      <c r="E135" s="10">
        <v>6</v>
      </c>
      <c r="F135" s="10">
        <v>97.5</v>
      </c>
      <c r="G135" s="1">
        <v>5.19</v>
      </c>
      <c r="H135" s="14">
        <f t="shared" si="2"/>
        <v>-5.415</v>
      </c>
      <c r="I135" s="15" t="s">
        <v>60</v>
      </c>
      <c r="J135" s="31" t="s">
        <v>32</v>
      </c>
      <c r="K135" s="14"/>
      <c r="L135" s="14"/>
      <c r="M135" s="3" t="s">
        <v>281</v>
      </c>
    </row>
    <row r="136" spans="1:13">
      <c r="A136" s="81" t="s">
        <v>282</v>
      </c>
      <c r="B136" s="239">
        <v>-6.5373318260655804</v>
      </c>
      <c r="C136" s="71"/>
      <c r="D136" s="12">
        <v>0.92735432696895004</v>
      </c>
      <c r="E136" s="10">
        <v>5</v>
      </c>
      <c r="F136" s="10">
        <v>211</v>
      </c>
      <c r="G136" s="1">
        <v>7.49</v>
      </c>
      <c r="H136" s="14">
        <f t="shared" si="2"/>
        <v>-8.85</v>
      </c>
      <c r="I136" s="30" t="s">
        <v>64</v>
      </c>
      <c r="J136" s="32"/>
      <c r="K136" s="33"/>
      <c r="L136" s="34"/>
      <c r="M136" s="3" t="s">
        <v>283</v>
      </c>
    </row>
    <row r="137" spans="1:13">
      <c r="A137" s="82" t="s">
        <v>112</v>
      </c>
      <c r="B137" s="239">
        <v>-4.0226949555048401</v>
      </c>
      <c r="C137" s="71"/>
      <c r="D137" s="12">
        <v>0.68239272333923895</v>
      </c>
      <c r="E137" s="10">
        <v>3</v>
      </c>
      <c r="F137" s="10">
        <v>177</v>
      </c>
      <c r="G137" s="1">
        <v>3.37</v>
      </c>
      <c r="H137" s="14">
        <f t="shared" si="2"/>
        <v>-4.3900000000000006</v>
      </c>
      <c r="J137" s="14"/>
      <c r="K137" s="14"/>
      <c r="L137" s="14"/>
      <c r="M137" s="3" t="s">
        <v>284</v>
      </c>
    </row>
    <row r="138" spans="1:13">
      <c r="A138" s="82" t="s">
        <v>285</v>
      </c>
      <c r="B138" s="239">
        <v>-4.8865023230592399</v>
      </c>
      <c r="C138" s="71"/>
      <c r="D138" s="12">
        <v>0.520951861602862</v>
      </c>
      <c r="E138" s="10">
        <v>10</v>
      </c>
      <c r="F138" s="10">
        <v>228.6</v>
      </c>
      <c r="G138" s="1">
        <v>4.22</v>
      </c>
      <c r="H138" s="14">
        <f t="shared" si="2"/>
        <v>-5.7560000000000002</v>
      </c>
      <c r="I138" s="16" t="s">
        <v>286</v>
      </c>
      <c r="J138" s="17"/>
      <c r="K138" s="17"/>
      <c r="L138" s="18"/>
      <c r="M138" s="3" t="s">
        <v>287</v>
      </c>
    </row>
    <row r="139" spans="1:13">
      <c r="A139" s="81" t="s">
        <v>288</v>
      </c>
      <c r="B139" s="239">
        <v>-2.3441768731959201</v>
      </c>
      <c r="C139" s="71"/>
      <c r="D139" s="12">
        <v>0.53906642829149898</v>
      </c>
      <c r="E139" s="10">
        <v>3</v>
      </c>
      <c r="F139" s="10">
        <v>161.5</v>
      </c>
      <c r="G139" s="1">
        <v>-0.21</v>
      </c>
      <c r="H139" s="14">
        <f t="shared" si="2"/>
        <v>-0.65500000000000003</v>
      </c>
      <c r="I139" s="20" t="s">
        <v>675</v>
      </c>
      <c r="J139" s="21"/>
      <c r="K139" s="21"/>
      <c r="L139" s="22"/>
      <c r="M139" s="3" t="s">
        <v>289</v>
      </c>
    </row>
    <row r="140" spans="1:13">
      <c r="A140" s="81" t="s">
        <v>290</v>
      </c>
      <c r="B140" s="239">
        <v>-4.2718751790441596</v>
      </c>
      <c r="C140" s="71"/>
      <c r="D140" s="12">
        <v>0.56233984781338708</v>
      </c>
      <c r="E140" s="10">
        <v>11</v>
      </c>
      <c r="F140" s="10">
        <v>213.49999999999997</v>
      </c>
      <c r="G140" s="1">
        <v>3.04</v>
      </c>
      <c r="H140" s="14">
        <f t="shared" si="2"/>
        <v>-4.4249999999999998</v>
      </c>
      <c r="I140" s="23" t="s">
        <v>676</v>
      </c>
      <c r="J140" s="7"/>
      <c r="K140" s="7"/>
      <c r="L140" s="24"/>
      <c r="M140" s="3" t="s">
        <v>291</v>
      </c>
    </row>
    <row r="141" spans="1:13">
      <c r="A141" s="83" t="s">
        <v>292</v>
      </c>
      <c r="B141" s="239">
        <v>-3.8204910882303902</v>
      </c>
      <c r="C141" s="71"/>
      <c r="D141" s="12">
        <v>0.54710381306524825</v>
      </c>
      <c r="E141" s="10">
        <v>4</v>
      </c>
      <c r="F141" s="10">
        <v>168.5</v>
      </c>
      <c r="G141" s="1">
        <v>3.35</v>
      </c>
      <c r="H141" s="14">
        <f t="shared" si="2"/>
        <v>-4.2850000000000001</v>
      </c>
      <c r="I141" s="23"/>
      <c r="J141" s="7"/>
      <c r="K141" s="7"/>
      <c r="L141" s="24"/>
      <c r="M141" s="3" t="s">
        <v>293</v>
      </c>
    </row>
    <row r="142" spans="1:13">
      <c r="A142" s="81" t="s">
        <v>114</v>
      </c>
      <c r="B142" s="239">
        <v>-3.4948993244084798</v>
      </c>
      <c r="C142" s="71"/>
      <c r="D142" s="12">
        <v>0.54612637818466869</v>
      </c>
      <c r="E142" s="10">
        <v>3</v>
      </c>
      <c r="F142" s="13">
        <v>124.1</v>
      </c>
      <c r="G142" s="1">
        <v>2.81</v>
      </c>
      <c r="H142" s="14">
        <f t="shared" si="2"/>
        <v>-3.3010000000000002</v>
      </c>
      <c r="I142" s="25"/>
      <c r="J142" s="7"/>
      <c r="K142" s="7"/>
      <c r="L142" s="24"/>
      <c r="M142" s="3" t="s">
        <v>294</v>
      </c>
    </row>
    <row r="143" spans="1:13">
      <c r="A143" s="81" t="s">
        <v>295</v>
      </c>
      <c r="B143" s="239">
        <v>-5.2738266470914299</v>
      </c>
      <c r="C143" s="71"/>
      <c r="D143" s="12">
        <v>0.51160213896594608</v>
      </c>
      <c r="E143" s="10">
        <v>4</v>
      </c>
      <c r="F143" s="10">
        <v>165</v>
      </c>
      <c r="G143" s="1">
        <v>4.8899999999999997</v>
      </c>
      <c r="H143" s="14">
        <f t="shared" si="2"/>
        <v>-5.79</v>
      </c>
      <c r="I143" s="25"/>
      <c r="J143" s="7"/>
      <c r="K143" s="7"/>
      <c r="L143" s="24"/>
      <c r="M143" s="3" t="s">
        <v>296</v>
      </c>
    </row>
    <row r="144" spans="1:13">
      <c r="A144" s="81" t="s">
        <v>117</v>
      </c>
      <c r="B144" s="239">
        <v>-4.9711855380289496</v>
      </c>
      <c r="C144" s="71"/>
      <c r="D144" s="12">
        <v>0.65141515533308314</v>
      </c>
      <c r="E144" s="10">
        <v>4</v>
      </c>
      <c r="F144" s="10">
        <v>161.1</v>
      </c>
      <c r="G144" s="1">
        <v>4.76</v>
      </c>
      <c r="H144" s="14">
        <f t="shared" si="2"/>
        <v>-5.6209999999999996</v>
      </c>
      <c r="I144" s="25"/>
      <c r="J144" s="7"/>
      <c r="K144" s="7"/>
      <c r="L144" s="24"/>
      <c r="M144" s="3" t="s">
        <v>297</v>
      </c>
    </row>
    <row r="145" spans="1:28">
      <c r="A145" s="83" t="s">
        <v>298</v>
      </c>
      <c r="B145" s="239">
        <v>-4.6945313836289904</v>
      </c>
      <c r="C145" s="71"/>
      <c r="D145" s="12">
        <v>0.65883215509381909</v>
      </c>
      <c r="E145" s="10">
        <v>3</v>
      </c>
      <c r="F145" s="10">
        <v>155</v>
      </c>
      <c r="G145" s="1">
        <v>3.74</v>
      </c>
      <c r="H145" s="14">
        <f t="shared" si="2"/>
        <v>-4.54</v>
      </c>
      <c r="I145" s="25"/>
      <c r="J145" s="7"/>
      <c r="K145" s="7"/>
      <c r="L145" s="24"/>
      <c r="M145" s="3" t="s">
        <v>299</v>
      </c>
    </row>
    <row r="146" spans="1:28">
      <c r="A146" s="82" t="s">
        <v>300</v>
      </c>
      <c r="B146" s="239">
        <v>-6.6043613436203499</v>
      </c>
      <c r="C146" s="71"/>
      <c r="D146" s="12">
        <v>0.61400477095750339</v>
      </c>
      <c r="E146" s="10">
        <v>3</v>
      </c>
      <c r="F146" s="10">
        <v>165.4</v>
      </c>
      <c r="G146" s="1">
        <v>5.58</v>
      </c>
      <c r="H146" s="14">
        <f t="shared" si="2"/>
        <v>-6.484</v>
      </c>
      <c r="I146" s="25"/>
      <c r="J146" s="7"/>
      <c r="K146" s="7"/>
      <c r="L146" s="24"/>
      <c r="M146" s="3" t="s">
        <v>301</v>
      </c>
    </row>
    <row r="147" spans="1:28">
      <c r="A147" s="82" t="s">
        <v>302</v>
      </c>
      <c r="B147" s="239">
        <v>-5.5224438997876701</v>
      </c>
      <c r="C147" s="71"/>
      <c r="D147" s="12">
        <v>0.50406532001413251</v>
      </c>
      <c r="E147" s="10">
        <v>6</v>
      </c>
      <c r="F147" s="10">
        <v>161</v>
      </c>
      <c r="G147" s="1">
        <v>6.45</v>
      </c>
      <c r="H147" s="14">
        <f t="shared" si="2"/>
        <v>-7.3100000000000005</v>
      </c>
      <c r="I147" s="26"/>
      <c r="J147" s="27"/>
      <c r="K147" s="27"/>
      <c r="L147" s="28"/>
      <c r="M147" s="3" t="s">
        <v>303</v>
      </c>
    </row>
    <row r="148" spans="1:28">
      <c r="A148" s="82" t="s">
        <v>304</v>
      </c>
      <c r="B148" s="239">
        <v>-5.6806837598585798</v>
      </c>
      <c r="C148" s="71"/>
      <c r="D148" s="12">
        <v>0.75493366325441691</v>
      </c>
      <c r="E148" s="10">
        <v>4</v>
      </c>
      <c r="F148" s="10">
        <v>193.5</v>
      </c>
      <c r="G148" s="1">
        <v>5.41</v>
      </c>
      <c r="H148" s="14">
        <f t="shared" si="2"/>
        <v>-6.5950000000000006</v>
      </c>
      <c r="J148" s="14"/>
      <c r="K148" s="14"/>
      <c r="L148" s="14"/>
      <c r="M148" s="3" t="s">
        <v>305</v>
      </c>
    </row>
    <row r="149" spans="1:28">
      <c r="A149" s="82" t="s">
        <v>306</v>
      </c>
      <c r="B149" s="239">
        <v>-2.8697433857572299</v>
      </c>
      <c r="C149" s="71"/>
      <c r="D149" s="12">
        <v>0.50089358058597189</v>
      </c>
      <c r="E149" s="10">
        <v>3</v>
      </c>
      <c r="F149" s="10">
        <v>156</v>
      </c>
      <c r="G149" s="1">
        <v>2.9</v>
      </c>
      <c r="H149" s="14">
        <f t="shared" si="2"/>
        <v>-3.71</v>
      </c>
      <c r="I149" s="70" t="s">
        <v>133</v>
      </c>
      <c r="J149" s="75">
        <v>333</v>
      </c>
      <c r="K149" s="34"/>
      <c r="L149" s="14"/>
      <c r="M149" s="3" t="s">
        <v>307</v>
      </c>
    </row>
    <row r="150" spans="1:28">
      <c r="A150" s="83" t="s">
        <v>308</v>
      </c>
      <c r="B150" s="239">
        <v>-4.3942931536307297</v>
      </c>
      <c r="C150" s="71"/>
      <c r="D150" s="12">
        <v>0.6587984329866341</v>
      </c>
      <c r="E150" s="10">
        <v>4</v>
      </c>
      <c r="F150" s="10">
        <v>183.5</v>
      </c>
      <c r="G150" s="1">
        <v>3.16</v>
      </c>
      <c r="H150" s="14">
        <f t="shared" si="2"/>
        <v>-4.2450000000000001</v>
      </c>
      <c r="I150" s="70" t="s">
        <v>136</v>
      </c>
      <c r="J150" s="32" t="s">
        <v>668</v>
      </c>
      <c r="K150" s="34"/>
      <c r="L150" s="14"/>
      <c r="M150" s="3" t="s">
        <v>309</v>
      </c>
    </row>
    <row r="151" spans="1:28">
      <c r="A151" s="83" t="s">
        <v>310</v>
      </c>
      <c r="B151" s="239">
        <v>-2.4032297089616299</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s="239">
        <v>-2.8738272996397098</v>
      </c>
      <c r="C152" s="71"/>
      <c r="D152" s="12">
        <v>0.57115657899345518</v>
      </c>
      <c r="E152" s="10">
        <v>7</v>
      </c>
      <c r="F152" s="10">
        <v>177</v>
      </c>
      <c r="G152" s="1">
        <v>3.17</v>
      </c>
      <c r="H152" s="14">
        <f t="shared" si="2"/>
        <v>-4.1899999999999995</v>
      </c>
      <c r="I152" s="14"/>
      <c r="J152" s="14"/>
      <c r="K152" s="14"/>
      <c r="L152" s="14"/>
      <c r="M152" s="3" t="s">
        <v>313</v>
      </c>
    </row>
    <row r="153" spans="1:28">
      <c r="A153" s="81" t="s">
        <v>314</v>
      </c>
      <c r="B153" s="239">
        <v>-5.9539634741371801</v>
      </c>
      <c r="C153" s="71"/>
      <c r="D153" s="12">
        <v>0.55807775121880254</v>
      </c>
      <c r="E153" s="10">
        <v>6</v>
      </c>
      <c r="F153" s="10">
        <v>145</v>
      </c>
      <c r="G153" s="1">
        <v>6.08</v>
      </c>
      <c r="H153" s="14">
        <f t="shared" si="2"/>
        <v>-6.78</v>
      </c>
      <c r="I153" s="19" t="s">
        <v>144</v>
      </c>
      <c r="J153" s="17"/>
      <c r="K153" s="17"/>
      <c r="L153" s="18"/>
      <c r="M153" s="3" t="s">
        <v>315</v>
      </c>
    </row>
    <row r="154" spans="1:28">
      <c r="A154" s="81" t="s">
        <v>316</v>
      </c>
      <c r="B154" s="239">
        <v>-5.8450503163652803</v>
      </c>
      <c r="C154" s="71"/>
      <c r="D154" s="12">
        <v>0.66417698790166113</v>
      </c>
      <c r="E154" s="10">
        <v>3</v>
      </c>
      <c r="F154" s="13">
        <v>175.8</v>
      </c>
      <c r="G154" s="1">
        <v>4.62</v>
      </c>
      <c r="H154" s="14">
        <f t="shared" si="2"/>
        <v>-5.6280000000000001</v>
      </c>
      <c r="I154" s="20" t="s">
        <v>669</v>
      </c>
      <c r="J154" s="21"/>
      <c r="K154" s="21"/>
      <c r="L154" s="22"/>
      <c r="M154" s="3" t="s">
        <v>317</v>
      </c>
    </row>
    <row r="155" spans="1:28">
      <c r="A155" s="82" t="s">
        <v>318</v>
      </c>
      <c r="B155" s="239">
        <v>-5.8380860277317304</v>
      </c>
      <c r="C155" s="71"/>
      <c r="D155" s="12">
        <v>0.57716593661781801</v>
      </c>
      <c r="E155" s="10">
        <v>3</v>
      </c>
      <c r="F155" s="10">
        <v>349.84</v>
      </c>
      <c r="G155" s="1">
        <v>3.09</v>
      </c>
      <c r="H155" s="14">
        <f t="shared" si="2"/>
        <v>-5.8384</v>
      </c>
      <c r="I155" s="23" t="s">
        <v>677</v>
      </c>
      <c r="J155" s="7"/>
      <c r="K155" s="7"/>
      <c r="L155" s="24"/>
      <c r="M155" s="3" t="s">
        <v>319</v>
      </c>
    </row>
    <row r="156" spans="1:28">
      <c r="A156" s="83" t="s">
        <v>320</v>
      </c>
      <c r="B156" s="239">
        <v>-3.2453381635546301</v>
      </c>
      <c r="C156" s="71"/>
      <c r="D156" s="12">
        <v>0.70324590282883903</v>
      </c>
      <c r="E156" s="10">
        <v>3</v>
      </c>
      <c r="F156" s="10">
        <v>204</v>
      </c>
      <c r="G156" s="1">
        <v>0.88</v>
      </c>
      <c r="H156" s="14">
        <f t="shared" si="2"/>
        <v>-2.17</v>
      </c>
      <c r="I156" s="23" t="s">
        <v>671</v>
      </c>
      <c r="J156" s="7"/>
      <c r="K156" s="7"/>
      <c r="L156" s="24"/>
      <c r="M156" s="3" t="s">
        <v>321</v>
      </c>
    </row>
    <row r="157" spans="1:28">
      <c r="A157" s="82" t="s">
        <v>322</v>
      </c>
      <c r="B157" s="239">
        <v>-5.81733511240874</v>
      </c>
      <c r="C157" s="71"/>
      <c r="D157" s="12">
        <v>0.7237903588794764</v>
      </c>
      <c r="E157" s="10">
        <v>7</v>
      </c>
      <c r="F157" s="10">
        <v>97.8</v>
      </c>
      <c r="G157" s="1">
        <v>6</v>
      </c>
      <c r="H157" s="14">
        <f t="shared" si="2"/>
        <v>-6.2279999999999998</v>
      </c>
      <c r="I157" s="23"/>
      <c r="J157" s="7"/>
      <c r="K157" s="7"/>
      <c r="L157" s="24"/>
      <c r="M157" s="3" t="s">
        <v>323</v>
      </c>
    </row>
    <row r="158" spans="1:28">
      <c r="A158" s="82" t="s">
        <v>324</v>
      </c>
      <c r="B158" s="239">
        <v>-6.5411363817642902</v>
      </c>
      <c r="C158" s="71"/>
      <c r="D158" s="12">
        <v>0.84033450922624497</v>
      </c>
      <c r="E158" s="10">
        <v>5</v>
      </c>
      <c r="F158" s="10">
        <v>262</v>
      </c>
      <c r="G158" s="1">
        <v>7.26</v>
      </c>
      <c r="H158" s="14">
        <f t="shared" si="2"/>
        <v>-9.129999999999999</v>
      </c>
      <c r="I158" s="23" t="s">
        <v>678</v>
      </c>
      <c r="J158" s="7"/>
      <c r="K158" s="7"/>
      <c r="L158" s="24"/>
      <c r="M158" s="3" t="s">
        <v>325</v>
      </c>
    </row>
    <row r="159" spans="1:28">
      <c r="A159" s="82" t="s">
        <v>326</v>
      </c>
      <c r="B159" s="239">
        <v>-6.2690362839971803</v>
      </c>
      <c r="C159" s="71"/>
      <c r="D159" s="12">
        <v>0.70969645885144073</v>
      </c>
      <c r="E159" s="10">
        <v>11</v>
      </c>
      <c r="F159" s="10">
        <v>149.6</v>
      </c>
      <c r="G159" s="1">
        <v>6.45</v>
      </c>
      <c r="H159" s="14">
        <f t="shared" si="2"/>
        <v>-7.1959999999999997</v>
      </c>
      <c r="I159" s="23" t="s">
        <v>679</v>
      </c>
      <c r="J159" s="7"/>
      <c r="K159" s="7"/>
      <c r="L159" s="24"/>
      <c r="M159" s="3" t="s">
        <v>327</v>
      </c>
    </row>
    <row r="160" spans="1:28" s="62" customFormat="1">
      <c r="A160" s="81" t="s">
        <v>328</v>
      </c>
      <c r="B160" s="239">
        <v>-2.5854737564365302</v>
      </c>
      <c r="C160" s="71"/>
      <c r="D160" s="12">
        <v>0.49644864464459931</v>
      </c>
      <c r="E160" s="10">
        <v>4</v>
      </c>
      <c r="F160" s="10">
        <v>304.5</v>
      </c>
      <c r="G160" s="1">
        <v>2.69</v>
      </c>
      <c r="H160" s="14">
        <f t="shared" si="2"/>
        <v>-4.9849999999999994</v>
      </c>
      <c r="I160" s="35" t="s">
        <v>680</v>
      </c>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681</v>
      </c>
    </row>
    <row r="194" spans="1:17">
      <c r="A194" s="43" t="s">
        <v>682</v>
      </c>
      <c r="B194" s="44"/>
      <c r="C194" s="44"/>
      <c r="D194" s="44"/>
      <c r="E194" s="44"/>
      <c r="F194" s="44"/>
      <c r="G194" s="44"/>
      <c r="H194" s="44"/>
      <c r="I194" s="44"/>
      <c r="J194" s="44"/>
      <c r="K194" s="44"/>
      <c r="L194" s="44"/>
      <c r="M194" s="48"/>
      <c r="N194" s="44"/>
      <c r="O194" s="44"/>
      <c r="P194" s="44"/>
      <c r="Q194" s="45"/>
    </row>
    <row r="195" spans="1:17" s="39" customFormat="1">
      <c r="A195" s="49" t="s">
        <v>683</v>
      </c>
      <c r="M195" s="49"/>
    </row>
    <row r="196" spans="1:17" s="49" customFormat="1">
      <c r="A196" s="49" t="s">
        <v>684</v>
      </c>
    </row>
    <row r="197" spans="1:17" s="39" customFormat="1">
      <c r="A197" s="39" t="s">
        <v>685</v>
      </c>
      <c r="M197" s="49"/>
    </row>
    <row r="198" spans="1:17" s="39" customFormat="1">
      <c r="A198" s="39" t="s">
        <v>686</v>
      </c>
      <c r="M198" s="49"/>
    </row>
    <row r="199" spans="1:17" s="39" customFormat="1">
      <c r="A199" s="39" t="s">
        <v>687</v>
      </c>
      <c r="M199" s="49"/>
    </row>
  </sheetData>
  <pageMargins left="0" right="0" top="0" bottom="0" header="0.3" footer="0.3"/>
  <pageSetup scale="54"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68522C-04C2-4B4B-8F3C-E629795D8D43}">
  <dimension ref="A1:AB199"/>
  <sheetViews>
    <sheetView workbookViewId="0">
      <selection activeCell="B4" sqref="B4:B9"/>
    </sheetView>
  </sheetViews>
  <sheetFormatPr baseColWidth="10" defaultColWidth="9.1640625" defaultRowHeight="15"/>
  <cols>
    <col min="1" max="1" width="18.83203125" customWidth="1"/>
    <col min="2" max="3" width="11.33203125" customWidth="1"/>
    <col min="4" max="4" width="7.6640625" customWidth="1"/>
    <col min="5" max="5" width="7.83203125" customWidth="1"/>
    <col min="6" max="6" width="10.1640625" customWidth="1"/>
    <col min="7" max="7" width="11.5" customWidth="1"/>
    <col min="9" max="9" width="13.1640625" customWidth="1"/>
    <col min="10" max="10" width="4.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118"/>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t="s">
        <v>32</v>
      </c>
      <c r="C14" t="s">
        <v>11</v>
      </c>
    </row>
    <row r="15" spans="1:25" s="90" customFormat="1">
      <c r="A15" s="89" t="s">
        <v>12</v>
      </c>
    </row>
    <row r="16" spans="1:25">
      <c r="B16" s="117"/>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s="130">
        <v>-2.5382760091568501</v>
      </c>
      <c r="C23" s="73" t="s">
        <v>30</v>
      </c>
      <c r="D23" s="12">
        <v>0.17592262140645501</v>
      </c>
      <c r="E23" s="10">
        <v>11</v>
      </c>
      <c r="F23" s="10">
        <v>258.5</v>
      </c>
      <c r="G23" s="6">
        <v>-0.86</v>
      </c>
      <c r="H23" s="14">
        <f t="shared" ref="H23:H86" si="0">0.5-G23-0.01*(F23-25)</f>
        <v>-0.97500000000000009</v>
      </c>
      <c r="I23" s="53" t="s">
        <v>31</v>
      </c>
      <c r="J23" s="54"/>
      <c r="K23" s="14"/>
      <c r="L23" s="14"/>
      <c r="M23" s="11" t="s">
        <v>33</v>
      </c>
    </row>
    <row r="24" spans="1:28">
      <c r="A24" s="82" t="s">
        <v>35</v>
      </c>
      <c r="B24" s="130">
        <v>-1.89786056274757</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s="130">
        <v>-3.2636336453825998</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s="130">
        <v>-3.2412225861689699</v>
      </c>
      <c r="C26" s="73" t="s">
        <v>46</v>
      </c>
      <c r="D26" s="12">
        <v>0.16999222507469616</v>
      </c>
      <c r="E26" s="10">
        <v>3</v>
      </c>
      <c r="F26" s="10">
        <v>234</v>
      </c>
      <c r="G26" s="6">
        <v>3.19</v>
      </c>
      <c r="H26" s="14">
        <f t="shared" si="0"/>
        <v>-4.7799999999999994</v>
      </c>
      <c r="I26" s="15" t="s">
        <v>47</v>
      </c>
      <c r="J26" s="29"/>
      <c r="K26" s="14"/>
      <c r="L26" s="14"/>
      <c r="M26" s="11" t="s">
        <v>48</v>
      </c>
    </row>
    <row r="27" spans="1:28">
      <c r="A27" s="82" t="s">
        <v>50</v>
      </c>
      <c r="B27" s="130">
        <v>-4.8843903663884403</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s="130">
        <v>-5.53679998477556</v>
      </c>
      <c r="C28" s="71"/>
      <c r="D28" s="12">
        <v>0.18412396392404196</v>
      </c>
      <c r="E28" s="10">
        <v>3</v>
      </c>
      <c r="F28" s="10">
        <v>224.00000000000003</v>
      </c>
      <c r="G28" s="6">
        <v>5.51</v>
      </c>
      <c r="H28" s="14">
        <f t="shared" si="0"/>
        <v>-7</v>
      </c>
      <c r="I28" s="15" t="s">
        <v>56</v>
      </c>
      <c r="J28" s="29"/>
      <c r="K28" s="14"/>
      <c r="L28" s="14"/>
      <c r="M28" s="11" t="s">
        <v>57</v>
      </c>
    </row>
    <row r="29" spans="1:28">
      <c r="A29" s="81" t="s">
        <v>59</v>
      </c>
      <c r="B29" s="130">
        <v>-2.45110913043849</v>
      </c>
      <c r="C29" s="71"/>
      <c r="D29" s="12">
        <v>0.14933733874523175</v>
      </c>
      <c r="E29" s="10">
        <v>6</v>
      </c>
      <c r="F29" s="10">
        <v>172.5</v>
      </c>
      <c r="G29" s="6">
        <v>1.78</v>
      </c>
      <c r="H29" s="14">
        <f t="shared" si="0"/>
        <v>-2.7549999999999999</v>
      </c>
      <c r="I29" s="15" t="s">
        <v>60</v>
      </c>
      <c r="J29" s="31" t="s">
        <v>32</v>
      </c>
      <c r="K29" s="14"/>
      <c r="L29" s="14"/>
      <c r="M29" s="11" t="s">
        <v>61</v>
      </c>
    </row>
    <row r="30" spans="1:28">
      <c r="A30" s="81" t="s">
        <v>63</v>
      </c>
      <c r="B30" s="130">
        <v>-2.9669135166154801</v>
      </c>
      <c r="C30" s="71"/>
      <c r="D30" s="12">
        <v>0.14842266063120066</v>
      </c>
      <c r="E30" s="10">
        <v>4</v>
      </c>
      <c r="F30" s="10">
        <v>207.50000000000003</v>
      </c>
      <c r="G30" s="6">
        <v>1.86</v>
      </c>
      <c r="H30" s="14">
        <f t="shared" si="0"/>
        <v>-3.1850000000000005</v>
      </c>
      <c r="I30" s="30" t="s">
        <v>64</v>
      </c>
      <c r="J30" s="32"/>
      <c r="K30" s="33"/>
      <c r="L30" s="34"/>
      <c r="M30" s="11" t="s">
        <v>65</v>
      </c>
    </row>
    <row r="31" spans="1:28">
      <c r="A31" s="83" t="s">
        <v>66</v>
      </c>
      <c r="B31" s="130">
        <v>-1.96185908989237</v>
      </c>
      <c r="C31" s="71"/>
      <c r="D31" s="12">
        <v>0.1617973106900604</v>
      </c>
      <c r="E31" s="10">
        <v>10</v>
      </c>
      <c r="F31" s="10">
        <v>166.5</v>
      </c>
      <c r="G31" s="6">
        <v>0.79</v>
      </c>
      <c r="H31" s="14">
        <f t="shared" si="0"/>
        <v>-1.7050000000000001</v>
      </c>
      <c r="J31" s="14"/>
      <c r="K31" s="14"/>
      <c r="L31" s="14"/>
      <c r="M31" s="11" t="s">
        <v>67</v>
      </c>
    </row>
    <row r="32" spans="1:28">
      <c r="A32" s="82" t="s">
        <v>68</v>
      </c>
      <c r="B32" s="130">
        <v>-4.1012197230593097</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s="130">
        <v>-3.2537004506931702</v>
      </c>
      <c r="C33" s="72"/>
      <c r="D33" s="4">
        <v>0.12912520605069597</v>
      </c>
      <c r="E33" s="2">
        <v>3</v>
      </c>
      <c r="F33" s="13">
        <v>192.7</v>
      </c>
      <c r="G33" s="6">
        <v>2.63</v>
      </c>
      <c r="H33" s="14">
        <f t="shared" si="0"/>
        <v>-3.8069999999999995</v>
      </c>
      <c r="I33" s="20" t="s">
        <v>675</v>
      </c>
      <c r="J33" s="21"/>
      <c r="K33" s="21"/>
      <c r="L33" s="22"/>
      <c r="M33" s="11" t="s">
        <v>72</v>
      </c>
    </row>
    <row r="34" spans="1:13">
      <c r="A34" s="81" t="s">
        <v>74</v>
      </c>
      <c r="B34" s="130">
        <v>-6.7629263436251597</v>
      </c>
      <c r="C34" s="71"/>
      <c r="D34" s="12">
        <v>0.14911462098310888</v>
      </c>
      <c r="E34" s="10">
        <v>6</v>
      </c>
      <c r="F34" s="10">
        <v>167</v>
      </c>
      <c r="G34" s="6">
        <v>6.32</v>
      </c>
      <c r="H34" s="14">
        <f t="shared" si="0"/>
        <v>-7.24</v>
      </c>
      <c r="I34" s="23" t="s">
        <v>676</v>
      </c>
      <c r="J34" s="7"/>
      <c r="K34" s="7"/>
      <c r="L34" s="24"/>
      <c r="M34" s="11" t="s">
        <v>75</v>
      </c>
    </row>
    <row r="35" spans="1:13">
      <c r="A35" s="82" t="s">
        <v>77</v>
      </c>
      <c r="B35" s="130">
        <v>-3.78043806169027</v>
      </c>
      <c r="C35" s="71"/>
      <c r="D35" s="12">
        <v>0.15809078703524676</v>
      </c>
      <c r="E35" s="10">
        <v>15</v>
      </c>
      <c r="F35" s="10">
        <v>191.5</v>
      </c>
      <c r="G35" s="6">
        <v>3.39</v>
      </c>
      <c r="H35" s="14">
        <f t="shared" si="0"/>
        <v>-4.5549999999999997</v>
      </c>
      <c r="I35" s="23"/>
      <c r="J35" s="7"/>
      <c r="K35" s="7"/>
      <c r="L35" s="24"/>
      <c r="M35" s="11" t="s">
        <v>78</v>
      </c>
    </row>
    <row r="36" spans="1:13">
      <c r="A36" s="83" t="s">
        <v>80</v>
      </c>
      <c r="B36" s="130">
        <v>-3.1561838730548302</v>
      </c>
      <c r="C36" s="71"/>
      <c r="D36" s="12">
        <v>0.1911503089068218</v>
      </c>
      <c r="E36" s="10">
        <v>3</v>
      </c>
      <c r="F36" s="10">
        <v>246.2</v>
      </c>
      <c r="G36" s="6">
        <v>3.32</v>
      </c>
      <c r="H36" s="14">
        <f t="shared" si="0"/>
        <v>-5.032</v>
      </c>
      <c r="I36" s="25"/>
      <c r="J36" s="7"/>
      <c r="K36" s="7"/>
      <c r="L36" s="24"/>
      <c r="M36" s="11" t="s">
        <v>81</v>
      </c>
    </row>
    <row r="37" spans="1:13">
      <c r="A37" s="83" t="s">
        <v>73</v>
      </c>
      <c r="B37" s="130">
        <v>-3.1235368525599498</v>
      </c>
      <c r="C37" s="71"/>
      <c r="D37" s="12">
        <v>0.19050575600734274</v>
      </c>
      <c r="E37" s="10">
        <v>4</v>
      </c>
      <c r="F37" s="10">
        <v>304</v>
      </c>
      <c r="G37" s="6">
        <v>1.74</v>
      </c>
      <c r="H37" s="14">
        <f t="shared" si="0"/>
        <v>-4.03</v>
      </c>
      <c r="I37" s="25"/>
      <c r="J37" s="7"/>
      <c r="K37" s="7"/>
      <c r="L37" s="24"/>
      <c r="M37" s="11" t="s">
        <v>83</v>
      </c>
    </row>
    <row r="38" spans="1:13">
      <c r="A38" s="81" t="s">
        <v>76</v>
      </c>
      <c r="B38" s="130">
        <v>-1.8657413505278599</v>
      </c>
      <c r="C38" s="71"/>
      <c r="D38" s="12">
        <v>0.13682393527498057</v>
      </c>
      <c r="E38" s="10">
        <v>7</v>
      </c>
      <c r="F38" s="10">
        <v>187</v>
      </c>
      <c r="G38" s="6">
        <v>-0.87</v>
      </c>
      <c r="H38" s="14">
        <f t="shared" si="0"/>
        <v>-0.25</v>
      </c>
      <c r="I38" s="25"/>
      <c r="J38" s="7"/>
      <c r="K38" s="7"/>
      <c r="L38" s="24"/>
      <c r="M38" s="66" t="s">
        <v>85</v>
      </c>
    </row>
    <row r="39" spans="1:13">
      <c r="A39" s="81" t="s">
        <v>87</v>
      </c>
      <c r="B39" s="130">
        <v>-2.2793529200534799</v>
      </c>
      <c r="C39" s="71"/>
      <c r="D39" s="12">
        <v>0.20462356367492032</v>
      </c>
      <c r="E39" s="10">
        <v>4</v>
      </c>
      <c r="F39" s="10">
        <v>221.5</v>
      </c>
      <c r="G39" s="6">
        <v>0.71</v>
      </c>
      <c r="H39" s="14">
        <f t="shared" si="0"/>
        <v>-2.1749999999999998</v>
      </c>
      <c r="I39" s="25"/>
      <c r="J39" s="7"/>
      <c r="K39" s="7"/>
      <c r="L39" s="24"/>
      <c r="M39" s="11" t="s">
        <v>88</v>
      </c>
    </row>
    <row r="40" spans="1:13">
      <c r="A40" s="81" t="s">
        <v>90</v>
      </c>
      <c r="B40" s="130">
        <v>-4.4355395760814096</v>
      </c>
      <c r="C40" s="71"/>
      <c r="D40" s="12">
        <v>0.18274602564465547</v>
      </c>
      <c r="E40" s="10">
        <v>6</v>
      </c>
      <c r="F40" s="10">
        <v>157.83333333333334</v>
      </c>
      <c r="G40" s="6">
        <v>3.51</v>
      </c>
      <c r="H40" s="14">
        <f t="shared" si="0"/>
        <v>-4.3383333333333329</v>
      </c>
      <c r="I40" s="25"/>
      <c r="J40" s="39"/>
      <c r="K40" s="39"/>
      <c r="L40" s="40"/>
      <c r="M40" s="11" t="s">
        <v>91</v>
      </c>
    </row>
    <row r="41" spans="1:13">
      <c r="A41" s="84" t="s">
        <v>93</v>
      </c>
      <c r="B41" s="130">
        <v>-2.4050575272398902</v>
      </c>
      <c r="C41" s="72"/>
      <c r="D41" s="4">
        <v>0.12610247911779729</v>
      </c>
      <c r="E41" s="2">
        <v>8</v>
      </c>
      <c r="F41" s="10">
        <v>140</v>
      </c>
      <c r="G41" s="6">
        <v>0.35</v>
      </c>
      <c r="H41" s="14">
        <f t="shared" si="0"/>
        <v>-1</v>
      </c>
      <c r="I41" s="25"/>
      <c r="J41" s="39"/>
      <c r="K41" s="39"/>
      <c r="L41" s="40"/>
      <c r="M41" s="11" t="s">
        <v>94</v>
      </c>
    </row>
    <row r="42" spans="1:13">
      <c r="A42" s="82" t="s">
        <v>96</v>
      </c>
      <c r="B42" s="130">
        <v>-3.4545438148374599</v>
      </c>
      <c r="C42" s="71"/>
      <c r="D42" s="12">
        <v>0.14493441954543959</v>
      </c>
      <c r="E42" s="10">
        <v>7</v>
      </c>
      <c r="F42" s="10">
        <v>127.93333333333334</v>
      </c>
      <c r="G42" s="6">
        <v>1.74</v>
      </c>
      <c r="H42" s="14">
        <f t="shared" si="0"/>
        <v>-2.2693333333333334</v>
      </c>
      <c r="I42" s="25"/>
      <c r="J42" s="39"/>
      <c r="K42" s="39"/>
      <c r="L42" s="40"/>
      <c r="M42" s="11" t="s">
        <v>97</v>
      </c>
    </row>
    <row r="43" spans="1:13">
      <c r="A43" s="82" t="s">
        <v>79</v>
      </c>
      <c r="B43" s="130">
        <v>-4.6041007169235799</v>
      </c>
      <c r="C43" s="71"/>
      <c r="D43" s="12">
        <v>0.14861388626870758</v>
      </c>
      <c r="E43" s="10">
        <v>7</v>
      </c>
      <c r="F43" s="10">
        <v>176</v>
      </c>
      <c r="G43" s="6">
        <v>4.4800000000000004</v>
      </c>
      <c r="H43" s="14">
        <f t="shared" si="0"/>
        <v>-5.49</v>
      </c>
      <c r="I43" s="25"/>
      <c r="J43" s="39"/>
      <c r="K43" s="39"/>
      <c r="L43" s="40"/>
      <c r="M43" s="11" t="s">
        <v>99</v>
      </c>
    </row>
    <row r="44" spans="1:13">
      <c r="A44" s="85" t="s">
        <v>101</v>
      </c>
      <c r="B44" s="130">
        <v>-3.7938897129173599</v>
      </c>
      <c r="C44" s="72"/>
      <c r="D44" s="4">
        <v>0.1280711495400205</v>
      </c>
      <c r="E44" s="2">
        <v>3</v>
      </c>
      <c r="F44" s="10">
        <v>159.69999999999999</v>
      </c>
      <c r="G44" s="6">
        <v>3.46</v>
      </c>
      <c r="H44" s="14">
        <f t="shared" si="0"/>
        <v>-4.3070000000000004</v>
      </c>
      <c r="I44" s="25"/>
      <c r="J44" s="39"/>
      <c r="K44" s="39"/>
      <c r="L44" s="40"/>
      <c r="M44" s="11" t="s">
        <v>102</v>
      </c>
    </row>
    <row r="45" spans="1:13">
      <c r="A45" s="84" t="s">
        <v>104</v>
      </c>
      <c r="B45" s="130">
        <v>-2.2101729882740999</v>
      </c>
      <c r="C45" s="72"/>
      <c r="D45" s="4">
        <v>0.21683500301481054</v>
      </c>
      <c r="E45" s="2">
        <v>8</v>
      </c>
      <c r="F45" s="10">
        <v>142</v>
      </c>
      <c r="G45" s="6">
        <v>0.6</v>
      </c>
      <c r="H45" s="14">
        <f t="shared" si="0"/>
        <v>-1.27</v>
      </c>
      <c r="I45" s="25"/>
      <c r="J45" s="39"/>
      <c r="K45" s="39"/>
      <c r="L45" s="40"/>
      <c r="M45" s="11" t="s">
        <v>105</v>
      </c>
    </row>
    <row r="46" spans="1:13">
      <c r="A46" s="82" t="s">
        <v>107</v>
      </c>
      <c r="B46" s="130">
        <v>-3.18050282496253</v>
      </c>
      <c r="C46" s="71"/>
      <c r="D46" s="12">
        <v>0.18255878892749886</v>
      </c>
      <c r="E46" s="10">
        <v>20</v>
      </c>
      <c r="F46" s="10">
        <v>267</v>
      </c>
      <c r="G46" s="6">
        <v>1.58</v>
      </c>
      <c r="H46" s="14">
        <f t="shared" si="0"/>
        <v>-3.5</v>
      </c>
      <c r="I46" s="25"/>
      <c r="J46" s="39"/>
      <c r="K46" s="39"/>
      <c r="L46" s="40"/>
      <c r="M46" s="11" t="s">
        <v>108</v>
      </c>
    </row>
    <row r="47" spans="1:13">
      <c r="A47" s="81" t="s">
        <v>110</v>
      </c>
      <c r="B47" s="130">
        <v>-3.2638099734159698</v>
      </c>
      <c r="C47" s="71"/>
      <c r="D47" s="12">
        <v>0.16704647063532602</v>
      </c>
      <c r="E47" s="10">
        <v>6</v>
      </c>
      <c r="F47" s="10">
        <v>110.00000000000001</v>
      </c>
      <c r="G47" s="6">
        <v>3.36</v>
      </c>
      <c r="H47" s="14">
        <f t="shared" si="0"/>
        <v>-3.71</v>
      </c>
      <c r="I47" s="25"/>
      <c r="J47" s="39"/>
      <c r="K47" s="39"/>
      <c r="L47" s="40"/>
      <c r="M47" s="11" t="s">
        <v>111</v>
      </c>
    </row>
    <row r="48" spans="1:13">
      <c r="A48" s="82" t="s">
        <v>82</v>
      </c>
      <c r="B48" s="130">
        <v>-3.4316739738162099</v>
      </c>
      <c r="C48" s="71"/>
      <c r="D48" s="12">
        <v>0.17164501312359953</v>
      </c>
      <c r="E48" s="10">
        <v>7</v>
      </c>
      <c r="F48" s="10">
        <v>182</v>
      </c>
      <c r="G48" s="6">
        <v>2.67</v>
      </c>
      <c r="H48" s="14">
        <f t="shared" si="0"/>
        <v>-3.74</v>
      </c>
      <c r="I48" s="25"/>
      <c r="J48" s="39"/>
      <c r="K48" s="39"/>
      <c r="L48" s="40"/>
      <c r="M48" s="11" t="s">
        <v>113</v>
      </c>
    </row>
    <row r="49" spans="1:13">
      <c r="A49" s="84" t="s">
        <v>115</v>
      </c>
      <c r="B49" s="130">
        <v>-4.0372949134174796</v>
      </c>
      <c r="C49" s="72"/>
      <c r="D49" s="4">
        <v>0.12558353028546052</v>
      </c>
      <c r="E49" s="2">
        <v>4</v>
      </c>
      <c r="F49" s="10">
        <v>222.00000000000003</v>
      </c>
      <c r="G49" s="6">
        <v>2.56</v>
      </c>
      <c r="H49" s="14">
        <f t="shared" si="0"/>
        <v>-4.03</v>
      </c>
      <c r="I49" s="25"/>
      <c r="J49" s="39"/>
      <c r="K49" s="39"/>
      <c r="L49" s="40"/>
      <c r="M49" s="11" t="s">
        <v>116</v>
      </c>
    </row>
    <row r="50" spans="1:13">
      <c r="A50" s="82" t="s">
        <v>118</v>
      </c>
      <c r="B50" s="130">
        <v>-2.7714027408216002</v>
      </c>
      <c r="C50" s="71"/>
      <c r="D50" s="12">
        <v>0.1568133990664792</v>
      </c>
      <c r="E50" s="10">
        <v>6</v>
      </c>
      <c r="F50" s="10">
        <v>151</v>
      </c>
      <c r="G50" s="6">
        <v>3.27</v>
      </c>
      <c r="H50" s="14">
        <f t="shared" si="0"/>
        <v>-4.03</v>
      </c>
      <c r="I50" s="25"/>
      <c r="J50" s="39"/>
      <c r="K50" s="39"/>
      <c r="L50" s="40"/>
      <c r="M50" s="11" t="s">
        <v>119</v>
      </c>
    </row>
    <row r="51" spans="1:13">
      <c r="A51" s="85" t="s">
        <v>84</v>
      </c>
      <c r="B51" s="130">
        <v>-3.6891456636870599</v>
      </c>
      <c r="C51" s="72"/>
      <c r="D51" s="4">
        <v>0.12789394574374285</v>
      </c>
      <c r="E51" s="2">
        <v>5</v>
      </c>
      <c r="F51" s="10">
        <v>330</v>
      </c>
      <c r="G51" s="6">
        <v>2.87</v>
      </c>
      <c r="H51" s="14">
        <f t="shared" si="0"/>
        <v>-5.42</v>
      </c>
      <c r="I51" s="25"/>
      <c r="J51" s="39"/>
      <c r="K51" s="39"/>
      <c r="L51" s="40"/>
      <c r="M51" s="11" t="s">
        <v>120</v>
      </c>
    </row>
    <row r="52" spans="1:13">
      <c r="A52" s="82" t="s">
        <v>121</v>
      </c>
      <c r="B52" s="130">
        <v>-4.2776223357652299</v>
      </c>
      <c r="C52" s="71"/>
      <c r="D52" s="12">
        <v>0.18012800124370357</v>
      </c>
      <c r="E52" s="10">
        <v>3</v>
      </c>
      <c r="F52" s="10">
        <v>100</v>
      </c>
      <c r="G52" s="6">
        <v>3.53</v>
      </c>
      <c r="H52" s="14">
        <f t="shared" si="0"/>
        <v>-3.78</v>
      </c>
      <c r="I52" s="23"/>
      <c r="J52" s="7"/>
      <c r="K52" s="7"/>
      <c r="L52" s="24"/>
      <c r="M52" s="11" t="s">
        <v>122</v>
      </c>
    </row>
    <row r="53" spans="1:13">
      <c r="A53" s="81" t="s">
        <v>123</v>
      </c>
      <c r="B53" s="130">
        <v>-3.8127953778349699</v>
      </c>
      <c r="C53" s="71"/>
      <c r="D53" s="12">
        <v>0.18062104750721683</v>
      </c>
      <c r="E53" s="10">
        <v>16</v>
      </c>
      <c r="F53" s="10">
        <v>262.5</v>
      </c>
      <c r="G53" s="6">
        <v>1.9</v>
      </c>
      <c r="H53" s="14">
        <f t="shared" si="0"/>
        <v>-3.7749999999999999</v>
      </c>
      <c r="I53" s="23"/>
      <c r="J53" s="7"/>
      <c r="K53" s="7"/>
      <c r="L53" s="24"/>
      <c r="M53" s="11" t="s">
        <v>124</v>
      </c>
    </row>
    <row r="54" spans="1:13">
      <c r="A54" s="84" t="s">
        <v>125</v>
      </c>
      <c r="B54" s="130">
        <v>-3.3235090329324102</v>
      </c>
      <c r="C54" s="72"/>
      <c r="D54" s="4">
        <v>0.22156244268660033</v>
      </c>
      <c r="E54" s="2">
        <v>4</v>
      </c>
      <c r="F54" s="10">
        <v>328.85</v>
      </c>
      <c r="G54" s="6">
        <v>1.87</v>
      </c>
      <c r="H54" s="14">
        <f t="shared" si="0"/>
        <v>-4.4085000000000001</v>
      </c>
      <c r="I54" s="23"/>
      <c r="J54" s="7"/>
      <c r="K54" s="7"/>
      <c r="L54" s="24"/>
      <c r="M54" s="11" t="s">
        <v>126</v>
      </c>
    </row>
    <row r="55" spans="1:13">
      <c r="A55" s="82" t="s">
        <v>127</v>
      </c>
      <c r="B55" s="130">
        <v>-5.3474093613707696</v>
      </c>
      <c r="C55" s="71"/>
      <c r="D55" s="12">
        <v>0.18450811780713378</v>
      </c>
      <c r="E55" s="10">
        <v>33</v>
      </c>
      <c r="F55" s="10">
        <v>167.5</v>
      </c>
      <c r="G55" s="6">
        <v>4.3600000000000003</v>
      </c>
      <c r="H55" s="14">
        <f t="shared" si="0"/>
        <v>-5.2850000000000001</v>
      </c>
      <c r="I55" s="23"/>
      <c r="J55" s="7"/>
      <c r="K55" s="7"/>
      <c r="L55" s="24"/>
      <c r="M55" s="11" t="s">
        <v>128</v>
      </c>
    </row>
    <row r="56" spans="1:13">
      <c r="A56" s="82" t="s">
        <v>86</v>
      </c>
      <c r="B56" s="130">
        <v>-4.1540964411449703</v>
      </c>
      <c r="C56" s="71"/>
      <c r="D56" s="12">
        <v>0.15609203233531485</v>
      </c>
      <c r="E56" s="10">
        <v>3</v>
      </c>
      <c r="F56" s="10">
        <v>223</v>
      </c>
      <c r="G56" s="6">
        <v>2.99</v>
      </c>
      <c r="H56" s="14">
        <f t="shared" si="0"/>
        <v>-4.4700000000000006</v>
      </c>
      <c r="I56" s="23"/>
      <c r="J56" s="7"/>
      <c r="K56" s="7"/>
      <c r="L56" s="24"/>
      <c r="M56" s="11" t="s">
        <v>129</v>
      </c>
    </row>
    <row r="57" spans="1:13">
      <c r="A57" s="82" t="s">
        <v>89</v>
      </c>
      <c r="B57" s="130">
        <v>-3.4310095371399498</v>
      </c>
      <c r="C57" s="71"/>
      <c r="D57" s="12">
        <v>0.20872343532408041</v>
      </c>
      <c r="E57" s="10">
        <v>3</v>
      </c>
      <c r="F57" s="10">
        <v>210.5</v>
      </c>
      <c r="G57" s="6">
        <v>2.72</v>
      </c>
      <c r="H57" s="14">
        <f t="shared" si="0"/>
        <v>-4.0750000000000002</v>
      </c>
      <c r="I57" s="26"/>
      <c r="J57" s="27"/>
      <c r="K57" s="27"/>
      <c r="L57" s="28"/>
      <c r="M57" s="11" t="s">
        <v>130</v>
      </c>
    </row>
    <row r="58" spans="1:13">
      <c r="A58" s="84" t="s">
        <v>131</v>
      </c>
      <c r="B58" s="130">
        <v>-3.2392721630937999</v>
      </c>
      <c r="C58" s="72"/>
      <c r="D58" s="4">
        <v>0.1297319013416561</v>
      </c>
      <c r="E58" s="2">
        <v>3</v>
      </c>
      <c r="F58" s="10">
        <v>209.75</v>
      </c>
      <c r="G58" s="6">
        <v>3.37</v>
      </c>
      <c r="H58" s="14">
        <f t="shared" si="0"/>
        <v>-4.7175000000000002</v>
      </c>
      <c r="J58" s="14"/>
      <c r="K58" s="14"/>
      <c r="L58" s="14"/>
      <c r="M58" s="11" t="s">
        <v>132</v>
      </c>
    </row>
    <row r="59" spans="1:13">
      <c r="A59" s="81" t="s">
        <v>92</v>
      </c>
      <c r="B59" s="130">
        <v>-3.7408903782310601</v>
      </c>
      <c r="C59" s="71"/>
      <c r="D59" s="12">
        <v>0.14124198841117766</v>
      </c>
      <c r="E59" s="10">
        <v>3</v>
      </c>
      <c r="F59" s="10">
        <v>53.5</v>
      </c>
      <c r="G59" s="6">
        <v>3.43</v>
      </c>
      <c r="H59" s="14">
        <f t="shared" si="0"/>
        <v>-3.2150000000000003</v>
      </c>
      <c r="I59" s="70" t="s">
        <v>133</v>
      </c>
      <c r="J59" s="32"/>
      <c r="K59" s="34">
        <v>333</v>
      </c>
      <c r="L59" s="14"/>
      <c r="M59" s="11" t="s">
        <v>134</v>
      </c>
    </row>
    <row r="60" spans="1:13">
      <c r="A60" s="81" t="s">
        <v>135</v>
      </c>
      <c r="B60" s="130">
        <v>-2.09009236330626</v>
      </c>
      <c r="C60" s="71"/>
      <c r="D60" s="12">
        <v>0.17069281866408892</v>
      </c>
      <c r="E60" s="10">
        <v>6</v>
      </c>
      <c r="F60" s="10">
        <v>270</v>
      </c>
      <c r="G60" s="6">
        <v>0.05</v>
      </c>
      <c r="H60" s="14">
        <f t="shared" si="0"/>
        <v>-2</v>
      </c>
      <c r="I60" s="70" t="s">
        <v>136</v>
      </c>
      <c r="J60" s="32" t="s">
        <v>668</v>
      </c>
      <c r="K60" s="34"/>
      <c r="L60" s="14"/>
      <c r="M60" s="11" t="s">
        <v>137</v>
      </c>
    </row>
    <row r="61" spans="1:13">
      <c r="A61" s="82" t="s">
        <v>138</v>
      </c>
      <c r="B61" s="130">
        <v>-3.2707976291144898</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s="130">
        <v>-4.6542308008946502</v>
      </c>
      <c r="C62" s="71"/>
      <c r="D62" s="12">
        <v>0.18021422622763517</v>
      </c>
      <c r="E62" s="10">
        <v>5</v>
      </c>
      <c r="F62" s="10">
        <v>214.5</v>
      </c>
      <c r="G62" s="6">
        <v>3.61</v>
      </c>
      <c r="H62" s="14">
        <f t="shared" si="0"/>
        <v>-5.0049999999999999</v>
      </c>
      <c r="I62" s="14"/>
      <c r="J62" s="14"/>
      <c r="K62" s="14"/>
      <c r="L62" s="14"/>
      <c r="M62" s="11" t="s">
        <v>142</v>
      </c>
    </row>
    <row r="63" spans="1:13">
      <c r="A63" s="82" t="s">
        <v>143</v>
      </c>
      <c r="B63" s="130">
        <v>-4.5918707783847399</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s="130">
        <v>-2.7570551053917698</v>
      </c>
      <c r="C64" s="71"/>
      <c r="D64" s="12">
        <v>0.17</v>
      </c>
      <c r="E64" s="10">
        <v>3</v>
      </c>
      <c r="F64" s="10">
        <v>189</v>
      </c>
      <c r="G64" s="6">
        <v>1.34</v>
      </c>
      <c r="H64" s="14">
        <f t="shared" si="0"/>
        <v>-2.4800000000000004</v>
      </c>
      <c r="I64" s="20" t="s">
        <v>688</v>
      </c>
      <c r="J64" s="21"/>
      <c r="K64" s="21"/>
      <c r="L64" s="22"/>
      <c r="M64" s="11" t="s">
        <v>148</v>
      </c>
    </row>
    <row r="65" spans="1:13">
      <c r="A65" s="82" t="s">
        <v>149</v>
      </c>
      <c r="B65" s="130">
        <v>-2.3098976431940401</v>
      </c>
      <c r="C65" s="71"/>
      <c r="D65" s="12">
        <v>0.19794493160510693</v>
      </c>
      <c r="E65" s="10">
        <v>4</v>
      </c>
      <c r="F65" s="10">
        <v>243.5</v>
      </c>
      <c r="G65" s="6">
        <v>1.34</v>
      </c>
      <c r="H65" s="14">
        <f t="shared" si="0"/>
        <v>-3.0250000000000004</v>
      </c>
      <c r="I65" s="23"/>
      <c r="J65" s="7"/>
      <c r="K65" s="7"/>
      <c r="L65" s="24"/>
      <c r="M65" s="11" t="s">
        <v>151</v>
      </c>
    </row>
    <row r="66" spans="1:13">
      <c r="A66" s="81" t="s">
        <v>95</v>
      </c>
      <c r="B66" s="130">
        <v>-2.05292000160083</v>
      </c>
      <c r="C66" s="71"/>
      <c r="D66" s="12">
        <v>0.21056099074293383</v>
      </c>
      <c r="E66" s="10">
        <v>3</v>
      </c>
      <c r="F66" s="10">
        <v>36.5</v>
      </c>
      <c r="G66" s="6">
        <v>2.74</v>
      </c>
      <c r="H66" s="14">
        <f t="shared" si="0"/>
        <v>-2.3550000000000004</v>
      </c>
      <c r="I66" s="23"/>
      <c r="J66" s="7"/>
      <c r="K66" s="7"/>
      <c r="L66" s="24"/>
      <c r="M66" s="11" t="s">
        <v>152</v>
      </c>
    </row>
    <row r="67" spans="1:13">
      <c r="A67" s="83" t="s">
        <v>153</v>
      </c>
      <c r="B67" s="130">
        <v>-3.8273953288793399</v>
      </c>
      <c r="C67" s="71"/>
      <c r="D67" s="12">
        <v>0.21092434073951916</v>
      </c>
      <c r="E67" s="10">
        <v>10</v>
      </c>
      <c r="F67" s="10">
        <v>186</v>
      </c>
      <c r="G67" s="6">
        <v>3.4</v>
      </c>
      <c r="H67" s="14">
        <f t="shared" si="0"/>
        <v>-4.51</v>
      </c>
      <c r="I67" s="23"/>
      <c r="J67" s="7"/>
      <c r="K67" s="7"/>
      <c r="L67" s="24"/>
      <c r="M67" s="11" t="s">
        <v>154</v>
      </c>
    </row>
    <row r="68" spans="1:13">
      <c r="A68" s="81" t="s">
        <v>98</v>
      </c>
      <c r="B68" s="130">
        <v>-3.3637967789954502</v>
      </c>
      <c r="C68" s="71"/>
      <c r="D68" s="12">
        <v>0.18695478693957188</v>
      </c>
      <c r="E68" s="10">
        <v>3</v>
      </c>
      <c r="F68" s="10">
        <v>252.99999999999997</v>
      </c>
      <c r="G68" s="6">
        <v>2.35</v>
      </c>
      <c r="H68" s="14">
        <f t="shared" si="0"/>
        <v>-4.13</v>
      </c>
      <c r="I68" s="23"/>
      <c r="J68" s="7"/>
      <c r="K68" s="7"/>
      <c r="L68" s="24"/>
      <c r="M68" s="11" t="s">
        <v>155</v>
      </c>
    </row>
    <row r="69" spans="1:13">
      <c r="A69" s="83" t="s">
        <v>156</v>
      </c>
      <c r="B69" s="130">
        <v>-4.1261527732670196</v>
      </c>
      <c r="C69" s="71"/>
      <c r="D69" s="12">
        <v>0.20491085989689112</v>
      </c>
      <c r="E69" s="10">
        <v>23</v>
      </c>
      <c r="F69" s="10">
        <v>111.00000000000001</v>
      </c>
      <c r="G69" s="6">
        <v>3.68</v>
      </c>
      <c r="H69" s="14">
        <f t="shared" si="0"/>
        <v>-4.04</v>
      </c>
      <c r="I69" s="23"/>
      <c r="J69" s="7"/>
      <c r="K69" s="7"/>
      <c r="L69" s="24"/>
      <c r="M69" s="11" t="s">
        <v>157</v>
      </c>
    </row>
    <row r="70" spans="1:13">
      <c r="A70" s="81" t="s">
        <v>158</v>
      </c>
      <c r="B70" s="130">
        <v>-3.1771688401075702</v>
      </c>
      <c r="C70" s="71"/>
      <c r="D70" s="12">
        <v>0.15545016183846921</v>
      </c>
      <c r="E70" s="10">
        <v>6</v>
      </c>
      <c r="F70" s="10">
        <v>250</v>
      </c>
      <c r="G70" s="6">
        <v>-0.04</v>
      </c>
      <c r="H70" s="14">
        <f t="shared" si="0"/>
        <v>-1.71</v>
      </c>
      <c r="I70" s="23"/>
      <c r="J70" s="7"/>
      <c r="K70" s="7"/>
      <c r="L70" s="24"/>
      <c r="M70" s="11" t="s">
        <v>159</v>
      </c>
    </row>
    <row r="71" spans="1:13">
      <c r="A71" s="82" t="s">
        <v>160</v>
      </c>
      <c r="B71" s="130">
        <v>-2.55968489809504</v>
      </c>
      <c r="C71" s="71"/>
      <c r="D71" s="12">
        <v>0.13261436390895148</v>
      </c>
      <c r="E71" s="10">
        <v>3</v>
      </c>
      <c r="F71" s="10">
        <v>250</v>
      </c>
      <c r="G71" s="6">
        <v>-1.97</v>
      </c>
      <c r="H71" s="14">
        <f t="shared" si="0"/>
        <v>0.21999999999999975</v>
      </c>
      <c r="I71" s="23"/>
      <c r="J71" s="7"/>
      <c r="K71" s="7"/>
      <c r="L71" s="24"/>
      <c r="M71" s="11" t="s">
        <v>161</v>
      </c>
    </row>
    <row r="72" spans="1:13">
      <c r="A72" s="82" t="s">
        <v>162</v>
      </c>
      <c r="B72" s="130">
        <v>-3.7420880167593999</v>
      </c>
      <c r="C72" s="71"/>
      <c r="D72" s="12">
        <v>0.21159815676624968</v>
      </c>
      <c r="E72" s="10">
        <v>9</v>
      </c>
      <c r="F72" s="10">
        <v>208.5</v>
      </c>
      <c r="G72" s="6">
        <v>2.08</v>
      </c>
      <c r="H72" s="14">
        <f t="shared" si="0"/>
        <v>-3.415</v>
      </c>
      <c r="I72" s="23"/>
      <c r="J72" s="7"/>
      <c r="K72" s="7"/>
      <c r="L72" s="24"/>
      <c r="M72" s="11" t="s">
        <v>163</v>
      </c>
    </row>
    <row r="73" spans="1:13">
      <c r="A73" s="82" t="s">
        <v>164</v>
      </c>
      <c r="B73" s="130">
        <v>-3.2188433269493899</v>
      </c>
      <c r="C73" s="71"/>
      <c r="D73" s="12">
        <v>0.1900151243705871</v>
      </c>
      <c r="E73" s="10">
        <v>15</v>
      </c>
      <c r="F73" s="10">
        <v>220.00000000000003</v>
      </c>
      <c r="G73" s="6">
        <v>2.69</v>
      </c>
      <c r="H73" s="14">
        <f t="shared" si="0"/>
        <v>-4.1400000000000006</v>
      </c>
      <c r="I73" s="23"/>
      <c r="J73" s="7"/>
      <c r="K73" s="7"/>
      <c r="L73" s="24"/>
      <c r="M73" s="11" t="s">
        <v>165</v>
      </c>
    </row>
    <row r="74" spans="1:13">
      <c r="A74" s="82" t="s">
        <v>166</v>
      </c>
      <c r="B74" s="130">
        <v>-4.6550859744913904</v>
      </c>
      <c r="C74" s="71"/>
      <c r="D74" s="12">
        <v>0.16978183023026608</v>
      </c>
      <c r="E74" s="10">
        <v>10</v>
      </c>
      <c r="F74" s="10">
        <v>151</v>
      </c>
      <c r="G74" s="6">
        <v>4.43</v>
      </c>
      <c r="H74" s="14">
        <f t="shared" si="0"/>
        <v>-5.1899999999999995</v>
      </c>
      <c r="I74" s="23"/>
      <c r="J74" s="7"/>
      <c r="K74" s="7"/>
      <c r="L74" s="24"/>
      <c r="M74" s="11" t="s">
        <v>167</v>
      </c>
    </row>
    <row r="75" spans="1:13">
      <c r="A75" s="83" t="s">
        <v>100</v>
      </c>
      <c r="B75" s="130">
        <v>-4.9912355450501504</v>
      </c>
      <c r="C75" s="71"/>
      <c r="D75" s="12">
        <v>0.19416214604145643</v>
      </c>
      <c r="E75" s="10">
        <v>7</v>
      </c>
      <c r="F75" s="10">
        <v>154.5</v>
      </c>
      <c r="G75" s="6">
        <v>4.22</v>
      </c>
      <c r="H75" s="14">
        <f t="shared" si="0"/>
        <v>-5.0149999999999997</v>
      </c>
      <c r="I75" s="23"/>
      <c r="J75" s="7"/>
      <c r="K75" s="7"/>
      <c r="L75" s="24"/>
      <c r="M75" s="11" t="s">
        <v>168</v>
      </c>
    </row>
    <row r="76" spans="1:13">
      <c r="A76" s="82" t="s">
        <v>169</v>
      </c>
      <c r="B76" s="130">
        <v>-3.0835069291752202</v>
      </c>
      <c r="C76" s="71"/>
      <c r="D76" s="12">
        <v>0.16048013551961601</v>
      </c>
      <c r="E76" s="10">
        <v>5</v>
      </c>
      <c r="F76" s="10">
        <v>167.75</v>
      </c>
      <c r="G76" s="6">
        <v>2.87</v>
      </c>
      <c r="H76" s="14">
        <f t="shared" si="0"/>
        <v>-3.7975000000000003</v>
      </c>
      <c r="I76" s="23"/>
      <c r="J76" s="7"/>
      <c r="K76" s="7"/>
      <c r="L76" s="24"/>
      <c r="M76" s="11" t="s">
        <v>170</v>
      </c>
    </row>
    <row r="77" spans="1:13">
      <c r="A77" s="84" t="s">
        <v>171</v>
      </c>
      <c r="B77" s="130">
        <v>-4.5064883918768599</v>
      </c>
      <c r="C77" s="72"/>
      <c r="D77" s="4">
        <v>0.22239504833634874</v>
      </c>
      <c r="E77" s="2">
        <v>21</v>
      </c>
      <c r="F77" s="10">
        <v>159</v>
      </c>
      <c r="G77" s="6">
        <v>3.93</v>
      </c>
      <c r="H77" s="14">
        <f t="shared" si="0"/>
        <v>-4.7700000000000005</v>
      </c>
      <c r="I77" s="23"/>
      <c r="J77" s="7"/>
      <c r="K77" s="7"/>
      <c r="L77" s="24"/>
      <c r="M77" s="11" t="s">
        <v>172</v>
      </c>
    </row>
    <row r="78" spans="1:13">
      <c r="A78" s="82" t="s">
        <v>173</v>
      </c>
      <c r="B78" s="130">
        <v>-3.7367738165455</v>
      </c>
      <c r="C78" s="71"/>
      <c r="D78" s="12">
        <v>0.21209434799218393</v>
      </c>
      <c r="E78" s="10">
        <v>5</v>
      </c>
      <c r="F78" s="10">
        <v>213.49999999999997</v>
      </c>
      <c r="G78" s="6">
        <v>3.04</v>
      </c>
      <c r="H78" s="14">
        <f t="shared" si="0"/>
        <v>-4.4249999999999998</v>
      </c>
      <c r="I78" s="23"/>
      <c r="J78" s="7"/>
      <c r="K78" s="7"/>
      <c r="L78" s="24"/>
      <c r="M78" s="11" t="s">
        <v>174</v>
      </c>
    </row>
    <row r="79" spans="1:13">
      <c r="A79" s="82" t="s">
        <v>175</v>
      </c>
      <c r="B79" s="130">
        <v>-4.4511135879590196</v>
      </c>
      <c r="C79" s="71"/>
      <c r="D79" s="12">
        <v>0.1407224156406931</v>
      </c>
      <c r="E79" s="10">
        <v>11</v>
      </c>
      <c r="F79" s="10">
        <v>146</v>
      </c>
      <c r="G79" s="6">
        <v>4.21</v>
      </c>
      <c r="H79" s="14">
        <f t="shared" si="0"/>
        <v>-4.92</v>
      </c>
      <c r="I79" s="23"/>
      <c r="J79" s="7"/>
      <c r="K79" s="7"/>
      <c r="L79" s="24"/>
      <c r="M79" s="11" t="s">
        <v>176</v>
      </c>
    </row>
    <row r="80" spans="1:13">
      <c r="A80" s="82" t="s">
        <v>177</v>
      </c>
      <c r="B80" s="130">
        <v>-4.8695229208048003</v>
      </c>
      <c r="C80" s="71"/>
      <c r="D80" s="12">
        <v>0.21748916450754371</v>
      </c>
      <c r="E80" s="10">
        <v>5</v>
      </c>
      <c r="F80" s="10">
        <v>92.333333333333329</v>
      </c>
      <c r="G80" s="6">
        <v>4.21</v>
      </c>
      <c r="H80" s="14">
        <f t="shared" si="0"/>
        <v>-4.3833333333333329</v>
      </c>
      <c r="I80" s="23"/>
      <c r="J80" s="7"/>
      <c r="K80" s="7"/>
      <c r="L80" s="24"/>
      <c r="M80" s="11" t="s">
        <v>178</v>
      </c>
    </row>
    <row r="81" spans="1:13">
      <c r="A81" s="81" t="s">
        <v>179</v>
      </c>
      <c r="B81" s="130">
        <v>-3.87150190191957</v>
      </c>
      <c r="C81" s="71"/>
      <c r="D81" s="12">
        <v>0.20531013145176411</v>
      </c>
      <c r="E81" s="10">
        <v>8</v>
      </c>
      <c r="F81" s="10">
        <v>256</v>
      </c>
      <c r="G81" s="6">
        <v>2.71</v>
      </c>
      <c r="H81" s="14">
        <f t="shared" si="0"/>
        <v>-4.5199999999999996</v>
      </c>
      <c r="I81" s="23"/>
      <c r="J81" s="7"/>
      <c r="K81" s="7"/>
      <c r="L81" s="24"/>
      <c r="M81" s="11" t="s">
        <v>180</v>
      </c>
    </row>
    <row r="82" spans="1:13">
      <c r="A82" s="81" t="s">
        <v>181</v>
      </c>
      <c r="B82" s="130">
        <v>-3.4869637222219501</v>
      </c>
      <c r="C82" s="71"/>
      <c r="D82" s="12">
        <v>0.21176785142223761</v>
      </c>
      <c r="E82" s="10">
        <v>3</v>
      </c>
      <c r="F82" s="10">
        <v>80</v>
      </c>
      <c r="G82" s="6">
        <v>3.37</v>
      </c>
      <c r="H82" s="14">
        <f t="shared" si="0"/>
        <v>-3.42</v>
      </c>
      <c r="I82" s="23"/>
      <c r="J82" s="7"/>
      <c r="K82" s="7"/>
      <c r="L82" s="24"/>
      <c r="M82" s="11" t="s">
        <v>182</v>
      </c>
    </row>
    <row r="83" spans="1:13">
      <c r="A83" s="81" t="s">
        <v>183</v>
      </c>
      <c r="B83" s="130">
        <v>-3.5785065495356498</v>
      </c>
      <c r="C83" s="71"/>
      <c r="D83" s="12">
        <v>0.16217657762412213</v>
      </c>
      <c r="E83" s="10">
        <v>17</v>
      </c>
      <c r="F83" s="10">
        <v>153</v>
      </c>
      <c r="G83" s="6">
        <v>3.04</v>
      </c>
      <c r="H83" s="14">
        <f t="shared" si="0"/>
        <v>-3.8200000000000003</v>
      </c>
      <c r="I83" s="23"/>
      <c r="J83" s="7"/>
      <c r="K83" s="7"/>
      <c r="L83" s="24"/>
      <c r="M83" s="11" t="s">
        <v>184</v>
      </c>
    </row>
    <row r="84" spans="1:13">
      <c r="A84" s="82" t="s">
        <v>185</v>
      </c>
      <c r="B84" s="130">
        <v>-5.9723326319257799</v>
      </c>
      <c r="C84" s="71"/>
      <c r="D84" s="12">
        <v>0.20448827496623867</v>
      </c>
      <c r="E84" s="10">
        <v>3</v>
      </c>
      <c r="F84" s="10">
        <v>349.84</v>
      </c>
      <c r="G84" s="6">
        <v>4.75</v>
      </c>
      <c r="H84" s="14">
        <f t="shared" si="0"/>
        <v>-7.4984000000000002</v>
      </c>
      <c r="I84" s="23"/>
      <c r="J84" s="7"/>
      <c r="K84" s="7"/>
      <c r="L84" s="24"/>
      <c r="M84" s="11" t="s">
        <v>186</v>
      </c>
    </row>
    <row r="85" spans="1:13">
      <c r="A85" s="82" t="s">
        <v>187</v>
      </c>
      <c r="B85" s="130">
        <v>-3.32961875787448</v>
      </c>
      <c r="C85" s="71"/>
      <c r="D85" s="12">
        <v>0.14358294446577732</v>
      </c>
      <c r="E85" s="10">
        <v>6</v>
      </c>
      <c r="F85" s="10">
        <v>248</v>
      </c>
      <c r="G85" s="6">
        <v>2.65</v>
      </c>
      <c r="H85" s="14">
        <f t="shared" si="0"/>
        <v>-4.38</v>
      </c>
      <c r="I85" s="23"/>
      <c r="J85" s="7"/>
      <c r="K85" s="7"/>
      <c r="L85" s="24"/>
      <c r="M85" s="11" t="s">
        <v>188</v>
      </c>
    </row>
    <row r="86" spans="1:13">
      <c r="A86" s="82" t="s">
        <v>189</v>
      </c>
      <c r="B86" s="130">
        <v>-3.7741152177658202</v>
      </c>
      <c r="C86" s="71"/>
      <c r="D86" s="12">
        <v>0.15384096988991314</v>
      </c>
      <c r="E86" s="10">
        <v>11</v>
      </c>
      <c r="F86" s="10">
        <v>173</v>
      </c>
      <c r="G86" s="6">
        <v>2.1800000000000002</v>
      </c>
      <c r="H86" s="14">
        <f t="shared" si="0"/>
        <v>-3.16</v>
      </c>
      <c r="I86" s="23"/>
      <c r="J86" s="7"/>
      <c r="K86" s="7"/>
      <c r="L86" s="24"/>
      <c r="M86" s="11" t="s">
        <v>190</v>
      </c>
    </row>
    <row r="87" spans="1:13">
      <c r="A87" s="82" t="s">
        <v>191</v>
      </c>
      <c r="B87" s="130">
        <v>-3.8374401126568101</v>
      </c>
      <c r="C87" s="71"/>
      <c r="D87" s="12">
        <v>0.14176528631434945</v>
      </c>
      <c r="E87" s="10">
        <v>5</v>
      </c>
      <c r="F87" s="10">
        <v>143.75</v>
      </c>
      <c r="G87" s="6">
        <v>2.76</v>
      </c>
      <c r="H87" s="14">
        <f t="shared" ref="H87:H122" si="1">0.5-G87-0.01*(F87-25)</f>
        <v>-3.4474999999999998</v>
      </c>
      <c r="I87" s="23"/>
      <c r="J87" s="7"/>
      <c r="K87" s="7"/>
      <c r="L87" s="24"/>
      <c r="M87" s="11" t="s">
        <v>192</v>
      </c>
    </row>
    <row r="88" spans="1:13">
      <c r="A88" s="82" t="s">
        <v>193</v>
      </c>
      <c r="B88" s="130">
        <v>-2.6691529526736502</v>
      </c>
      <c r="C88" s="71"/>
      <c r="D88" s="12">
        <v>0.16213928191469343</v>
      </c>
      <c r="E88" s="10">
        <v>19</v>
      </c>
      <c r="F88" s="10">
        <v>220.5</v>
      </c>
      <c r="G88" s="6">
        <v>1.27</v>
      </c>
      <c r="H88" s="14">
        <f t="shared" si="1"/>
        <v>-2.7250000000000001</v>
      </c>
      <c r="I88" s="23"/>
      <c r="J88" s="7"/>
      <c r="K88" s="7"/>
      <c r="L88" s="24"/>
      <c r="M88" s="11" t="s">
        <v>194</v>
      </c>
    </row>
    <row r="89" spans="1:13">
      <c r="A89" s="82" t="s">
        <v>195</v>
      </c>
      <c r="B89" s="130">
        <v>-4.61414453669257</v>
      </c>
      <c r="C89" s="71"/>
      <c r="D89" s="12">
        <v>0.16127920198135692</v>
      </c>
      <c r="E89" s="10">
        <v>5</v>
      </c>
      <c r="F89" s="10">
        <v>214</v>
      </c>
      <c r="G89" s="6">
        <v>3.83</v>
      </c>
      <c r="H89" s="14">
        <f t="shared" si="1"/>
        <v>-5.2200000000000006</v>
      </c>
      <c r="I89" s="23"/>
      <c r="J89" s="7"/>
      <c r="K89" s="7"/>
      <c r="L89" s="24"/>
      <c r="M89" s="11" t="s">
        <v>196</v>
      </c>
    </row>
    <row r="90" spans="1:13">
      <c r="A90" s="83" t="s">
        <v>197</v>
      </c>
      <c r="B90" s="130">
        <v>-3.3921199682827998</v>
      </c>
      <c r="C90" s="71"/>
      <c r="D90" s="12">
        <v>0.13869006117838048</v>
      </c>
      <c r="E90" s="10">
        <v>3</v>
      </c>
      <c r="F90" s="10">
        <v>176</v>
      </c>
      <c r="G90" s="6">
        <v>2.88</v>
      </c>
      <c r="H90" s="14">
        <f t="shared" si="1"/>
        <v>-3.8899999999999997</v>
      </c>
      <c r="I90" s="23"/>
      <c r="J90" s="7"/>
      <c r="K90" s="7"/>
      <c r="L90" s="24"/>
      <c r="M90" s="11" t="s">
        <v>198</v>
      </c>
    </row>
    <row r="91" spans="1:13">
      <c r="A91" s="85" t="s">
        <v>199</v>
      </c>
      <c r="B91" s="130">
        <v>-2.7304051696610001</v>
      </c>
      <c r="C91" s="72"/>
      <c r="D91" s="4">
        <v>0.1259834086188602</v>
      </c>
      <c r="E91" s="2">
        <v>14</v>
      </c>
      <c r="F91" s="10">
        <v>253.5</v>
      </c>
      <c r="G91" s="6">
        <v>1.54</v>
      </c>
      <c r="H91" s="14">
        <f t="shared" si="1"/>
        <v>-3.3250000000000002</v>
      </c>
      <c r="I91" s="23"/>
      <c r="J91" s="7"/>
      <c r="K91" s="7"/>
      <c r="L91" s="24"/>
      <c r="M91" s="11" t="s">
        <v>200</v>
      </c>
    </row>
    <row r="92" spans="1:13">
      <c r="A92" s="82" t="s">
        <v>201</v>
      </c>
      <c r="B92" s="130">
        <v>-3.5377229537186099</v>
      </c>
      <c r="C92" s="71"/>
      <c r="D92" s="12">
        <v>0.16504944177542516</v>
      </c>
      <c r="E92" s="10">
        <v>5</v>
      </c>
      <c r="F92" s="10">
        <v>205.50000000000003</v>
      </c>
      <c r="G92" s="6">
        <v>2.4500000000000002</v>
      </c>
      <c r="H92" s="14">
        <f t="shared" si="1"/>
        <v>-3.7550000000000008</v>
      </c>
      <c r="I92" s="23"/>
      <c r="J92" s="7"/>
      <c r="K92" s="7"/>
      <c r="L92" s="24"/>
      <c r="M92" s="11" t="s">
        <v>202</v>
      </c>
    </row>
    <row r="93" spans="1:13">
      <c r="A93" s="83" t="s">
        <v>203</v>
      </c>
      <c r="B93" s="130">
        <v>-4.2670428676509404</v>
      </c>
      <c r="C93" s="71"/>
      <c r="D93" s="12">
        <v>0.19426266518058349</v>
      </c>
      <c r="E93" s="10">
        <v>3</v>
      </c>
      <c r="F93" s="10">
        <v>96</v>
      </c>
      <c r="G93" s="6">
        <v>3.49</v>
      </c>
      <c r="H93" s="14">
        <f t="shared" si="1"/>
        <v>-3.7</v>
      </c>
      <c r="I93" s="23"/>
      <c r="J93" s="7"/>
      <c r="K93" s="7"/>
      <c r="L93" s="24"/>
      <c r="M93" s="11" t="s">
        <v>204</v>
      </c>
    </row>
    <row r="94" spans="1:13">
      <c r="A94" s="82" t="s">
        <v>205</v>
      </c>
      <c r="B94" s="130">
        <v>-4.2131879557033498</v>
      </c>
      <c r="C94" s="71"/>
      <c r="D94" s="12">
        <v>0.18894337149737056</v>
      </c>
      <c r="E94" s="10">
        <v>12</v>
      </c>
      <c r="F94" s="10">
        <v>147.25</v>
      </c>
      <c r="G94" s="6">
        <v>3.86</v>
      </c>
      <c r="H94" s="14">
        <f t="shared" si="1"/>
        <v>-4.5824999999999996</v>
      </c>
      <c r="I94" s="23"/>
      <c r="J94" s="7"/>
      <c r="K94" s="7"/>
      <c r="L94" s="24"/>
      <c r="M94" s="11" t="s">
        <v>206</v>
      </c>
    </row>
    <row r="95" spans="1:13">
      <c r="A95" s="82" t="s">
        <v>207</v>
      </c>
      <c r="B95" s="130">
        <v>-4.2158425844521901</v>
      </c>
      <c r="C95" s="71"/>
      <c r="D95" s="12">
        <v>0.17391407185160324</v>
      </c>
      <c r="E95" s="10">
        <v>6</v>
      </c>
      <c r="F95" s="10">
        <v>97</v>
      </c>
      <c r="G95" s="6">
        <v>3.94</v>
      </c>
      <c r="H95" s="14">
        <f t="shared" si="1"/>
        <v>-4.16</v>
      </c>
      <c r="I95" s="23"/>
      <c r="J95" s="7"/>
      <c r="K95" s="7"/>
      <c r="L95" s="24"/>
      <c r="M95" s="11" t="s">
        <v>208</v>
      </c>
    </row>
    <row r="96" spans="1:13">
      <c r="A96" s="81" t="s">
        <v>209</v>
      </c>
      <c r="B96" s="130">
        <v>-2.74961137672266</v>
      </c>
      <c r="C96" s="71"/>
      <c r="D96" s="12">
        <v>0.13764369691033657</v>
      </c>
      <c r="E96" s="10">
        <v>10</v>
      </c>
      <c r="F96" s="10">
        <v>134.5</v>
      </c>
      <c r="G96" s="6">
        <v>2.04</v>
      </c>
      <c r="H96" s="14">
        <f t="shared" si="1"/>
        <v>-2.6349999999999998</v>
      </c>
      <c r="I96" s="23"/>
      <c r="J96" s="7"/>
      <c r="K96" s="7"/>
      <c r="L96" s="24"/>
      <c r="M96" s="11" t="s">
        <v>210</v>
      </c>
    </row>
    <row r="97" spans="1:13">
      <c r="A97" s="82" t="s">
        <v>211</v>
      </c>
      <c r="B97" s="130">
        <v>-3.28910897254478</v>
      </c>
      <c r="C97" s="71"/>
      <c r="D97" s="12">
        <v>0.16245746888591447</v>
      </c>
      <c r="E97" s="10">
        <v>7</v>
      </c>
      <c r="F97" s="10">
        <v>139</v>
      </c>
      <c r="G97" s="6">
        <v>2.66</v>
      </c>
      <c r="H97" s="14">
        <f t="shared" si="1"/>
        <v>-3.3000000000000003</v>
      </c>
      <c r="I97" s="23"/>
      <c r="J97" s="7"/>
      <c r="K97" s="7"/>
      <c r="L97" s="24"/>
      <c r="M97" s="11" t="s">
        <v>212</v>
      </c>
    </row>
    <row r="98" spans="1:13">
      <c r="A98" s="82" t="s">
        <v>213</v>
      </c>
      <c r="B98" s="130">
        <v>-3.0926863799593902</v>
      </c>
      <c r="C98" s="71"/>
      <c r="D98" s="12">
        <v>0.15322122505052199</v>
      </c>
      <c r="E98" s="10">
        <v>9</v>
      </c>
      <c r="F98" s="10">
        <v>170</v>
      </c>
      <c r="G98" s="6">
        <v>1.91</v>
      </c>
      <c r="H98" s="14">
        <f t="shared" si="1"/>
        <v>-2.86</v>
      </c>
      <c r="I98" s="23"/>
      <c r="J98" s="7"/>
      <c r="K98" s="7"/>
      <c r="L98" s="24"/>
      <c r="M98" s="11" t="s">
        <v>214</v>
      </c>
    </row>
    <row r="99" spans="1:13">
      <c r="A99" s="81" t="s">
        <v>215</v>
      </c>
      <c r="B99" s="130">
        <v>-3.5991659440653998</v>
      </c>
      <c r="C99" s="71"/>
      <c r="D99" s="12">
        <v>0.15273607916541068</v>
      </c>
      <c r="E99" s="10">
        <v>10</v>
      </c>
      <c r="F99" s="10">
        <v>326</v>
      </c>
      <c r="G99" s="6">
        <v>2.44</v>
      </c>
      <c r="H99" s="14">
        <f t="shared" si="1"/>
        <v>-4.95</v>
      </c>
      <c r="I99" s="23"/>
      <c r="J99" s="7"/>
      <c r="K99" s="7"/>
      <c r="L99" s="24"/>
      <c r="M99" s="11" t="s">
        <v>216</v>
      </c>
    </row>
    <row r="100" spans="1:13">
      <c r="A100" s="82" t="s">
        <v>217</v>
      </c>
      <c r="B100" s="130">
        <v>-3.4780317747418801</v>
      </c>
      <c r="C100" s="71"/>
      <c r="D100" s="12">
        <v>0.18404701512102448</v>
      </c>
      <c r="E100" s="10">
        <v>5</v>
      </c>
      <c r="F100" s="10">
        <v>232.50000000000003</v>
      </c>
      <c r="G100" s="6">
        <v>1.8</v>
      </c>
      <c r="H100" s="14">
        <f t="shared" si="1"/>
        <v>-3.375</v>
      </c>
      <c r="I100" s="23"/>
      <c r="J100" s="7"/>
      <c r="K100" s="7"/>
      <c r="L100" s="24"/>
      <c r="M100" s="11" t="s">
        <v>218</v>
      </c>
    </row>
    <row r="101" spans="1:13">
      <c r="A101" s="82" t="s">
        <v>219</v>
      </c>
      <c r="B101" s="130">
        <v>-1.79156824140391</v>
      </c>
      <c r="C101" s="71"/>
      <c r="D101" s="12">
        <v>0.13604063752604376</v>
      </c>
      <c r="E101" s="10">
        <v>4</v>
      </c>
      <c r="F101" s="10">
        <v>281.5</v>
      </c>
      <c r="G101" s="6">
        <v>0.54</v>
      </c>
      <c r="H101" s="14">
        <f t="shared" si="1"/>
        <v>-2.605</v>
      </c>
      <c r="I101" s="23"/>
      <c r="J101" s="7"/>
      <c r="K101" s="7"/>
      <c r="L101" s="24"/>
      <c r="M101" s="11" t="s">
        <v>220</v>
      </c>
    </row>
    <row r="102" spans="1:13">
      <c r="A102" s="82" t="s">
        <v>221</v>
      </c>
      <c r="B102" s="130">
        <v>-3.4314450995717301</v>
      </c>
      <c r="C102" s="71"/>
      <c r="D102" s="12">
        <v>0.19798964803022484</v>
      </c>
      <c r="E102" s="10">
        <v>4</v>
      </c>
      <c r="F102" s="10">
        <v>197.1</v>
      </c>
      <c r="G102" s="6">
        <v>2.2000000000000002</v>
      </c>
      <c r="H102" s="14">
        <f t="shared" si="1"/>
        <v>-3.4210000000000003</v>
      </c>
      <c r="I102" s="23"/>
      <c r="J102" s="7"/>
      <c r="K102" s="7"/>
      <c r="L102" s="24"/>
      <c r="M102" s="11" t="s">
        <v>222</v>
      </c>
    </row>
    <row r="103" spans="1:13">
      <c r="A103" s="83" t="s">
        <v>223</v>
      </c>
      <c r="B103" s="130">
        <v>-4.8218032994188702</v>
      </c>
      <c r="C103" s="71"/>
      <c r="D103" s="12">
        <v>0.13486720020739137</v>
      </c>
      <c r="E103" s="10">
        <v>4</v>
      </c>
      <c r="F103" s="10">
        <v>33</v>
      </c>
      <c r="G103" s="6">
        <v>4.24</v>
      </c>
      <c r="H103" s="14">
        <f t="shared" si="1"/>
        <v>-3.8200000000000003</v>
      </c>
      <c r="I103" s="23"/>
      <c r="J103" s="7"/>
      <c r="K103" s="7"/>
      <c r="L103" s="24"/>
      <c r="M103" s="11" t="s">
        <v>224</v>
      </c>
    </row>
    <row r="104" spans="1:13">
      <c r="A104" s="82" t="s">
        <v>225</v>
      </c>
      <c r="B104" s="130">
        <v>-4.9878846996652202</v>
      </c>
      <c r="C104" s="71"/>
      <c r="D104" s="12">
        <v>0.18801274760604275</v>
      </c>
      <c r="E104" s="10">
        <v>11</v>
      </c>
      <c r="F104" s="10">
        <v>60</v>
      </c>
      <c r="G104" s="6">
        <v>4.24</v>
      </c>
      <c r="H104" s="14">
        <f t="shared" si="1"/>
        <v>-4.09</v>
      </c>
      <c r="I104" s="23"/>
      <c r="J104" s="7"/>
      <c r="K104" s="7"/>
      <c r="L104" s="24"/>
      <c r="M104" s="11" t="s">
        <v>226</v>
      </c>
    </row>
    <row r="105" spans="1:13">
      <c r="A105" s="82" t="s">
        <v>227</v>
      </c>
      <c r="B105" s="130">
        <v>-6.0961151964460401</v>
      </c>
      <c r="C105" s="71"/>
      <c r="D105" s="12">
        <v>0.1664014074224209</v>
      </c>
      <c r="E105" s="10">
        <v>4</v>
      </c>
      <c r="F105" s="10">
        <v>130.5</v>
      </c>
      <c r="G105" s="6">
        <v>5.22</v>
      </c>
      <c r="H105" s="14">
        <f t="shared" si="1"/>
        <v>-5.7749999999999995</v>
      </c>
      <c r="I105" s="23"/>
      <c r="J105" s="7"/>
      <c r="K105" s="7"/>
      <c r="L105" s="24"/>
      <c r="M105" s="11" t="s">
        <v>228</v>
      </c>
    </row>
    <row r="106" spans="1:13">
      <c r="A106" s="83" t="s">
        <v>103</v>
      </c>
      <c r="B106" s="130">
        <v>-3.40589661122412</v>
      </c>
      <c r="C106" s="71"/>
      <c r="D106" s="12">
        <v>0.17506472136100007</v>
      </c>
      <c r="E106" s="10">
        <v>7</v>
      </c>
      <c r="F106" s="10">
        <v>254</v>
      </c>
      <c r="G106" s="6">
        <v>2.97</v>
      </c>
      <c r="H106" s="14">
        <f t="shared" si="1"/>
        <v>-4.76</v>
      </c>
      <c r="I106" s="23"/>
      <c r="J106" s="7"/>
      <c r="K106" s="7"/>
      <c r="L106" s="24"/>
      <c r="M106" s="11" t="s">
        <v>229</v>
      </c>
    </row>
    <row r="107" spans="1:13">
      <c r="A107" s="83" t="s">
        <v>230</v>
      </c>
      <c r="B107" s="130">
        <v>-6.47950166506957</v>
      </c>
      <c r="C107" s="71"/>
      <c r="D107" s="12">
        <v>0.1605416460069265</v>
      </c>
      <c r="E107" s="10">
        <v>5</v>
      </c>
      <c r="F107" s="10">
        <v>121</v>
      </c>
      <c r="G107" s="6">
        <v>5.91</v>
      </c>
      <c r="H107" s="14">
        <f t="shared" si="1"/>
        <v>-6.37</v>
      </c>
      <c r="I107" s="23"/>
      <c r="J107" s="7"/>
      <c r="K107" s="7"/>
      <c r="L107" s="24"/>
      <c r="M107" s="11" t="s">
        <v>231</v>
      </c>
    </row>
    <row r="108" spans="1:13">
      <c r="A108" s="82" t="s">
        <v>232</v>
      </c>
      <c r="B108" s="130">
        <v>-3.8977388798699502</v>
      </c>
      <c r="C108" s="71"/>
      <c r="D108" s="12">
        <v>0.15756984748208766</v>
      </c>
      <c r="E108" s="10">
        <v>5</v>
      </c>
      <c r="F108" s="10">
        <v>206.99999999999997</v>
      </c>
      <c r="G108" s="6">
        <v>2.56</v>
      </c>
      <c r="H108" s="14">
        <f t="shared" si="1"/>
        <v>-3.88</v>
      </c>
      <c r="I108" s="23"/>
      <c r="J108" s="7"/>
      <c r="K108" s="7"/>
      <c r="L108" s="24"/>
      <c r="M108" s="11" t="s">
        <v>233</v>
      </c>
    </row>
    <row r="109" spans="1:13">
      <c r="A109" s="81" t="s">
        <v>234</v>
      </c>
      <c r="B109" s="130">
        <v>-5.3050492433139604</v>
      </c>
      <c r="C109" s="71"/>
      <c r="D109" s="12">
        <v>0.16160362353179636</v>
      </c>
      <c r="E109" s="10">
        <v>6</v>
      </c>
      <c r="F109" s="10">
        <v>134.5</v>
      </c>
      <c r="G109" s="6">
        <v>4.8499999999999996</v>
      </c>
      <c r="H109" s="14">
        <f t="shared" si="1"/>
        <v>-5.4449999999999994</v>
      </c>
      <c r="I109" s="23"/>
      <c r="J109" s="7"/>
      <c r="K109" s="7"/>
      <c r="L109" s="24"/>
      <c r="M109" s="11" t="s">
        <v>235</v>
      </c>
    </row>
    <row r="110" spans="1:13">
      <c r="A110" s="81" t="s">
        <v>236</v>
      </c>
      <c r="B110" s="130">
        <v>-3.0675988969220498</v>
      </c>
      <c r="C110" s="71"/>
      <c r="D110" s="12">
        <v>0.18685765827673947</v>
      </c>
      <c r="E110" s="10">
        <v>6</v>
      </c>
      <c r="F110" s="10">
        <v>275</v>
      </c>
      <c r="G110" s="6">
        <v>2.09</v>
      </c>
      <c r="H110" s="14">
        <f t="shared" si="1"/>
        <v>-4.09</v>
      </c>
      <c r="I110" s="23"/>
      <c r="J110" s="7"/>
      <c r="K110" s="7"/>
      <c r="L110" s="24"/>
      <c r="M110" s="11" t="s">
        <v>237</v>
      </c>
    </row>
    <row r="111" spans="1:13">
      <c r="A111" s="82" t="s">
        <v>238</v>
      </c>
      <c r="B111" s="130">
        <v>-4.2926241472309998</v>
      </c>
      <c r="C111" s="71"/>
      <c r="D111" s="12">
        <v>0.13950112944748669</v>
      </c>
      <c r="E111" s="10">
        <v>9</v>
      </c>
      <c r="F111" s="10">
        <v>220.00000000000003</v>
      </c>
      <c r="G111" s="6">
        <v>1.8</v>
      </c>
      <c r="H111" s="14">
        <f t="shared" si="1"/>
        <v>-3.2500000000000004</v>
      </c>
      <c r="I111" s="23"/>
      <c r="J111" s="7"/>
      <c r="K111" s="7"/>
      <c r="L111" s="24"/>
      <c r="M111" s="11" t="s">
        <v>239</v>
      </c>
    </row>
    <row r="112" spans="1:13">
      <c r="A112" s="85" t="s">
        <v>240</v>
      </c>
      <c r="B112" s="130">
        <v>-3.0716390982699102</v>
      </c>
      <c r="C112" s="72"/>
      <c r="D112" s="4">
        <v>0.22014005046870977</v>
      </c>
      <c r="E112" s="2">
        <v>9</v>
      </c>
      <c r="F112" s="10">
        <v>202</v>
      </c>
      <c r="G112" s="6">
        <v>1.53</v>
      </c>
      <c r="H112" s="14">
        <f t="shared" si="1"/>
        <v>-2.8</v>
      </c>
      <c r="I112" s="23"/>
      <c r="J112" s="7"/>
      <c r="K112" s="7"/>
      <c r="L112" s="24"/>
      <c r="M112" s="11" t="s">
        <v>241</v>
      </c>
    </row>
    <row r="113" spans="1:28">
      <c r="A113" s="82" t="s">
        <v>242</v>
      </c>
      <c r="B113" s="130">
        <v>-3.0265658752399198</v>
      </c>
      <c r="C113" s="71"/>
      <c r="D113" s="12">
        <v>0.14014083879485537</v>
      </c>
      <c r="E113" s="10">
        <v>3</v>
      </c>
      <c r="F113" s="10">
        <v>243.00000000000003</v>
      </c>
      <c r="G113" s="6">
        <v>1.48</v>
      </c>
      <c r="H113" s="14">
        <f t="shared" si="1"/>
        <v>-3.16</v>
      </c>
      <c r="I113" s="23"/>
      <c r="J113" s="7"/>
      <c r="K113" s="7"/>
      <c r="L113" s="24"/>
      <c r="M113" s="11" t="s">
        <v>243</v>
      </c>
    </row>
    <row r="114" spans="1:28">
      <c r="A114" s="83" t="s">
        <v>244</v>
      </c>
      <c r="B114" s="130">
        <v>-3.7587699240180799</v>
      </c>
      <c r="C114" s="71"/>
      <c r="D114" s="12">
        <v>0.13726989684757951</v>
      </c>
      <c r="E114" s="10">
        <v>3</v>
      </c>
      <c r="F114" s="10">
        <v>191</v>
      </c>
      <c r="G114" s="6">
        <v>1.67</v>
      </c>
      <c r="H114" s="14">
        <f t="shared" si="1"/>
        <v>-2.83</v>
      </c>
      <c r="I114" s="23"/>
      <c r="J114" s="7"/>
      <c r="K114" s="7"/>
      <c r="L114" s="24"/>
      <c r="M114" s="11" t="s">
        <v>245</v>
      </c>
    </row>
    <row r="115" spans="1:28">
      <c r="A115" s="82" t="s">
        <v>246</v>
      </c>
      <c r="B115" s="130">
        <v>-4.2355302343026899</v>
      </c>
      <c r="C115" s="71"/>
      <c r="D115" s="12">
        <v>0.21357402153711522</v>
      </c>
      <c r="E115" s="10">
        <v>7</v>
      </c>
      <c r="F115" s="10">
        <v>183.5</v>
      </c>
      <c r="G115" s="6">
        <v>4.37</v>
      </c>
      <c r="H115" s="14">
        <f t="shared" si="1"/>
        <v>-5.4550000000000001</v>
      </c>
      <c r="I115" s="23"/>
      <c r="J115" s="7"/>
      <c r="K115" s="7"/>
      <c r="L115" s="24"/>
      <c r="M115" s="11" t="s">
        <v>247</v>
      </c>
    </row>
    <row r="116" spans="1:28">
      <c r="A116" s="82" t="s">
        <v>248</v>
      </c>
      <c r="B116" s="130">
        <v>-3.0217714405916101</v>
      </c>
      <c r="C116" s="71"/>
      <c r="D116" s="12">
        <v>0.10564411177747912</v>
      </c>
      <c r="E116" s="10">
        <v>3</v>
      </c>
      <c r="F116" s="10">
        <v>149</v>
      </c>
      <c r="G116" s="6">
        <v>2.62</v>
      </c>
      <c r="H116" s="14">
        <f t="shared" si="1"/>
        <v>-3.3600000000000003</v>
      </c>
      <c r="I116" s="23"/>
      <c r="J116" s="7"/>
      <c r="K116" s="7"/>
      <c r="L116" s="24"/>
      <c r="M116" s="11" t="s">
        <v>249</v>
      </c>
    </row>
    <row r="117" spans="1:28">
      <c r="A117" s="81" t="s">
        <v>250</v>
      </c>
      <c r="B117" s="130">
        <v>-2.7697758569981099</v>
      </c>
      <c r="C117" s="71"/>
      <c r="D117" s="12">
        <v>0.14623917640453388</v>
      </c>
      <c r="E117" s="10">
        <v>8</v>
      </c>
      <c r="F117" s="10">
        <v>165</v>
      </c>
      <c r="G117" s="6">
        <v>-0.37</v>
      </c>
      <c r="H117" s="14">
        <f t="shared" si="1"/>
        <v>-0.53000000000000014</v>
      </c>
      <c r="I117" s="23"/>
      <c r="J117" s="7"/>
      <c r="K117" s="7"/>
      <c r="L117" s="24"/>
      <c r="M117" s="11" t="s">
        <v>251</v>
      </c>
    </row>
    <row r="118" spans="1:28">
      <c r="A118" s="82" t="s">
        <v>252</v>
      </c>
      <c r="B118" s="130">
        <v>-2.5739996758233299</v>
      </c>
      <c r="C118" s="71"/>
      <c r="D118" s="12">
        <v>0.16291639539032501</v>
      </c>
      <c r="E118" s="10">
        <v>10</v>
      </c>
      <c r="F118" s="10">
        <v>225</v>
      </c>
      <c r="G118" s="6">
        <v>0.81</v>
      </c>
      <c r="H118" s="14">
        <f t="shared" si="1"/>
        <v>-2.31</v>
      </c>
      <c r="I118" s="23"/>
      <c r="J118" s="7"/>
      <c r="K118" s="7"/>
      <c r="L118" s="24"/>
      <c r="M118" s="11" t="s">
        <v>253</v>
      </c>
    </row>
    <row r="119" spans="1:28">
      <c r="A119" s="82" t="s">
        <v>254</v>
      </c>
      <c r="B119" s="130">
        <v>-2.3254915942527501</v>
      </c>
      <c r="C119" s="71"/>
      <c r="D119" s="12">
        <v>0.21166647357477791</v>
      </c>
      <c r="E119" s="10">
        <v>5</v>
      </c>
      <c r="F119" s="10">
        <v>270</v>
      </c>
      <c r="G119" s="6">
        <v>0.62</v>
      </c>
      <c r="H119" s="14">
        <f t="shared" si="1"/>
        <v>-2.5700000000000003</v>
      </c>
      <c r="I119" s="23"/>
      <c r="J119" s="7"/>
      <c r="K119" s="7"/>
      <c r="L119" s="24"/>
      <c r="M119" s="11" t="s">
        <v>255</v>
      </c>
    </row>
    <row r="120" spans="1:28">
      <c r="A120" s="81" t="s">
        <v>256</v>
      </c>
      <c r="B120" s="130">
        <v>-3.17121199144843</v>
      </c>
      <c r="C120" s="71"/>
      <c r="D120" s="12">
        <v>0.14175650298978676</v>
      </c>
      <c r="E120" s="10">
        <v>9</v>
      </c>
      <c r="F120" s="10">
        <v>312.66666666666669</v>
      </c>
      <c r="G120" s="6">
        <v>0.83</v>
      </c>
      <c r="H120" s="14">
        <f t="shared" si="1"/>
        <v>-3.206666666666667</v>
      </c>
      <c r="I120" s="23"/>
      <c r="J120" s="7"/>
      <c r="K120" s="7"/>
      <c r="L120" s="24"/>
      <c r="M120" s="11" t="s">
        <v>257</v>
      </c>
    </row>
    <row r="121" spans="1:28">
      <c r="A121" s="82" t="s">
        <v>258</v>
      </c>
      <c r="B121" s="130">
        <v>-3.9638384423346502</v>
      </c>
      <c r="C121" s="71"/>
      <c r="D121" s="12">
        <v>0.2034688635346244</v>
      </c>
      <c r="E121" s="10">
        <v>11</v>
      </c>
      <c r="F121" s="10">
        <v>161</v>
      </c>
      <c r="G121" s="6">
        <v>3.61</v>
      </c>
      <c r="H121" s="14">
        <f t="shared" si="1"/>
        <v>-4.47</v>
      </c>
      <c r="I121" s="23"/>
      <c r="J121" s="7"/>
      <c r="K121" s="7"/>
      <c r="L121" s="24"/>
      <c r="M121" s="11" t="s">
        <v>259</v>
      </c>
    </row>
    <row r="122" spans="1:28">
      <c r="A122" s="81" t="s">
        <v>109</v>
      </c>
      <c r="B122" s="130">
        <v>-2.6094489916832</v>
      </c>
      <c r="C122" s="71"/>
      <c r="D122" s="12">
        <v>0.20579636821699754</v>
      </c>
      <c r="E122" s="10">
        <v>3</v>
      </c>
      <c r="F122" s="10">
        <v>300</v>
      </c>
      <c r="G122" s="6">
        <v>-1.06</v>
      </c>
      <c r="H122" s="14">
        <f t="shared" si="1"/>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s="130">
        <v>-1.9879772130358699</v>
      </c>
      <c r="C129" s="73" t="s">
        <v>30</v>
      </c>
      <c r="D129" s="12">
        <v>0.50033555401430185</v>
      </c>
      <c r="E129" s="10">
        <v>3</v>
      </c>
      <c r="F129" s="10">
        <v>180</v>
      </c>
      <c r="G129" s="1">
        <v>1.91</v>
      </c>
      <c r="H129" s="14">
        <f t="shared" ref="H129:H160" si="2">0.5-G129-0.01*(F129-25)</f>
        <v>-2.96</v>
      </c>
      <c r="I129" s="53" t="s">
        <v>31</v>
      </c>
      <c r="J129" s="54"/>
      <c r="K129" s="14"/>
      <c r="L129" s="14"/>
      <c r="M129" s="3" t="s">
        <v>269</v>
      </c>
    </row>
    <row r="130" spans="1:13">
      <c r="A130" s="82" t="s">
        <v>270</v>
      </c>
      <c r="B130" s="130">
        <v>-5.8816308272793298</v>
      </c>
      <c r="C130" s="73" t="s">
        <v>36</v>
      </c>
      <c r="D130" s="12">
        <v>0.5</v>
      </c>
      <c r="E130" s="6">
        <v>5</v>
      </c>
      <c r="F130" s="10">
        <v>156</v>
      </c>
      <c r="G130" s="1">
        <v>6.94</v>
      </c>
      <c r="H130" s="14">
        <f t="shared" si="2"/>
        <v>-7.75</v>
      </c>
      <c r="I130" s="53" t="s">
        <v>37</v>
      </c>
      <c r="J130" s="54"/>
      <c r="K130" s="14"/>
      <c r="L130" s="14"/>
      <c r="M130" s="3" t="s">
        <v>271</v>
      </c>
    </row>
    <row r="131" spans="1:13">
      <c r="A131" s="83" t="s">
        <v>272</v>
      </c>
      <c r="B131" s="130">
        <v>-5.2598608993601799</v>
      </c>
      <c r="C131" s="73" t="s">
        <v>41</v>
      </c>
      <c r="D131" s="12">
        <v>0.6530957900260097</v>
      </c>
      <c r="E131" s="10">
        <v>3</v>
      </c>
      <c r="F131" s="10">
        <v>208</v>
      </c>
      <c r="G131" s="1">
        <v>5.18</v>
      </c>
      <c r="H131" s="14">
        <f t="shared" si="2"/>
        <v>-6.51</v>
      </c>
      <c r="I131" s="53" t="s">
        <v>42</v>
      </c>
      <c r="J131" s="54"/>
      <c r="K131" s="14"/>
      <c r="L131" s="14"/>
      <c r="M131" s="3" t="s">
        <v>273</v>
      </c>
    </row>
    <row r="132" spans="1:13">
      <c r="A132" s="82" t="s">
        <v>274</v>
      </c>
      <c r="B132" s="130">
        <v>-2.8248393831204699</v>
      </c>
      <c r="C132" s="73" t="s">
        <v>46</v>
      </c>
      <c r="D132" s="12">
        <v>0.59285217963150294</v>
      </c>
      <c r="E132" s="10">
        <v>3</v>
      </c>
      <c r="F132" s="10">
        <v>100</v>
      </c>
      <c r="G132" s="1">
        <v>2.37</v>
      </c>
      <c r="H132" s="14">
        <f t="shared" si="2"/>
        <v>-2.62</v>
      </c>
      <c r="I132" s="15" t="s">
        <v>47</v>
      </c>
      <c r="J132" s="29"/>
      <c r="K132" s="14"/>
      <c r="L132" s="14"/>
      <c r="M132" s="3" t="s">
        <v>275</v>
      </c>
    </row>
    <row r="133" spans="1:13">
      <c r="A133" s="82" t="s">
        <v>276</v>
      </c>
      <c r="B133" s="130">
        <v>-2.9769710430090401</v>
      </c>
      <c r="C133" s="73" t="s">
        <v>51</v>
      </c>
      <c r="D133" s="12">
        <v>0.51067901383936642</v>
      </c>
      <c r="E133" s="10">
        <v>5</v>
      </c>
      <c r="F133" s="10">
        <v>217</v>
      </c>
      <c r="G133" s="1">
        <v>3.19</v>
      </c>
      <c r="H133" s="14">
        <f t="shared" si="2"/>
        <v>-4.6099999999999994</v>
      </c>
      <c r="I133" s="15" t="s">
        <v>52</v>
      </c>
      <c r="J133" s="29"/>
      <c r="K133" s="14"/>
      <c r="L133" s="14"/>
      <c r="M133" s="3" t="s">
        <v>277</v>
      </c>
    </row>
    <row r="134" spans="1:13">
      <c r="A134" s="82" t="s">
        <v>278</v>
      </c>
      <c r="B134" s="130">
        <v>-4.73239268592115</v>
      </c>
      <c r="C134" s="71"/>
      <c r="D134" s="12">
        <v>0.83065522865171437</v>
      </c>
      <c r="E134" s="10">
        <v>3</v>
      </c>
      <c r="F134" s="10">
        <v>209.50000000000003</v>
      </c>
      <c r="G134" s="1">
        <v>4.41</v>
      </c>
      <c r="H134" s="14">
        <f t="shared" si="2"/>
        <v>-5.7550000000000008</v>
      </c>
      <c r="I134" s="15" t="s">
        <v>56</v>
      </c>
      <c r="J134" s="29"/>
      <c r="K134" s="14"/>
      <c r="L134" s="14"/>
      <c r="M134" s="3" t="s">
        <v>279</v>
      </c>
    </row>
    <row r="135" spans="1:13">
      <c r="A135" s="82" t="s">
        <v>280</v>
      </c>
      <c r="B135" s="130">
        <v>-6.1846364888905798</v>
      </c>
      <c r="C135" s="71"/>
      <c r="D135" s="12">
        <v>0.51097181417141646</v>
      </c>
      <c r="E135" s="10">
        <v>6</v>
      </c>
      <c r="F135" s="10">
        <v>97.5</v>
      </c>
      <c r="G135" s="1">
        <v>5.19</v>
      </c>
      <c r="H135" s="14">
        <f t="shared" si="2"/>
        <v>-5.415</v>
      </c>
      <c r="I135" s="15" t="s">
        <v>60</v>
      </c>
      <c r="J135" s="31" t="s">
        <v>32</v>
      </c>
      <c r="K135" s="14"/>
      <c r="L135" s="14"/>
      <c r="M135" s="3" t="s">
        <v>281</v>
      </c>
    </row>
    <row r="136" spans="1:13">
      <c r="A136" s="81" t="s">
        <v>282</v>
      </c>
      <c r="B136" s="130">
        <v>-6.5914273940783596</v>
      </c>
      <c r="C136" s="71"/>
      <c r="D136" s="12">
        <v>0.92735432696895004</v>
      </c>
      <c r="E136" s="10">
        <v>5</v>
      </c>
      <c r="F136" s="10">
        <v>211</v>
      </c>
      <c r="G136" s="1">
        <v>7.49</v>
      </c>
      <c r="H136" s="14">
        <f t="shared" si="2"/>
        <v>-8.85</v>
      </c>
      <c r="I136" s="30" t="s">
        <v>64</v>
      </c>
      <c r="J136" s="32"/>
      <c r="K136" s="33"/>
      <c r="L136" s="34"/>
      <c r="M136" s="3" t="s">
        <v>283</v>
      </c>
    </row>
    <row r="137" spans="1:13">
      <c r="A137" s="82" t="s">
        <v>112</v>
      </c>
      <c r="B137" s="130">
        <v>-3.9446675112680301</v>
      </c>
      <c r="C137" s="71"/>
      <c r="D137" s="12">
        <v>0.68239272333923895</v>
      </c>
      <c r="E137" s="10">
        <v>3</v>
      </c>
      <c r="F137" s="10">
        <v>177</v>
      </c>
      <c r="G137" s="1">
        <v>3.37</v>
      </c>
      <c r="H137" s="14">
        <f t="shared" si="2"/>
        <v>-4.3900000000000006</v>
      </c>
      <c r="J137" s="14"/>
      <c r="K137" s="14"/>
      <c r="L137" s="14"/>
      <c r="M137" s="3" t="s">
        <v>284</v>
      </c>
    </row>
    <row r="138" spans="1:13">
      <c r="A138" s="82" t="s">
        <v>285</v>
      </c>
      <c r="B138" s="130">
        <v>-4.6358087435950504</v>
      </c>
      <c r="C138" s="71"/>
      <c r="D138" s="12">
        <v>0.520951861602862</v>
      </c>
      <c r="E138" s="10">
        <v>10</v>
      </c>
      <c r="F138" s="10">
        <v>228.6</v>
      </c>
      <c r="G138" s="1">
        <v>4.22</v>
      </c>
      <c r="H138" s="14">
        <f t="shared" si="2"/>
        <v>-5.7560000000000002</v>
      </c>
      <c r="I138" s="16" t="s">
        <v>286</v>
      </c>
      <c r="J138" s="17"/>
      <c r="K138" s="17"/>
      <c r="L138" s="18"/>
      <c r="M138" s="3" t="s">
        <v>287</v>
      </c>
    </row>
    <row r="139" spans="1:13">
      <c r="A139" s="81" t="s">
        <v>288</v>
      </c>
      <c r="B139" s="130">
        <v>-2.3436041072613998</v>
      </c>
      <c r="C139" s="71"/>
      <c r="D139" s="12">
        <v>0.53906642829149898</v>
      </c>
      <c r="E139" s="10">
        <v>3</v>
      </c>
      <c r="F139" s="10">
        <v>161.5</v>
      </c>
      <c r="G139" s="1">
        <v>-0.21</v>
      </c>
      <c r="H139" s="14">
        <f t="shared" si="2"/>
        <v>-0.65500000000000003</v>
      </c>
      <c r="I139" s="20" t="s">
        <v>675</v>
      </c>
      <c r="J139" s="21"/>
      <c r="K139" s="21"/>
      <c r="L139" s="22"/>
      <c r="M139" s="3" t="s">
        <v>289</v>
      </c>
    </row>
    <row r="140" spans="1:13">
      <c r="A140" s="81" t="s">
        <v>290</v>
      </c>
      <c r="B140" s="130">
        <v>-3.6596385605298898</v>
      </c>
      <c r="C140" s="71"/>
      <c r="D140" s="12">
        <v>0.56233984781338708</v>
      </c>
      <c r="E140" s="10">
        <v>11</v>
      </c>
      <c r="F140" s="10">
        <v>213.49999999999997</v>
      </c>
      <c r="G140" s="1">
        <v>3.04</v>
      </c>
      <c r="H140" s="14">
        <f t="shared" si="2"/>
        <v>-4.4249999999999998</v>
      </c>
      <c r="I140" s="23" t="s">
        <v>676</v>
      </c>
      <c r="J140" s="7"/>
      <c r="K140" s="7"/>
      <c r="L140" s="24"/>
      <c r="M140" s="3" t="s">
        <v>291</v>
      </c>
    </row>
    <row r="141" spans="1:13">
      <c r="A141" s="83" t="s">
        <v>292</v>
      </c>
      <c r="B141" s="130">
        <v>-3.31911463561377</v>
      </c>
      <c r="C141" s="71"/>
      <c r="D141" s="12">
        <v>0.54710381306524825</v>
      </c>
      <c r="E141" s="10">
        <v>4</v>
      </c>
      <c r="F141" s="10">
        <v>168.5</v>
      </c>
      <c r="G141" s="1">
        <v>3.35</v>
      </c>
      <c r="H141" s="14">
        <f t="shared" si="2"/>
        <v>-4.2850000000000001</v>
      </c>
      <c r="I141" s="23"/>
      <c r="J141" s="7"/>
      <c r="K141" s="7"/>
      <c r="L141" s="24"/>
      <c r="M141" s="3" t="s">
        <v>293</v>
      </c>
    </row>
    <row r="142" spans="1:13">
      <c r="A142" s="81" t="s">
        <v>114</v>
      </c>
      <c r="B142" s="130">
        <v>-3.04244256548025</v>
      </c>
      <c r="C142" s="71"/>
      <c r="D142" s="12">
        <v>0.54612637818466869</v>
      </c>
      <c r="E142" s="10">
        <v>3</v>
      </c>
      <c r="F142" s="13">
        <v>124.1</v>
      </c>
      <c r="G142" s="1">
        <v>2.81</v>
      </c>
      <c r="H142" s="14">
        <f t="shared" si="2"/>
        <v>-3.3010000000000002</v>
      </c>
      <c r="I142" s="25"/>
      <c r="J142" s="7"/>
      <c r="K142" s="7"/>
      <c r="L142" s="24"/>
      <c r="M142" s="3" t="s">
        <v>294</v>
      </c>
    </row>
    <row r="143" spans="1:13">
      <c r="A143" s="81" t="s">
        <v>295</v>
      </c>
      <c r="B143" s="130">
        <v>-5.7912790345239298</v>
      </c>
      <c r="C143" s="71"/>
      <c r="D143" s="12">
        <v>0.51160213896594608</v>
      </c>
      <c r="E143" s="10">
        <v>4</v>
      </c>
      <c r="F143" s="10">
        <v>165</v>
      </c>
      <c r="G143" s="1">
        <v>4.8899999999999997</v>
      </c>
      <c r="H143" s="14">
        <f t="shared" si="2"/>
        <v>-5.79</v>
      </c>
      <c r="I143" s="25"/>
      <c r="J143" s="7"/>
      <c r="K143" s="7"/>
      <c r="L143" s="24"/>
      <c r="M143" s="3" t="s">
        <v>296</v>
      </c>
    </row>
    <row r="144" spans="1:13">
      <c r="A144" s="81" t="s">
        <v>117</v>
      </c>
      <c r="B144" s="130">
        <v>-5.21703125929435</v>
      </c>
      <c r="C144" s="71"/>
      <c r="D144" s="12">
        <v>0.65141515533308314</v>
      </c>
      <c r="E144" s="10">
        <v>4</v>
      </c>
      <c r="F144" s="10">
        <v>161.1</v>
      </c>
      <c r="G144" s="1">
        <v>4.76</v>
      </c>
      <c r="H144" s="14">
        <f t="shared" si="2"/>
        <v>-5.6209999999999996</v>
      </c>
      <c r="I144" s="25"/>
      <c r="J144" s="7"/>
      <c r="K144" s="7"/>
      <c r="L144" s="24"/>
      <c r="M144" s="3" t="s">
        <v>297</v>
      </c>
    </row>
    <row r="145" spans="1:28">
      <c r="A145" s="83" t="s">
        <v>298</v>
      </c>
      <c r="B145" s="130">
        <v>-4.3339167662465199</v>
      </c>
      <c r="C145" s="71"/>
      <c r="D145" s="12">
        <v>0.65883215509381909</v>
      </c>
      <c r="E145" s="10">
        <v>3</v>
      </c>
      <c r="F145" s="10">
        <v>155</v>
      </c>
      <c r="G145" s="1">
        <v>3.74</v>
      </c>
      <c r="H145" s="14">
        <f t="shared" si="2"/>
        <v>-4.54</v>
      </c>
      <c r="I145" s="25"/>
      <c r="J145" s="7"/>
      <c r="K145" s="7"/>
      <c r="L145" s="24"/>
      <c r="M145" s="3" t="s">
        <v>299</v>
      </c>
    </row>
    <row r="146" spans="1:28">
      <c r="A146" s="82" t="s">
        <v>300</v>
      </c>
      <c r="B146" s="130">
        <v>-6.6019366767584797</v>
      </c>
      <c r="C146" s="71"/>
      <c r="D146" s="12">
        <v>0.61400477095750339</v>
      </c>
      <c r="E146" s="10">
        <v>3</v>
      </c>
      <c r="F146" s="10">
        <v>165.4</v>
      </c>
      <c r="G146" s="1">
        <v>5.58</v>
      </c>
      <c r="H146" s="14">
        <f t="shared" si="2"/>
        <v>-6.484</v>
      </c>
      <c r="I146" s="25"/>
      <c r="J146" s="7"/>
      <c r="K146" s="7"/>
      <c r="L146" s="24"/>
      <c r="M146" s="3" t="s">
        <v>301</v>
      </c>
    </row>
    <row r="147" spans="1:28">
      <c r="A147" s="82" t="s">
        <v>302</v>
      </c>
      <c r="B147" s="130">
        <v>-5.6082905415050099</v>
      </c>
      <c r="C147" s="71"/>
      <c r="D147" s="12">
        <v>0.50406532001413251</v>
      </c>
      <c r="E147" s="10">
        <v>6</v>
      </c>
      <c r="F147" s="10">
        <v>161</v>
      </c>
      <c r="G147" s="1">
        <v>6.45</v>
      </c>
      <c r="H147" s="14">
        <f t="shared" si="2"/>
        <v>-7.3100000000000005</v>
      </c>
      <c r="I147" s="26"/>
      <c r="J147" s="27"/>
      <c r="K147" s="27"/>
      <c r="L147" s="28"/>
      <c r="M147" s="3" t="s">
        <v>303</v>
      </c>
    </row>
    <row r="148" spans="1:28">
      <c r="A148" s="82" t="s">
        <v>304</v>
      </c>
      <c r="B148" s="130">
        <v>-5.7408781649079703</v>
      </c>
      <c r="C148" s="71"/>
      <c r="D148" s="12">
        <v>0.75493366325441691</v>
      </c>
      <c r="E148" s="10">
        <v>4</v>
      </c>
      <c r="F148" s="10">
        <v>193.5</v>
      </c>
      <c r="G148" s="1">
        <v>5.41</v>
      </c>
      <c r="H148" s="14">
        <f t="shared" si="2"/>
        <v>-6.5950000000000006</v>
      </c>
      <c r="J148" s="14"/>
      <c r="K148" s="14"/>
      <c r="L148" s="14"/>
      <c r="M148" s="3" t="s">
        <v>305</v>
      </c>
    </row>
    <row r="149" spans="1:28">
      <c r="A149" s="82" t="s">
        <v>306</v>
      </c>
      <c r="B149" s="130">
        <v>-3.68858611264853</v>
      </c>
      <c r="C149" s="71"/>
      <c r="D149" s="12">
        <v>0.50089358058597189</v>
      </c>
      <c r="E149" s="10">
        <v>3</v>
      </c>
      <c r="F149" s="10">
        <v>156</v>
      </c>
      <c r="G149" s="1">
        <v>2.9</v>
      </c>
      <c r="H149" s="14">
        <f t="shared" si="2"/>
        <v>-3.71</v>
      </c>
      <c r="I149" s="70" t="s">
        <v>133</v>
      </c>
      <c r="J149" s="32"/>
      <c r="K149" s="34">
        <v>333</v>
      </c>
      <c r="L149" s="14"/>
      <c r="M149" s="3" t="s">
        <v>307</v>
      </c>
    </row>
    <row r="150" spans="1:28">
      <c r="A150" s="83" t="s">
        <v>308</v>
      </c>
      <c r="B150" s="130">
        <v>-3.1082500381091598</v>
      </c>
      <c r="C150" s="71"/>
      <c r="D150" s="12">
        <v>0.6587984329866341</v>
      </c>
      <c r="E150" s="10">
        <v>4</v>
      </c>
      <c r="F150" s="10">
        <v>183.5</v>
      </c>
      <c r="G150" s="1">
        <v>3.16</v>
      </c>
      <c r="H150" s="14">
        <f t="shared" si="2"/>
        <v>-4.2450000000000001</v>
      </c>
      <c r="I150" s="70" t="s">
        <v>136</v>
      </c>
      <c r="J150" s="32" t="s">
        <v>668</v>
      </c>
      <c r="K150" s="34"/>
      <c r="L150" s="14"/>
      <c r="M150" s="3" t="s">
        <v>309</v>
      </c>
    </row>
    <row r="151" spans="1:28">
      <c r="A151" s="83" t="s">
        <v>310</v>
      </c>
      <c r="B151" s="130">
        <v>-3.05278561631506</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s="130">
        <v>-2.9301183348842699</v>
      </c>
      <c r="C152" s="71"/>
      <c r="D152" s="12">
        <v>0.57115657899345518</v>
      </c>
      <c r="E152" s="10">
        <v>7</v>
      </c>
      <c r="F152" s="10">
        <v>177</v>
      </c>
      <c r="G152" s="1">
        <v>3.17</v>
      </c>
      <c r="H152" s="14">
        <f t="shared" si="2"/>
        <v>-4.1899999999999995</v>
      </c>
      <c r="I152" s="14"/>
      <c r="J152" s="14"/>
      <c r="K152" s="14"/>
      <c r="L152" s="14"/>
      <c r="M152" s="3" t="s">
        <v>313</v>
      </c>
    </row>
    <row r="153" spans="1:28">
      <c r="A153" s="81" t="s">
        <v>314</v>
      </c>
      <c r="B153" s="130">
        <v>-6.5196833393731204</v>
      </c>
      <c r="C153" s="71"/>
      <c r="D153" s="12">
        <v>0.55807775121880254</v>
      </c>
      <c r="E153" s="10">
        <v>6</v>
      </c>
      <c r="F153" s="10">
        <v>145</v>
      </c>
      <c r="G153" s="1">
        <v>6.08</v>
      </c>
      <c r="H153" s="14">
        <f t="shared" si="2"/>
        <v>-6.78</v>
      </c>
      <c r="I153" s="19" t="s">
        <v>144</v>
      </c>
      <c r="J153" s="17"/>
      <c r="K153" s="17"/>
      <c r="L153" s="18"/>
      <c r="M153" s="3" t="s">
        <v>315</v>
      </c>
    </row>
    <row r="154" spans="1:28">
      <c r="A154" s="81" t="s">
        <v>316</v>
      </c>
      <c r="B154" s="130">
        <v>-6.04594147074818</v>
      </c>
      <c r="C154" s="71"/>
      <c r="D154" s="12">
        <v>0.66417698790166113</v>
      </c>
      <c r="E154" s="10">
        <v>3</v>
      </c>
      <c r="F154" s="13">
        <v>175.8</v>
      </c>
      <c r="G154" s="1">
        <v>4.62</v>
      </c>
      <c r="H154" s="14">
        <f t="shared" si="2"/>
        <v>-5.6280000000000001</v>
      </c>
      <c r="I154" s="20" t="s">
        <v>688</v>
      </c>
      <c r="J154" s="21"/>
      <c r="K154" s="21"/>
      <c r="L154" s="22"/>
      <c r="M154" s="3" t="s">
        <v>317</v>
      </c>
    </row>
    <row r="155" spans="1:28">
      <c r="A155" s="82" t="s">
        <v>318</v>
      </c>
      <c r="B155" s="130">
        <v>-3.0464424701441901</v>
      </c>
      <c r="C155" s="71"/>
      <c r="D155" s="12">
        <v>0.57716593661781801</v>
      </c>
      <c r="E155" s="10">
        <v>3</v>
      </c>
      <c r="F155" s="10">
        <v>349.84</v>
      </c>
      <c r="G155" s="1">
        <v>3.09</v>
      </c>
      <c r="H155" s="14">
        <f t="shared" si="2"/>
        <v>-5.8384</v>
      </c>
      <c r="I155" s="23"/>
      <c r="J155" s="7"/>
      <c r="K155" s="7"/>
      <c r="L155" s="24"/>
      <c r="M155" s="3" t="s">
        <v>319</v>
      </c>
    </row>
    <row r="156" spans="1:28">
      <c r="A156" s="83" t="s">
        <v>320</v>
      </c>
      <c r="B156" s="130">
        <v>-2.9392818000106402</v>
      </c>
      <c r="C156" s="71"/>
      <c r="D156" s="12">
        <v>0.70324590282883903</v>
      </c>
      <c r="E156" s="10">
        <v>3</v>
      </c>
      <c r="F156" s="10">
        <v>204</v>
      </c>
      <c r="G156" s="1">
        <v>0.88</v>
      </c>
      <c r="H156" s="14">
        <f t="shared" si="2"/>
        <v>-2.17</v>
      </c>
      <c r="I156" s="23"/>
      <c r="J156" s="7"/>
      <c r="K156" s="7"/>
      <c r="L156" s="24"/>
      <c r="M156" s="3" t="s">
        <v>321</v>
      </c>
    </row>
    <row r="157" spans="1:28">
      <c r="A157" s="82" t="s">
        <v>322</v>
      </c>
      <c r="B157" s="130">
        <v>-5.78616849017462</v>
      </c>
      <c r="C157" s="71"/>
      <c r="D157" s="12">
        <v>0.7237903588794764</v>
      </c>
      <c r="E157" s="10">
        <v>7</v>
      </c>
      <c r="F157" s="10">
        <v>97.8</v>
      </c>
      <c r="G157" s="1">
        <v>6</v>
      </c>
      <c r="H157" s="14">
        <f t="shared" si="2"/>
        <v>-6.2279999999999998</v>
      </c>
      <c r="I157" s="23"/>
      <c r="J157" s="7"/>
      <c r="K157" s="7"/>
      <c r="L157" s="24"/>
      <c r="M157" s="3" t="s">
        <v>323</v>
      </c>
    </row>
    <row r="158" spans="1:28">
      <c r="A158" s="82" t="s">
        <v>324</v>
      </c>
      <c r="B158" s="130">
        <v>-6.6954977709939696</v>
      </c>
      <c r="C158" s="71"/>
      <c r="D158" s="12">
        <v>0.84033450922624497</v>
      </c>
      <c r="E158" s="10">
        <v>5</v>
      </c>
      <c r="F158" s="10">
        <v>262</v>
      </c>
      <c r="G158" s="1">
        <v>7.26</v>
      </c>
      <c r="H158" s="14">
        <f t="shared" si="2"/>
        <v>-9.129999999999999</v>
      </c>
      <c r="I158" s="23"/>
      <c r="J158" s="7"/>
      <c r="K158" s="7"/>
      <c r="L158" s="24"/>
      <c r="M158" s="3" t="s">
        <v>325</v>
      </c>
    </row>
    <row r="159" spans="1:28">
      <c r="A159" s="82" t="s">
        <v>326</v>
      </c>
      <c r="B159" s="130">
        <v>-5.9244742049006396</v>
      </c>
      <c r="C159" s="71"/>
      <c r="D159" s="12">
        <v>0.70969645885144073</v>
      </c>
      <c r="E159" s="10">
        <v>11</v>
      </c>
      <c r="F159" s="10">
        <v>149.6</v>
      </c>
      <c r="G159" s="1">
        <v>6.45</v>
      </c>
      <c r="H159" s="14">
        <f t="shared" si="2"/>
        <v>-7.1959999999999997</v>
      </c>
      <c r="I159" s="23"/>
      <c r="J159" s="7"/>
      <c r="K159" s="7"/>
      <c r="L159" s="24"/>
      <c r="M159" s="3" t="s">
        <v>327</v>
      </c>
    </row>
    <row r="160" spans="1:28" s="62" customFormat="1">
      <c r="A160" s="81" t="s">
        <v>328</v>
      </c>
      <c r="B160" s="130">
        <v>-3.1307475496427801</v>
      </c>
      <c r="C160" s="71"/>
      <c r="D160" s="12">
        <v>0.49644864464459931</v>
      </c>
      <c r="E160" s="10">
        <v>4</v>
      </c>
      <c r="F160" s="10">
        <v>304.5</v>
      </c>
      <c r="G160" s="1">
        <v>2.69</v>
      </c>
      <c r="H160" s="14">
        <f t="shared" si="2"/>
        <v>-4.9849999999999994</v>
      </c>
      <c r="I160" s="35"/>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43" t="s">
        <v>682</v>
      </c>
      <c r="B194" s="44"/>
      <c r="C194" s="44"/>
      <c r="D194" s="44"/>
      <c r="E194" s="44"/>
      <c r="F194" s="44"/>
      <c r="G194" s="44"/>
      <c r="H194" s="44"/>
      <c r="I194" s="44"/>
      <c r="J194" s="44"/>
      <c r="K194" s="44"/>
      <c r="L194" s="44"/>
      <c r="M194" s="48"/>
      <c r="N194" s="44"/>
      <c r="O194" s="44"/>
      <c r="P194" s="44"/>
      <c r="Q194" s="45"/>
    </row>
    <row r="195" spans="1:17">
      <c r="A195" s="49" t="s">
        <v>683</v>
      </c>
    </row>
    <row r="196" spans="1:17">
      <c r="A196" s="49" t="s">
        <v>684</v>
      </c>
    </row>
    <row r="197" spans="1:17">
      <c r="A197" s="39" t="s">
        <v>685</v>
      </c>
    </row>
    <row r="198" spans="1:17">
      <c r="A198" s="39" t="s">
        <v>686</v>
      </c>
    </row>
    <row r="199" spans="1:17">
      <c r="A199" s="39" t="s">
        <v>687</v>
      </c>
    </row>
  </sheetData>
  <pageMargins left="0" right="0" top="0" bottom="0" header="0.3" footer="0.3"/>
  <pageSetup scale="54" orientation="landscape"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72C93-216A-4D4E-BDB7-7E0F95B37DE8}">
  <dimension ref="A1:AB194"/>
  <sheetViews>
    <sheetView zoomScale="110" zoomScaleNormal="110" workbookViewId="0">
      <selection activeCell="B4" sqref="B4:B9"/>
    </sheetView>
  </sheetViews>
  <sheetFormatPr baseColWidth="10" defaultColWidth="8.83203125" defaultRowHeight="15"/>
  <cols>
    <col min="1" max="1" width="18.83203125" style="241" customWidth="1"/>
    <col min="2" max="3" width="11.33203125" style="241" customWidth="1"/>
    <col min="4" max="4" width="7.6640625" style="241" customWidth="1"/>
    <col min="5" max="5" width="7.83203125" style="241" customWidth="1"/>
    <col min="6" max="6" width="10.1640625" style="241" customWidth="1"/>
    <col min="7" max="7" width="8.83203125" style="241"/>
    <col min="8" max="8" width="9.1640625" style="241" customWidth="1"/>
    <col min="9" max="9" width="13.1640625" style="241" customWidth="1"/>
    <col min="10" max="10" width="6.1640625" style="241" customWidth="1"/>
    <col min="11" max="11" width="9.1640625" style="241" customWidth="1"/>
    <col min="12" max="12" width="11.83203125" style="241" customWidth="1"/>
    <col min="13" max="13" width="9" style="244" customWidth="1"/>
    <col min="14" max="1025" width="9.1640625" style="241" customWidth="1"/>
    <col min="1026" max="16384" width="8.83203125" style="241"/>
  </cols>
  <sheetData>
    <row r="1" spans="1:25" ht="34">
      <c r="B1" s="242" t="s">
        <v>0</v>
      </c>
      <c r="C1" s="243"/>
      <c r="Y1" s="245"/>
    </row>
    <row r="2" spans="1:25" s="244" customFormat="1" ht="21">
      <c r="B2" s="246" t="s">
        <v>1</v>
      </c>
      <c r="C2" s="247"/>
      <c r="Y2" s="248"/>
    </row>
    <row r="3" spans="1:25" s="244" customFormat="1" ht="19">
      <c r="B3" s="249" t="s">
        <v>2</v>
      </c>
      <c r="C3" s="247"/>
      <c r="Y3" s="250"/>
    </row>
    <row r="4" spans="1:25">
      <c r="A4" s="251" t="s">
        <v>3</v>
      </c>
      <c r="B4" s="252"/>
      <c r="C4" s="253"/>
      <c r="D4" s="253"/>
      <c r="E4" s="253"/>
      <c r="F4" s="253"/>
      <c r="G4" s="253"/>
      <c r="H4" s="253"/>
      <c r="I4" s="253"/>
      <c r="J4" s="253"/>
      <c r="K4" s="253"/>
      <c r="L4" s="253"/>
      <c r="M4" s="254"/>
      <c r="N4" s="253"/>
      <c r="O4" s="253"/>
      <c r="P4" s="253"/>
      <c r="Q4" s="253"/>
      <c r="R4" s="255"/>
    </row>
    <row r="5" spans="1:25">
      <c r="A5" s="251" t="s">
        <v>4</v>
      </c>
      <c r="B5" s="256"/>
      <c r="C5" s="256"/>
      <c r="D5" s="256"/>
      <c r="E5" s="256"/>
      <c r="F5" s="256"/>
      <c r="G5" s="256"/>
      <c r="H5" s="256"/>
      <c r="I5" s="256"/>
      <c r="J5" s="256"/>
      <c r="K5" s="256"/>
      <c r="L5" s="256"/>
      <c r="M5" s="257"/>
      <c r="N5" s="256"/>
      <c r="O5" s="256"/>
      <c r="P5" s="256"/>
      <c r="Q5" s="256"/>
      <c r="R5" s="258"/>
    </row>
    <row r="6" spans="1:25">
      <c r="A6" s="259" t="s">
        <v>5</v>
      </c>
      <c r="B6" s="252"/>
      <c r="C6" s="253"/>
      <c r="D6" s="253"/>
      <c r="E6" s="253"/>
      <c r="F6" s="253"/>
      <c r="G6" s="253"/>
      <c r="H6" s="253"/>
      <c r="I6" s="253"/>
      <c r="J6" s="253"/>
      <c r="K6" s="253"/>
      <c r="L6" s="253"/>
      <c r="M6" s="254"/>
      <c r="N6" s="253"/>
      <c r="O6" s="253"/>
      <c r="P6" s="253"/>
      <c r="Q6" s="253"/>
      <c r="R6" s="255"/>
    </row>
    <row r="7" spans="1:25">
      <c r="A7" s="260"/>
      <c r="B7" s="261"/>
      <c r="C7" s="256"/>
      <c r="D7" s="256"/>
      <c r="E7" s="256"/>
      <c r="F7" s="256"/>
      <c r="G7" s="256"/>
      <c r="H7" s="256"/>
      <c r="I7" s="256"/>
      <c r="J7" s="256"/>
      <c r="K7" s="256"/>
      <c r="L7" s="256"/>
      <c r="M7" s="257"/>
      <c r="N7" s="256"/>
      <c r="O7" s="256"/>
      <c r="P7" s="256"/>
      <c r="Q7" s="256"/>
      <c r="R7" s="258"/>
    </row>
    <row r="8" spans="1:25">
      <c r="A8" s="259" t="s">
        <v>6</v>
      </c>
      <c r="B8" s="252"/>
      <c r="C8" s="253"/>
      <c r="D8" s="253"/>
      <c r="E8" s="253"/>
      <c r="F8" s="253"/>
      <c r="G8" s="253"/>
      <c r="H8" s="253"/>
      <c r="I8" s="253"/>
      <c r="J8" s="253"/>
      <c r="K8" s="253"/>
      <c r="L8" s="253"/>
      <c r="M8" s="254"/>
      <c r="N8" s="253"/>
      <c r="O8" s="253"/>
      <c r="P8" s="253"/>
      <c r="Q8" s="253"/>
      <c r="R8" s="255"/>
    </row>
    <row r="9" spans="1:25">
      <c r="A9" s="262" t="s">
        <v>7</v>
      </c>
      <c r="B9" s="263"/>
      <c r="C9" s="263"/>
      <c r="D9" s="263"/>
      <c r="E9" s="263"/>
      <c r="F9" s="263"/>
      <c r="G9" s="263"/>
      <c r="H9" s="263"/>
      <c r="I9" s="263"/>
      <c r="J9" s="263"/>
      <c r="K9" s="263"/>
      <c r="L9" s="263"/>
      <c r="M9" s="264"/>
      <c r="N9" s="263"/>
      <c r="O9" s="263"/>
      <c r="P9" s="263"/>
      <c r="Q9" s="263"/>
      <c r="R9" s="265"/>
    </row>
    <row r="10" spans="1:25">
      <c r="A10" s="266"/>
    </row>
    <row r="11" spans="1:25" s="267" customFormat="1" ht="26">
      <c r="A11" s="267" t="s">
        <v>689</v>
      </c>
    </row>
    <row r="12" spans="1:25">
      <c r="B12" s="268" t="s">
        <v>690</v>
      </c>
    </row>
    <row r="13" spans="1:25" s="270" customFormat="1">
      <c r="A13" s="269" t="s">
        <v>691</v>
      </c>
    </row>
    <row r="14" spans="1:25">
      <c r="B14" s="271"/>
      <c r="C14" s="241" t="s">
        <v>11</v>
      </c>
    </row>
    <row r="15" spans="1:25" s="270" customFormat="1">
      <c r="A15" s="269" t="s">
        <v>12</v>
      </c>
    </row>
    <row r="16" spans="1:25">
      <c r="B16" s="271"/>
      <c r="C16" s="241" t="s">
        <v>11</v>
      </c>
    </row>
    <row r="17" spans="1:28" s="270" customFormat="1">
      <c r="A17" s="269" t="s">
        <v>13</v>
      </c>
    </row>
    <row r="18" spans="1:28">
      <c r="B18" s="252" t="s">
        <v>692</v>
      </c>
      <c r="C18" s="253"/>
      <c r="D18" s="253"/>
      <c r="E18" s="253"/>
      <c r="F18" s="253"/>
      <c r="G18" s="253"/>
      <c r="H18" s="253"/>
      <c r="I18" s="253"/>
      <c r="J18" s="253"/>
      <c r="K18" s="253"/>
      <c r="L18" s="253"/>
      <c r="M18" s="254"/>
      <c r="N18" s="253"/>
      <c r="O18" s="253"/>
      <c r="P18" s="253"/>
      <c r="Q18" s="253"/>
      <c r="R18" s="255"/>
      <c r="S18" s="241" t="s">
        <v>15</v>
      </c>
    </row>
    <row r="20" spans="1:28" s="272" customFormat="1">
      <c r="A20" s="272" t="s">
        <v>693</v>
      </c>
    </row>
    <row r="21" spans="1:28" s="276" customFormat="1" ht="35" thickBot="1">
      <c r="A21" s="273" t="s">
        <v>694</v>
      </c>
      <c r="B21" s="274"/>
      <c r="C21" s="274"/>
      <c r="D21" s="274"/>
      <c r="E21" s="274"/>
      <c r="F21" s="274"/>
      <c r="G21" s="274"/>
      <c r="H21" s="274"/>
      <c r="I21" s="274"/>
      <c r="J21" s="274"/>
      <c r="K21" s="274"/>
      <c r="L21" s="274"/>
      <c r="M21" s="275"/>
      <c r="N21" s="244"/>
      <c r="O21" s="244"/>
      <c r="P21" s="244"/>
      <c r="Q21" s="244"/>
      <c r="R21" s="244"/>
      <c r="S21" s="244"/>
      <c r="T21" s="244"/>
      <c r="U21" s="244"/>
      <c r="V21" s="244"/>
      <c r="W21" s="244"/>
      <c r="X21" s="244"/>
      <c r="Y21" s="244"/>
      <c r="Z21" s="244"/>
      <c r="AA21" s="244"/>
      <c r="AB21" s="244"/>
    </row>
    <row r="22" spans="1:28" ht="41.25" customHeight="1" thickBot="1">
      <c r="A22" s="277" t="s">
        <v>18</v>
      </c>
      <c r="B22" s="278" t="s">
        <v>695</v>
      </c>
      <c r="C22" s="278" t="s">
        <v>696</v>
      </c>
      <c r="D22" s="278" t="s">
        <v>21</v>
      </c>
      <c r="E22" s="278" t="s">
        <v>22</v>
      </c>
      <c r="F22" s="278" t="s">
        <v>23</v>
      </c>
      <c r="G22" s="279" t="s">
        <v>697</v>
      </c>
      <c r="H22" s="279" t="s">
        <v>698</v>
      </c>
      <c r="I22" s="280"/>
      <c r="J22" s="281" t="s">
        <v>27</v>
      </c>
      <c r="K22" s="281"/>
      <c r="L22" s="281"/>
      <c r="M22" s="282" t="s">
        <v>28</v>
      </c>
      <c r="N22" s="283"/>
      <c r="O22" s="283"/>
      <c r="P22" s="283"/>
      <c r="Q22" s="283"/>
      <c r="R22" s="283"/>
      <c r="S22" s="283"/>
      <c r="T22" s="284"/>
      <c r="U22" s="276"/>
      <c r="V22" s="276"/>
      <c r="W22" s="276"/>
      <c r="X22" s="276"/>
      <c r="Y22" s="276"/>
      <c r="Z22" s="276"/>
      <c r="AA22" s="276"/>
      <c r="AB22" s="276"/>
    </row>
    <row r="23" spans="1:28">
      <c r="A23" s="285" t="s">
        <v>29</v>
      </c>
      <c r="B23" s="286">
        <v>-3.2914696000000001</v>
      </c>
      <c r="C23" s="287" t="s">
        <v>30</v>
      </c>
      <c r="D23" s="288">
        <v>0.17592262140645501</v>
      </c>
      <c r="E23" s="289">
        <v>11</v>
      </c>
      <c r="F23" s="289">
        <v>258.5</v>
      </c>
      <c r="G23" s="290">
        <v>-0.86</v>
      </c>
      <c r="H23" s="291">
        <f t="shared" ref="H23:H86" si="0">0.5-G23-0.01*(F23-25)</f>
        <v>-0.97500000000000009</v>
      </c>
      <c r="I23" s="292" t="s">
        <v>31</v>
      </c>
      <c r="J23" s="293"/>
      <c r="K23" s="291"/>
      <c r="L23" s="291"/>
      <c r="M23" s="294" t="s">
        <v>33</v>
      </c>
    </row>
    <row r="24" spans="1:28">
      <c r="A24" s="295" t="s">
        <v>35</v>
      </c>
      <c r="B24" s="296">
        <v>-2.2896909999999999</v>
      </c>
      <c r="C24" s="287" t="s">
        <v>36</v>
      </c>
      <c r="D24" s="288">
        <v>0.14701293131372201</v>
      </c>
      <c r="E24" s="289">
        <v>16</v>
      </c>
      <c r="F24" s="289">
        <v>142.4</v>
      </c>
      <c r="G24" s="290">
        <v>1.31</v>
      </c>
      <c r="H24" s="291">
        <f t="shared" si="0"/>
        <v>-1.9840000000000002</v>
      </c>
      <c r="I24" s="292" t="s">
        <v>37</v>
      </c>
      <c r="J24" s="293"/>
      <c r="K24" s="291"/>
      <c r="L24" s="291"/>
      <c r="M24" s="294" t="s">
        <v>38</v>
      </c>
    </row>
    <row r="25" spans="1:28">
      <c r="A25" s="285" t="s">
        <v>40</v>
      </c>
      <c r="B25" s="296">
        <v>-4.87094</v>
      </c>
      <c r="C25" s="287" t="s">
        <v>41</v>
      </c>
      <c r="D25" s="288">
        <v>0.15746026945991601</v>
      </c>
      <c r="E25" s="289">
        <v>4</v>
      </c>
      <c r="F25" s="289">
        <v>92</v>
      </c>
      <c r="G25" s="290">
        <v>2.5299999999999998</v>
      </c>
      <c r="H25" s="291">
        <f t="shared" si="0"/>
        <v>-2.6999999999999997</v>
      </c>
      <c r="I25" s="292" t="s">
        <v>42</v>
      </c>
      <c r="J25" s="293"/>
      <c r="K25" s="291"/>
      <c r="L25" s="291"/>
      <c r="M25" s="294" t="s">
        <v>43</v>
      </c>
    </row>
    <row r="26" spans="1:28">
      <c r="A26" s="295" t="s">
        <v>45</v>
      </c>
      <c r="B26" s="296">
        <v>-3.7825837</v>
      </c>
      <c r="C26" s="287" t="s">
        <v>46</v>
      </c>
      <c r="D26" s="288">
        <v>0.169992225074696</v>
      </c>
      <c r="E26" s="289">
        <v>3</v>
      </c>
      <c r="F26" s="289">
        <v>234</v>
      </c>
      <c r="G26" s="290">
        <v>3.19</v>
      </c>
      <c r="H26" s="291">
        <f t="shared" si="0"/>
        <v>-4.7799999999999994</v>
      </c>
      <c r="I26" s="297" t="s">
        <v>47</v>
      </c>
      <c r="J26" s="298" t="s">
        <v>367</v>
      </c>
      <c r="K26" s="291"/>
      <c r="L26" s="291"/>
      <c r="M26" s="294" t="s">
        <v>48</v>
      </c>
    </row>
    <row r="27" spans="1:28">
      <c r="A27" s="295" t="s">
        <v>50</v>
      </c>
      <c r="B27" s="296">
        <v>-8.1221200000000007</v>
      </c>
      <c r="C27" s="287" t="s">
        <v>51</v>
      </c>
      <c r="D27" s="288">
        <v>0.21168830858587201</v>
      </c>
      <c r="E27" s="289">
        <v>3</v>
      </c>
      <c r="F27" s="289">
        <v>139.25</v>
      </c>
      <c r="G27" s="290">
        <v>4.8600000000000003</v>
      </c>
      <c r="H27" s="291">
        <f t="shared" si="0"/>
        <v>-5.5025000000000004</v>
      </c>
      <c r="I27" s="297" t="s">
        <v>52</v>
      </c>
      <c r="J27" s="298"/>
      <c r="K27" s="291"/>
      <c r="L27" s="291"/>
      <c r="M27" s="294" t="s">
        <v>53</v>
      </c>
    </row>
    <row r="28" spans="1:28">
      <c r="A28" s="285" t="s">
        <v>55</v>
      </c>
      <c r="B28" s="296">
        <v>-7.6515909999999998</v>
      </c>
      <c r="C28" s="299"/>
      <c r="D28" s="288">
        <v>0.18412396392404201</v>
      </c>
      <c r="E28" s="289">
        <v>3</v>
      </c>
      <c r="F28" s="289">
        <v>224</v>
      </c>
      <c r="G28" s="290">
        <v>5.51</v>
      </c>
      <c r="H28" s="291">
        <f t="shared" si="0"/>
        <v>-7</v>
      </c>
      <c r="I28" s="297" t="s">
        <v>56</v>
      </c>
      <c r="J28" s="298"/>
      <c r="K28" s="291"/>
      <c r="L28" s="291"/>
      <c r="M28" s="294" t="s">
        <v>57</v>
      </c>
    </row>
    <row r="29" spans="1:28">
      <c r="A29" s="285" t="s">
        <v>59</v>
      </c>
      <c r="B29" s="296">
        <v>-2.4153848</v>
      </c>
      <c r="C29" s="299"/>
      <c r="D29" s="288">
        <v>0.149337338745232</v>
      </c>
      <c r="E29" s="289">
        <v>6</v>
      </c>
      <c r="F29" s="289">
        <v>172.5</v>
      </c>
      <c r="G29" s="290">
        <v>1.78</v>
      </c>
      <c r="H29" s="291">
        <f t="shared" si="0"/>
        <v>-2.7549999999999999</v>
      </c>
      <c r="I29" s="297" t="s">
        <v>60</v>
      </c>
      <c r="J29" s="300"/>
      <c r="K29" s="291"/>
      <c r="L29" s="291"/>
      <c r="M29" s="294" t="s">
        <v>61</v>
      </c>
    </row>
    <row r="30" spans="1:28">
      <c r="A30" s="285" t="s">
        <v>63</v>
      </c>
      <c r="B30" s="296">
        <v>-1.7747577000000001</v>
      </c>
      <c r="C30" s="299"/>
      <c r="D30" s="288">
        <v>0.14842266063120099</v>
      </c>
      <c r="E30" s="289">
        <v>4</v>
      </c>
      <c r="F30" s="289">
        <v>207.5</v>
      </c>
      <c r="G30" s="290">
        <v>1.86</v>
      </c>
      <c r="H30" s="291">
        <f t="shared" si="0"/>
        <v>-3.1850000000000001</v>
      </c>
      <c r="I30" s="301" t="s">
        <v>64</v>
      </c>
      <c r="J30" s="302"/>
      <c r="K30" s="303"/>
      <c r="L30" s="304"/>
      <c r="M30" s="294" t="s">
        <v>65</v>
      </c>
    </row>
    <row r="31" spans="1:28">
      <c r="A31" s="305" t="s">
        <v>66</v>
      </c>
      <c r="B31" s="296">
        <v>-1.7368865</v>
      </c>
      <c r="C31" s="299"/>
      <c r="D31" s="288">
        <v>0.16179731069006001</v>
      </c>
      <c r="E31" s="289">
        <v>10</v>
      </c>
      <c r="F31" s="289">
        <v>166.5</v>
      </c>
      <c r="G31" s="290">
        <v>0.79</v>
      </c>
      <c r="H31" s="291">
        <f t="shared" si="0"/>
        <v>-1.7050000000000001</v>
      </c>
      <c r="J31" s="291"/>
      <c r="K31" s="291"/>
      <c r="L31" s="291"/>
      <c r="M31" s="294" t="s">
        <v>67</v>
      </c>
    </row>
    <row r="32" spans="1:28">
      <c r="A32" s="295" t="s">
        <v>68</v>
      </c>
      <c r="B32" s="296">
        <v>-5.2254066000000003</v>
      </c>
      <c r="C32" s="299"/>
      <c r="D32" s="288">
        <v>0.21543706061278201</v>
      </c>
      <c r="E32" s="289">
        <v>6</v>
      </c>
      <c r="F32" s="289">
        <v>231.5</v>
      </c>
      <c r="G32" s="290">
        <v>2.4300000000000002</v>
      </c>
      <c r="H32" s="291">
        <f t="shared" si="0"/>
        <v>-3.9950000000000001</v>
      </c>
      <c r="I32" s="306" t="s">
        <v>69</v>
      </c>
      <c r="J32" s="307"/>
      <c r="K32" s="307"/>
      <c r="L32" s="308"/>
      <c r="M32" s="294" t="s">
        <v>70</v>
      </c>
    </row>
    <row r="33" spans="1:13">
      <c r="A33" s="295" t="s">
        <v>71</v>
      </c>
      <c r="B33" s="296">
        <v>-3.9704410000000001</v>
      </c>
      <c r="C33" s="299"/>
      <c r="D33" s="288">
        <v>0.129125206050696</v>
      </c>
      <c r="E33" s="289">
        <v>3</v>
      </c>
      <c r="F33" s="309">
        <v>192.7</v>
      </c>
      <c r="G33" s="290">
        <v>2.63</v>
      </c>
      <c r="H33" s="291">
        <f t="shared" si="0"/>
        <v>-3.8069999999999995</v>
      </c>
      <c r="I33" s="310" t="s">
        <v>699</v>
      </c>
      <c r="J33" s="311"/>
      <c r="K33" s="311"/>
      <c r="L33" s="312"/>
      <c r="M33" s="294" t="s">
        <v>72</v>
      </c>
    </row>
    <row r="34" spans="1:13">
      <c r="A34" s="285" t="s">
        <v>74</v>
      </c>
      <c r="B34" s="296">
        <v>-7.3157690000000004</v>
      </c>
      <c r="C34" s="299"/>
      <c r="D34" s="288">
        <v>0.14911462098310899</v>
      </c>
      <c r="E34" s="289">
        <v>6</v>
      </c>
      <c r="F34" s="289">
        <v>167</v>
      </c>
      <c r="G34" s="290">
        <v>6.32</v>
      </c>
      <c r="H34" s="291">
        <f t="shared" si="0"/>
        <v>-7.24</v>
      </c>
      <c r="I34" s="313" t="s">
        <v>700</v>
      </c>
      <c r="J34" s="314"/>
      <c r="K34" s="315">
        <v>12570377</v>
      </c>
      <c r="L34" s="316"/>
      <c r="M34" s="294" t="s">
        <v>75</v>
      </c>
    </row>
    <row r="35" spans="1:13">
      <c r="A35" s="295" t="s">
        <v>77</v>
      </c>
      <c r="B35" s="296">
        <v>-3.3453667</v>
      </c>
      <c r="C35" s="299"/>
      <c r="D35" s="288">
        <v>0.15809078703524701</v>
      </c>
      <c r="E35" s="289">
        <v>15</v>
      </c>
      <c r="F35" s="289">
        <v>191.5</v>
      </c>
      <c r="G35" s="290">
        <v>3.39</v>
      </c>
      <c r="H35" s="291">
        <f t="shared" si="0"/>
        <v>-4.5549999999999997</v>
      </c>
      <c r="I35" s="317"/>
      <c r="J35" s="314"/>
      <c r="K35" s="314"/>
      <c r="L35" s="316"/>
      <c r="M35" s="294" t="s">
        <v>78</v>
      </c>
    </row>
    <row r="36" spans="1:13">
      <c r="A36" s="305" t="s">
        <v>80</v>
      </c>
      <c r="B36" s="296">
        <v>-4.897176</v>
      </c>
      <c r="C36" s="299"/>
      <c r="D36" s="288">
        <v>0.191150308906822</v>
      </c>
      <c r="E36" s="289">
        <v>3</v>
      </c>
      <c r="F36" s="289">
        <v>246.2</v>
      </c>
      <c r="G36" s="290">
        <v>3.32</v>
      </c>
      <c r="H36" s="291">
        <f t="shared" si="0"/>
        <v>-5.032</v>
      </c>
      <c r="I36" s="317"/>
      <c r="J36" s="314"/>
      <c r="K36" s="314"/>
      <c r="L36" s="316"/>
      <c r="M36" s="294" t="s">
        <v>81</v>
      </c>
    </row>
    <row r="37" spans="1:13">
      <c r="A37" s="305" t="s">
        <v>73</v>
      </c>
      <c r="B37" s="296">
        <v>-3.0907382999999999</v>
      </c>
      <c r="C37" s="299"/>
      <c r="D37" s="288">
        <v>0.19050575600734301</v>
      </c>
      <c r="E37" s="289">
        <v>4</v>
      </c>
      <c r="F37" s="289">
        <v>304</v>
      </c>
      <c r="G37" s="290">
        <v>1.74</v>
      </c>
      <c r="H37" s="291">
        <f t="shared" si="0"/>
        <v>-4.03</v>
      </c>
      <c r="I37" s="317"/>
      <c r="J37" s="314"/>
      <c r="K37" s="314"/>
      <c r="L37" s="316"/>
      <c r="M37" s="294" t="s">
        <v>83</v>
      </c>
    </row>
    <row r="38" spans="1:13">
      <c r="A38" s="285" t="s">
        <v>76</v>
      </c>
      <c r="B38" s="296">
        <v>-1.2258236</v>
      </c>
      <c r="C38" s="299"/>
      <c r="D38" s="288">
        <v>0.13682393527498099</v>
      </c>
      <c r="E38" s="289">
        <v>7</v>
      </c>
      <c r="F38" s="289">
        <v>187</v>
      </c>
      <c r="G38" s="290">
        <v>-0.87</v>
      </c>
      <c r="H38" s="291">
        <f t="shared" si="0"/>
        <v>-0.25</v>
      </c>
      <c r="I38" s="317"/>
      <c r="J38" s="314"/>
      <c r="K38" s="314"/>
      <c r="L38" s="316"/>
      <c r="M38" s="318" t="s">
        <v>85</v>
      </c>
    </row>
    <row r="39" spans="1:13">
      <c r="A39" s="285" t="s">
        <v>87</v>
      </c>
      <c r="B39" s="296">
        <v>-1.6153556</v>
      </c>
      <c r="C39" s="299"/>
      <c r="D39" s="288">
        <v>0.20462356367491999</v>
      </c>
      <c r="E39" s="289">
        <v>4</v>
      </c>
      <c r="F39" s="289">
        <v>221.5</v>
      </c>
      <c r="G39" s="290">
        <v>0.71</v>
      </c>
      <c r="H39" s="291">
        <f t="shared" si="0"/>
        <v>-2.1749999999999998</v>
      </c>
      <c r="I39" s="317"/>
      <c r="J39" s="314"/>
      <c r="K39" s="314"/>
      <c r="L39" s="316"/>
      <c r="M39" s="294" t="s">
        <v>88</v>
      </c>
    </row>
    <row r="40" spans="1:13">
      <c r="A40" s="285" t="s">
        <v>90</v>
      </c>
      <c r="B40" s="296">
        <v>-4.1232660000000001</v>
      </c>
      <c r="C40" s="299"/>
      <c r="D40" s="288">
        <v>0.182746025644656</v>
      </c>
      <c r="E40" s="289">
        <v>6</v>
      </c>
      <c r="F40" s="289">
        <v>157.833333333333</v>
      </c>
      <c r="G40" s="290">
        <v>3.51</v>
      </c>
      <c r="H40" s="291">
        <f t="shared" si="0"/>
        <v>-4.3383333333333294</v>
      </c>
      <c r="I40" s="317"/>
      <c r="J40" s="256"/>
      <c r="K40" s="256"/>
      <c r="L40" s="258"/>
      <c r="M40" s="294" t="s">
        <v>91</v>
      </c>
    </row>
    <row r="41" spans="1:13">
      <c r="A41" s="295" t="s">
        <v>93</v>
      </c>
      <c r="B41" s="296">
        <v>-2.4117956</v>
      </c>
      <c r="C41" s="299"/>
      <c r="D41" s="288">
        <v>0.12610247911779701</v>
      </c>
      <c r="E41" s="289">
        <v>8</v>
      </c>
      <c r="F41" s="289">
        <v>140</v>
      </c>
      <c r="G41" s="290">
        <v>0.35</v>
      </c>
      <c r="H41" s="291">
        <f t="shared" si="0"/>
        <v>-1</v>
      </c>
      <c r="I41" s="317"/>
      <c r="J41" s="256"/>
      <c r="K41" s="256"/>
      <c r="L41" s="258"/>
      <c r="M41" s="294" t="s">
        <v>94</v>
      </c>
    </row>
    <row r="42" spans="1:13">
      <c r="A42" s="295" t="s">
        <v>96</v>
      </c>
      <c r="B42" s="296">
        <v>-3.5116146000000001</v>
      </c>
      <c r="C42" s="299"/>
      <c r="D42" s="288">
        <v>0.14493441954544001</v>
      </c>
      <c r="E42" s="289">
        <v>7</v>
      </c>
      <c r="F42" s="289">
        <v>127.933333333333</v>
      </c>
      <c r="G42" s="290">
        <v>1.74</v>
      </c>
      <c r="H42" s="291">
        <f t="shared" si="0"/>
        <v>-2.2693333333333299</v>
      </c>
      <c r="I42" s="317"/>
      <c r="J42" s="256"/>
      <c r="K42" s="256"/>
      <c r="L42" s="258"/>
      <c r="M42" s="294" t="s">
        <v>97</v>
      </c>
    </row>
    <row r="43" spans="1:13">
      <c r="A43" s="295" t="s">
        <v>79</v>
      </c>
      <c r="B43" s="296">
        <v>-4.6181200000000002</v>
      </c>
      <c r="C43" s="299"/>
      <c r="D43" s="288">
        <v>0.148613886268708</v>
      </c>
      <c r="E43" s="289">
        <v>7</v>
      </c>
      <c r="F43" s="289">
        <v>176</v>
      </c>
      <c r="G43" s="290">
        <v>4.4800000000000004</v>
      </c>
      <c r="H43" s="291">
        <f t="shared" si="0"/>
        <v>-5.49</v>
      </c>
      <c r="I43" s="317"/>
      <c r="J43" s="256"/>
      <c r="K43" s="256"/>
      <c r="L43" s="258"/>
      <c r="M43" s="294" t="s">
        <v>99</v>
      </c>
    </row>
    <row r="44" spans="1:13">
      <c r="A44" s="285" t="s">
        <v>101</v>
      </c>
      <c r="B44" s="296">
        <v>-2.9069346999999999</v>
      </c>
      <c r="C44" s="299"/>
      <c r="D44" s="288">
        <v>0.12807114954002</v>
      </c>
      <c r="E44" s="289">
        <v>3</v>
      </c>
      <c r="F44" s="289">
        <v>159.69999999999999</v>
      </c>
      <c r="G44" s="290">
        <v>3.46</v>
      </c>
      <c r="H44" s="291">
        <f t="shared" si="0"/>
        <v>-4.3070000000000004</v>
      </c>
      <c r="I44" s="317"/>
      <c r="J44" s="256"/>
      <c r="K44" s="256"/>
      <c r="L44" s="258"/>
      <c r="M44" s="294" t="s">
        <v>102</v>
      </c>
    </row>
    <row r="45" spans="1:13">
      <c r="A45" s="295" t="s">
        <v>104</v>
      </c>
      <c r="B45" s="296">
        <v>-1.5731124000000001</v>
      </c>
      <c r="C45" s="299"/>
      <c r="D45" s="288">
        <v>0.21683500301481101</v>
      </c>
      <c r="E45" s="289">
        <v>8</v>
      </c>
      <c r="F45" s="289">
        <v>142</v>
      </c>
      <c r="G45" s="290">
        <v>0.6</v>
      </c>
      <c r="H45" s="291">
        <f t="shared" si="0"/>
        <v>-1.27</v>
      </c>
      <c r="I45" s="317"/>
      <c r="J45" s="256"/>
      <c r="K45" s="256"/>
      <c r="L45" s="258"/>
      <c r="M45" s="294" t="s">
        <v>105</v>
      </c>
    </row>
    <row r="46" spans="1:13">
      <c r="A46" s="295" t="s">
        <v>107</v>
      </c>
      <c r="B46" s="296">
        <v>-3.7449340000000002</v>
      </c>
      <c r="C46" s="299"/>
      <c r="D46" s="288">
        <v>0.18255878892749899</v>
      </c>
      <c r="E46" s="289">
        <v>20</v>
      </c>
      <c r="F46" s="289">
        <v>267</v>
      </c>
      <c r="G46" s="290">
        <v>1.58</v>
      </c>
      <c r="H46" s="291">
        <f t="shared" si="0"/>
        <v>-3.5</v>
      </c>
      <c r="I46" s="317"/>
      <c r="J46" s="256"/>
      <c r="K46" s="256"/>
      <c r="L46" s="258"/>
      <c r="M46" s="294" t="s">
        <v>108</v>
      </c>
    </row>
    <row r="47" spans="1:13">
      <c r="A47" s="285" t="s">
        <v>110</v>
      </c>
      <c r="B47" s="296">
        <v>-4.3046730000000002</v>
      </c>
      <c r="C47" s="299"/>
      <c r="D47" s="288">
        <v>0.16704647063532599</v>
      </c>
      <c r="E47" s="289">
        <v>6</v>
      </c>
      <c r="F47" s="289">
        <v>110</v>
      </c>
      <c r="G47" s="290">
        <v>3.36</v>
      </c>
      <c r="H47" s="291">
        <f t="shared" si="0"/>
        <v>-3.71</v>
      </c>
      <c r="I47" s="317"/>
      <c r="J47" s="256"/>
      <c r="K47" s="256"/>
      <c r="L47" s="258"/>
      <c r="M47" s="294" t="s">
        <v>111</v>
      </c>
    </row>
    <row r="48" spans="1:13">
      <c r="A48" s="295" t="s">
        <v>82</v>
      </c>
      <c r="B48" s="296">
        <v>-3.5919091999999999</v>
      </c>
      <c r="C48" s="299"/>
      <c r="D48" s="288">
        <v>0.1716450131236</v>
      </c>
      <c r="E48" s="289">
        <v>7</v>
      </c>
      <c r="F48" s="289">
        <v>182</v>
      </c>
      <c r="G48" s="290">
        <v>2.67</v>
      </c>
      <c r="H48" s="291">
        <f t="shared" si="0"/>
        <v>-3.74</v>
      </c>
      <c r="I48" s="317"/>
      <c r="J48" s="256"/>
      <c r="K48" s="256"/>
      <c r="L48" s="258"/>
      <c r="M48" s="294" t="s">
        <v>113</v>
      </c>
    </row>
    <row r="49" spans="1:13">
      <c r="A49" s="295" t="s">
        <v>115</v>
      </c>
      <c r="B49" s="296">
        <v>-1.7477585</v>
      </c>
      <c r="C49" s="299"/>
      <c r="D49" s="288">
        <v>0.12558353028546099</v>
      </c>
      <c r="E49" s="289">
        <v>4</v>
      </c>
      <c r="F49" s="289">
        <v>222</v>
      </c>
      <c r="G49" s="290">
        <v>2.56</v>
      </c>
      <c r="H49" s="291">
        <f t="shared" si="0"/>
        <v>-4.03</v>
      </c>
      <c r="I49" s="317"/>
      <c r="J49" s="256"/>
      <c r="K49" s="256"/>
      <c r="L49" s="258"/>
      <c r="M49" s="294" t="s">
        <v>116</v>
      </c>
    </row>
    <row r="50" spans="1:13">
      <c r="A50" s="295" t="s">
        <v>118</v>
      </c>
      <c r="B50" s="296">
        <v>-2.987819</v>
      </c>
      <c r="C50" s="299"/>
      <c r="D50" s="288">
        <v>0.15681339906647901</v>
      </c>
      <c r="E50" s="289">
        <v>6</v>
      </c>
      <c r="F50" s="289">
        <v>151</v>
      </c>
      <c r="G50" s="290">
        <v>3.27</v>
      </c>
      <c r="H50" s="291">
        <f t="shared" si="0"/>
        <v>-4.03</v>
      </c>
      <c r="I50" s="317"/>
      <c r="J50" s="256"/>
      <c r="K50" s="256"/>
      <c r="L50" s="258"/>
      <c r="M50" s="294" t="s">
        <v>119</v>
      </c>
    </row>
    <row r="51" spans="1:13">
      <c r="A51" s="285" t="s">
        <v>84</v>
      </c>
      <c r="B51" s="296">
        <v>-5.0366850000000003</v>
      </c>
      <c r="C51" s="299"/>
      <c r="D51" s="288">
        <v>0.12789394574374299</v>
      </c>
      <c r="E51" s="289">
        <v>5</v>
      </c>
      <c r="F51" s="289">
        <v>330</v>
      </c>
      <c r="G51" s="290">
        <v>2.87</v>
      </c>
      <c r="H51" s="291">
        <f t="shared" si="0"/>
        <v>-5.42</v>
      </c>
      <c r="I51" s="317"/>
      <c r="J51" s="256"/>
      <c r="K51" s="256"/>
      <c r="L51" s="258"/>
      <c r="M51" s="294" t="s">
        <v>120</v>
      </c>
    </row>
    <row r="52" spans="1:13">
      <c r="A52" s="295" t="s">
        <v>121</v>
      </c>
      <c r="B52" s="296">
        <v>-3.7921041999999998</v>
      </c>
      <c r="C52" s="299"/>
      <c r="D52" s="288">
        <v>0.18012800124370401</v>
      </c>
      <c r="E52" s="289">
        <v>3</v>
      </c>
      <c r="F52" s="289">
        <v>100</v>
      </c>
      <c r="G52" s="290">
        <v>3.53</v>
      </c>
      <c r="H52" s="291">
        <f t="shared" si="0"/>
        <v>-3.78</v>
      </c>
      <c r="I52" s="313"/>
      <c r="J52" s="314"/>
      <c r="K52" s="314"/>
      <c r="L52" s="316"/>
      <c r="M52" s="294" t="s">
        <v>122</v>
      </c>
    </row>
    <row r="53" spans="1:13">
      <c r="A53" s="285" t="s">
        <v>123</v>
      </c>
      <c r="B53" s="296">
        <v>-3.4026725</v>
      </c>
      <c r="C53" s="299"/>
      <c r="D53" s="288">
        <v>0.180621047507217</v>
      </c>
      <c r="E53" s="289">
        <v>16</v>
      </c>
      <c r="F53" s="289">
        <v>262.5</v>
      </c>
      <c r="G53" s="290">
        <v>1.9</v>
      </c>
      <c r="H53" s="291">
        <f t="shared" si="0"/>
        <v>-3.7749999999999999</v>
      </c>
      <c r="I53" s="313"/>
      <c r="J53" s="314"/>
      <c r="K53" s="314"/>
      <c r="L53" s="316"/>
      <c r="M53" s="294" t="s">
        <v>124</v>
      </c>
    </row>
    <row r="54" spans="1:13">
      <c r="A54" s="295" t="s">
        <v>125</v>
      </c>
      <c r="B54" s="296">
        <v>-3.8196240000000001</v>
      </c>
      <c r="C54" s="299"/>
      <c r="D54" s="288">
        <v>0.2215624426866</v>
      </c>
      <c r="E54" s="289">
        <v>4</v>
      </c>
      <c r="F54" s="289">
        <v>328.85</v>
      </c>
      <c r="G54" s="290">
        <v>1.87</v>
      </c>
      <c r="H54" s="291">
        <f t="shared" si="0"/>
        <v>-4.4085000000000001</v>
      </c>
      <c r="I54" s="313"/>
      <c r="J54" s="314"/>
      <c r="K54" s="314"/>
      <c r="L54" s="316"/>
      <c r="M54" s="294" t="s">
        <v>126</v>
      </c>
    </row>
    <row r="55" spans="1:13">
      <c r="A55" s="295" t="s">
        <v>127</v>
      </c>
      <c r="B55" s="296">
        <v>-5.4922000000000004</v>
      </c>
      <c r="C55" s="299"/>
      <c r="D55" s="288">
        <v>0.184508117807134</v>
      </c>
      <c r="E55" s="289">
        <v>33</v>
      </c>
      <c r="F55" s="289">
        <v>167.5</v>
      </c>
      <c r="G55" s="290">
        <v>4.3600000000000003</v>
      </c>
      <c r="H55" s="291">
        <f t="shared" si="0"/>
        <v>-5.2850000000000001</v>
      </c>
      <c r="I55" s="313"/>
      <c r="J55" s="314"/>
      <c r="K55" s="314"/>
      <c r="L55" s="316"/>
      <c r="M55" s="294" t="s">
        <v>128</v>
      </c>
    </row>
    <row r="56" spans="1:13">
      <c r="A56" s="295" t="s">
        <v>86</v>
      </c>
      <c r="B56" s="296">
        <v>-4.6265090000000004</v>
      </c>
      <c r="C56" s="299"/>
      <c r="D56" s="288">
        <v>0.15609203233531499</v>
      </c>
      <c r="E56" s="289">
        <v>3</v>
      </c>
      <c r="F56" s="289">
        <v>223</v>
      </c>
      <c r="G56" s="290">
        <v>2.99</v>
      </c>
      <c r="H56" s="291">
        <f t="shared" si="0"/>
        <v>-4.4700000000000006</v>
      </c>
      <c r="I56" s="313"/>
      <c r="J56" s="314"/>
      <c r="K56" s="314"/>
      <c r="L56" s="316"/>
      <c r="M56" s="294" t="s">
        <v>129</v>
      </c>
    </row>
    <row r="57" spans="1:13">
      <c r="A57" s="295" t="s">
        <v>89</v>
      </c>
      <c r="B57" s="296">
        <v>-4.0011992000000003</v>
      </c>
      <c r="C57" s="299"/>
      <c r="D57" s="288">
        <v>0.20872343532408</v>
      </c>
      <c r="E57" s="289">
        <v>3</v>
      </c>
      <c r="F57" s="289">
        <v>210.5</v>
      </c>
      <c r="G57" s="290">
        <v>2.72</v>
      </c>
      <c r="H57" s="291">
        <f t="shared" si="0"/>
        <v>-4.0750000000000002</v>
      </c>
      <c r="I57" s="261"/>
      <c r="J57" s="319"/>
      <c r="K57" s="319"/>
      <c r="L57" s="320"/>
      <c r="M57" s="294" t="s">
        <v>130</v>
      </c>
    </row>
    <row r="58" spans="1:13">
      <c r="A58" s="295" t="s">
        <v>131</v>
      </c>
      <c r="B58" s="296">
        <v>-2.9460435</v>
      </c>
      <c r="C58" s="299"/>
      <c r="D58" s="288">
        <v>0.12973190134165599</v>
      </c>
      <c r="E58" s="289">
        <v>3</v>
      </c>
      <c r="F58" s="289">
        <v>209.75</v>
      </c>
      <c r="G58" s="290">
        <v>3.37</v>
      </c>
      <c r="H58" s="291">
        <f t="shared" si="0"/>
        <v>-4.7175000000000002</v>
      </c>
      <c r="J58" s="291"/>
      <c r="K58" s="291"/>
      <c r="L58" s="291"/>
      <c r="M58" s="294" t="s">
        <v>132</v>
      </c>
    </row>
    <row r="59" spans="1:13">
      <c r="A59" s="285" t="s">
        <v>92</v>
      </c>
      <c r="B59" s="296">
        <v>-4.011215</v>
      </c>
      <c r="C59" s="299"/>
      <c r="D59" s="288">
        <v>0.14124198841117799</v>
      </c>
      <c r="E59" s="289">
        <v>3</v>
      </c>
      <c r="F59" s="289">
        <v>53.5</v>
      </c>
      <c r="G59" s="290">
        <v>3.43</v>
      </c>
      <c r="H59" s="291">
        <f t="shared" si="0"/>
        <v>-3.2150000000000003</v>
      </c>
      <c r="I59" s="321" t="s">
        <v>133</v>
      </c>
      <c r="J59" s="322">
        <v>102</v>
      </c>
      <c r="K59" s="323"/>
      <c r="L59" s="291"/>
      <c r="M59" s="294" t="s">
        <v>134</v>
      </c>
    </row>
    <row r="60" spans="1:13">
      <c r="A60" s="285" t="s">
        <v>135</v>
      </c>
      <c r="B60" s="296">
        <v>-2.129108</v>
      </c>
      <c r="C60" s="299"/>
      <c r="D60" s="288">
        <v>0.170692818664089</v>
      </c>
      <c r="E60" s="289">
        <v>6</v>
      </c>
      <c r="F60" s="289">
        <v>270</v>
      </c>
      <c r="G60" s="290">
        <v>0.05</v>
      </c>
      <c r="H60" s="291">
        <f t="shared" si="0"/>
        <v>-2</v>
      </c>
      <c r="I60" s="321" t="s">
        <v>701</v>
      </c>
      <c r="J60" s="322">
        <v>12</v>
      </c>
      <c r="K60" s="304"/>
      <c r="L60" s="291"/>
      <c r="M60" s="294" t="s">
        <v>137</v>
      </c>
    </row>
    <row r="61" spans="1:13">
      <c r="A61" s="295" t="s">
        <v>138</v>
      </c>
      <c r="B61" s="296">
        <v>-1.3753784</v>
      </c>
      <c r="C61" s="299"/>
      <c r="D61" s="288">
        <v>0.206147596831632</v>
      </c>
      <c r="E61" s="289">
        <v>3</v>
      </c>
      <c r="F61" s="289">
        <v>143.75</v>
      </c>
      <c r="G61" s="290">
        <v>1.6</v>
      </c>
      <c r="H61" s="291">
        <f t="shared" si="0"/>
        <v>-2.2875000000000001</v>
      </c>
      <c r="I61" s="321" t="s">
        <v>139</v>
      </c>
      <c r="J61" s="322">
        <f>COUNTA(A23:A122)</f>
        <v>100</v>
      </c>
      <c r="K61" s="304"/>
      <c r="L61" s="291"/>
      <c r="M61" s="294" t="s">
        <v>140</v>
      </c>
    </row>
    <row r="62" spans="1:13">
      <c r="A62" s="285" t="s">
        <v>141</v>
      </c>
      <c r="B62" s="296">
        <v>-3.4501233</v>
      </c>
      <c r="C62" s="299"/>
      <c r="D62" s="288">
        <v>0.180214226227635</v>
      </c>
      <c r="E62" s="289">
        <v>5</v>
      </c>
      <c r="F62" s="289">
        <v>214.5</v>
      </c>
      <c r="G62" s="290">
        <v>3.61</v>
      </c>
      <c r="H62" s="291">
        <f t="shared" si="0"/>
        <v>-5.0049999999999999</v>
      </c>
      <c r="I62" s="291"/>
      <c r="J62" s="291"/>
      <c r="K62" s="291"/>
      <c r="L62" s="291"/>
      <c r="M62" s="294" t="s">
        <v>142</v>
      </c>
    </row>
    <row r="63" spans="1:13">
      <c r="A63" s="295" t="s">
        <v>143</v>
      </c>
      <c r="B63" s="296">
        <v>-3.7709283999999998</v>
      </c>
      <c r="C63" s="299"/>
      <c r="D63" s="288">
        <v>0.19225415374507401</v>
      </c>
      <c r="E63" s="289">
        <v>8</v>
      </c>
      <c r="F63" s="289">
        <v>255.3</v>
      </c>
      <c r="G63" s="290">
        <v>3.82</v>
      </c>
      <c r="H63" s="291">
        <f t="shared" si="0"/>
        <v>-5.6230000000000002</v>
      </c>
      <c r="I63" s="324" t="s">
        <v>144</v>
      </c>
      <c r="J63" s="307"/>
      <c r="K63" s="307"/>
      <c r="L63" s="308"/>
      <c r="M63" s="294" t="s">
        <v>145</v>
      </c>
    </row>
    <row r="64" spans="1:13">
      <c r="A64" s="295" t="s">
        <v>146</v>
      </c>
      <c r="B64" s="296">
        <v>-3.8076910000000002</v>
      </c>
      <c r="C64" s="299"/>
      <c r="D64" s="288">
        <v>0.17</v>
      </c>
      <c r="E64" s="289">
        <v>3</v>
      </c>
      <c r="F64" s="289">
        <v>189</v>
      </c>
      <c r="G64" s="290">
        <v>1.34</v>
      </c>
      <c r="H64" s="291">
        <f t="shared" si="0"/>
        <v>-2.4800000000000004</v>
      </c>
      <c r="I64" s="310" t="s">
        <v>702</v>
      </c>
      <c r="J64" s="311" t="s">
        <v>703</v>
      </c>
      <c r="K64" s="311" t="s">
        <v>704</v>
      </c>
      <c r="L64" s="312" t="s">
        <v>705</v>
      </c>
      <c r="M64" s="294" t="s">
        <v>148</v>
      </c>
    </row>
    <row r="65" spans="1:13">
      <c r="A65" s="295" t="s">
        <v>149</v>
      </c>
      <c r="B65" s="296">
        <v>-5.7482623999999998</v>
      </c>
      <c r="C65" s="299"/>
      <c r="D65" s="288">
        <v>0.19794493160510701</v>
      </c>
      <c r="E65" s="289">
        <v>4</v>
      </c>
      <c r="F65" s="289">
        <v>243.5</v>
      </c>
      <c r="G65" s="290">
        <v>1.34</v>
      </c>
      <c r="H65" s="291">
        <f t="shared" si="0"/>
        <v>-3.0250000000000004</v>
      </c>
      <c r="I65" s="313"/>
      <c r="J65" s="314" t="s">
        <v>706</v>
      </c>
      <c r="K65" s="314"/>
      <c r="L65" s="316"/>
      <c r="M65" s="294" t="s">
        <v>151</v>
      </c>
    </row>
    <row r="66" spans="1:13" ht="14" customHeight="1">
      <c r="A66" s="285" t="s">
        <v>95</v>
      </c>
      <c r="B66" s="296">
        <v>-0.41997122999999997</v>
      </c>
      <c r="C66" s="299"/>
      <c r="D66" s="288">
        <v>0.210560990742934</v>
      </c>
      <c r="E66" s="289">
        <v>3</v>
      </c>
      <c r="F66" s="289">
        <v>36.5</v>
      </c>
      <c r="G66" s="290">
        <v>2.74</v>
      </c>
      <c r="H66" s="291">
        <f t="shared" si="0"/>
        <v>-2.3550000000000004</v>
      </c>
      <c r="I66" s="869" t="s">
        <v>707</v>
      </c>
      <c r="J66" s="869"/>
      <c r="K66" s="869"/>
      <c r="L66" s="869"/>
      <c r="M66" s="294" t="s">
        <v>152</v>
      </c>
    </row>
    <row r="67" spans="1:13">
      <c r="A67" s="305" t="s">
        <v>153</v>
      </c>
      <c r="B67" s="296">
        <v>-4.2600850000000001</v>
      </c>
      <c r="C67" s="299"/>
      <c r="D67" s="288">
        <v>0.21092434073951899</v>
      </c>
      <c r="E67" s="289">
        <v>10</v>
      </c>
      <c r="F67" s="289">
        <v>186</v>
      </c>
      <c r="G67" s="290">
        <v>3.4</v>
      </c>
      <c r="H67" s="291">
        <f t="shared" si="0"/>
        <v>-4.51</v>
      </c>
      <c r="I67" s="869"/>
      <c r="J67" s="869"/>
      <c r="K67" s="869"/>
      <c r="L67" s="869"/>
      <c r="M67" s="294" t="s">
        <v>154</v>
      </c>
    </row>
    <row r="68" spans="1:13">
      <c r="A68" s="285" t="s">
        <v>98</v>
      </c>
      <c r="B68" s="296">
        <v>-4.011215</v>
      </c>
      <c r="C68" s="299"/>
      <c r="D68" s="288">
        <v>0.18695478693957199</v>
      </c>
      <c r="E68" s="289">
        <v>3</v>
      </c>
      <c r="F68" s="289">
        <v>253</v>
      </c>
      <c r="G68" s="290">
        <v>2.35</v>
      </c>
      <c r="H68" s="291">
        <f t="shared" si="0"/>
        <v>-4.1300000000000008</v>
      </c>
      <c r="I68" s="869"/>
      <c r="J68" s="869"/>
      <c r="K68" s="869"/>
      <c r="L68" s="869"/>
      <c r="M68" s="294" t="s">
        <v>155</v>
      </c>
    </row>
    <row r="69" spans="1:13">
      <c r="A69" s="305" t="s">
        <v>156</v>
      </c>
      <c r="B69" s="296">
        <v>-4.2310157000000004</v>
      </c>
      <c r="C69" s="299"/>
      <c r="D69" s="288">
        <v>0.20491085989689101</v>
      </c>
      <c r="E69" s="289">
        <v>23</v>
      </c>
      <c r="F69" s="289">
        <v>111</v>
      </c>
      <c r="G69" s="290">
        <v>3.68</v>
      </c>
      <c r="H69" s="291">
        <f t="shared" si="0"/>
        <v>-4.04</v>
      </c>
      <c r="I69" s="869"/>
      <c r="J69" s="869"/>
      <c r="K69" s="869"/>
      <c r="L69" s="869"/>
      <c r="M69" s="294" t="s">
        <v>157</v>
      </c>
    </row>
    <row r="70" spans="1:13">
      <c r="A70" s="285" t="s">
        <v>158</v>
      </c>
      <c r="B70" s="296">
        <v>-5.2367796999999996</v>
      </c>
      <c r="C70" s="299"/>
      <c r="D70" s="288">
        <v>0.15545016183846899</v>
      </c>
      <c r="E70" s="289">
        <v>6</v>
      </c>
      <c r="F70" s="289">
        <v>250</v>
      </c>
      <c r="G70" s="290">
        <v>-0.04</v>
      </c>
      <c r="H70" s="291">
        <f t="shared" si="0"/>
        <v>-1.71</v>
      </c>
      <c r="I70" s="869"/>
      <c r="J70" s="869"/>
      <c r="K70" s="869"/>
      <c r="L70" s="869"/>
      <c r="M70" s="294" t="s">
        <v>159</v>
      </c>
    </row>
    <row r="71" spans="1:13">
      <c r="A71" s="295" t="s">
        <v>160</v>
      </c>
      <c r="B71" s="296">
        <v>-3.5539985000000001</v>
      </c>
      <c r="C71" s="299"/>
      <c r="D71" s="288">
        <v>0.13261436390895101</v>
      </c>
      <c r="E71" s="289">
        <v>3</v>
      </c>
      <c r="F71" s="289">
        <v>250</v>
      </c>
      <c r="G71" s="290">
        <v>-1.97</v>
      </c>
      <c r="H71" s="291">
        <f t="shared" si="0"/>
        <v>0.21999999999999975</v>
      </c>
      <c r="I71" s="869"/>
      <c r="J71" s="869"/>
      <c r="K71" s="869"/>
      <c r="L71" s="869"/>
      <c r="M71" s="294" t="s">
        <v>161</v>
      </c>
    </row>
    <row r="72" spans="1:13">
      <c r="A72" s="295" t="s">
        <v>162</v>
      </c>
      <c r="B72" s="296">
        <v>-5.4251069999999997</v>
      </c>
      <c r="C72" s="299"/>
      <c r="D72" s="288">
        <v>0.21159815676624999</v>
      </c>
      <c r="E72" s="289">
        <v>9</v>
      </c>
      <c r="F72" s="289">
        <v>208.5</v>
      </c>
      <c r="G72" s="290">
        <v>2.08</v>
      </c>
      <c r="H72" s="291">
        <f t="shared" si="0"/>
        <v>-3.415</v>
      </c>
      <c r="I72" s="869"/>
      <c r="J72" s="869"/>
      <c r="K72" s="869"/>
      <c r="L72" s="869"/>
      <c r="M72" s="294" t="s">
        <v>163</v>
      </c>
    </row>
    <row r="73" spans="1:13">
      <c r="A73" s="295" t="s">
        <v>164</v>
      </c>
      <c r="B73" s="296">
        <v>-3.2583354</v>
      </c>
      <c r="C73" s="299"/>
      <c r="D73" s="288">
        <v>0.19001512437058701</v>
      </c>
      <c r="E73" s="289">
        <v>15</v>
      </c>
      <c r="F73" s="289">
        <v>220</v>
      </c>
      <c r="G73" s="290">
        <v>2.69</v>
      </c>
      <c r="H73" s="291">
        <f t="shared" si="0"/>
        <v>-4.1399999999999997</v>
      </c>
      <c r="I73" s="869"/>
      <c r="J73" s="869"/>
      <c r="K73" s="869"/>
      <c r="L73" s="869"/>
      <c r="M73" s="294" t="s">
        <v>165</v>
      </c>
    </row>
    <row r="74" spans="1:13">
      <c r="A74" s="295" t="s">
        <v>166</v>
      </c>
      <c r="B74" s="296">
        <v>-4.31778</v>
      </c>
      <c r="C74" s="299"/>
      <c r="D74" s="288">
        <v>0.169781830230266</v>
      </c>
      <c r="E74" s="289">
        <v>10</v>
      </c>
      <c r="F74" s="289">
        <v>151</v>
      </c>
      <c r="G74" s="290">
        <v>4.43</v>
      </c>
      <c r="H74" s="291">
        <f t="shared" si="0"/>
        <v>-5.1899999999999995</v>
      </c>
      <c r="I74" s="869"/>
      <c r="J74" s="869"/>
      <c r="K74" s="869"/>
      <c r="L74" s="869"/>
      <c r="M74" s="294" t="s">
        <v>167</v>
      </c>
    </row>
    <row r="75" spans="1:13">
      <c r="A75" s="305" t="s">
        <v>100</v>
      </c>
      <c r="B75" s="296">
        <v>-4.8176860000000001</v>
      </c>
      <c r="C75" s="299"/>
      <c r="D75" s="288">
        <v>0.19416214604145601</v>
      </c>
      <c r="E75" s="289">
        <v>7</v>
      </c>
      <c r="F75" s="289">
        <v>154.5</v>
      </c>
      <c r="G75" s="290">
        <v>4.22</v>
      </c>
      <c r="H75" s="291">
        <f t="shared" si="0"/>
        <v>-5.0149999999999997</v>
      </c>
      <c r="I75" s="869"/>
      <c r="J75" s="869"/>
      <c r="K75" s="869"/>
      <c r="L75" s="869"/>
      <c r="M75" s="294" t="s">
        <v>168</v>
      </c>
    </row>
    <row r="76" spans="1:13">
      <c r="A76" s="295" t="s">
        <v>169</v>
      </c>
      <c r="B76" s="296">
        <v>-4.3890979999999997</v>
      </c>
      <c r="C76" s="299"/>
      <c r="D76" s="288">
        <v>0.16048013551961601</v>
      </c>
      <c r="E76" s="289">
        <v>5</v>
      </c>
      <c r="F76" s="289">
        <v>167.75</v>
      </c>
      <c r="G76" s="290">
        <v>2.87</v>
      </c>
      <c r="H76" s="291">
        <f t="shared" si="0"/>
        <v>-3.7975000000000003</v>
      </c>
      <c r="I76" s="869"/>
      <c r="J76" s="869"/>
      <c r="K76" s="869"/>
      <c r="L76" s="869"/>
      <c r="M76" s="294" t="s">
        <v>170</v>
      </c>
    </row>
    <row r="77" spans="1:13">
      <c r="A77" s="295" t="s">
        <v>171</v>
      </c>
      <c r="B77" s="296">
        <v>-5.1203456000000003</v>
      </c>
      <c r="C77" s="299"/>
      <c r="D77" s="288">
        <v>0.22239504833634899</v>
      </c>
      <c r="E77" s="289">
        <v>21</v>
      </c>
      <c r="F77" s="289">
        <v>159</v>
      </c>
      <c r="G77" s="290">
        <v>3.93</v>
      </c>
      <c r="H77" s="291">
        <f t="shared" si="0"/>
        <v>-4.7700000000000005</v>
      </c>
      <c r="I77" s="869"/>
      <c r="J77" s="869"/>
      <c r="K77" s="869"/>
      <c r="L77" s="869"/>
      <c r="M77" s="294" t="s">
        <v>172</v>
      </c>
    </row>
    <row r="78" spans="1:13">
      <c r="A78" s="295" t="s">
        <v>173</v>
      </c>
      <c r="B78" s="296">
        <v>-4.6932573</v>
      </c>
      <c r="C78" s="299"/>
      <c r="D78" s="288">
        <v>0.21209434799218399</v>
      </c>
      <c r="E78" s="289">
        <v>5</v>
      </c>
      <c r="F78" s="289">
        <v>213.5</v>
      </c>
      <c r="G78" s="290">
        <v>3.04</v>
      </c>
      <c r="H78" s="291">
        <f t="shared" si="0"/>
        <v>-4.4249999999999998</v>
      </c>
      <c r="I78" s="313"/>
      <c r="J78" s="314"/>
      <c r="K78" s="314"/>
      <c r="L78" s="316"/>
      <c r="M78" s="294" t="s">
        <v>174</v>
      </c>
    </row>
    <row r="79" spans="1:13">
      <c r="A79" s="295" t="s">
        <v>175</v>
      </c>
      <c r="B79" s="296">
        <v>-3.6292480999999999</v>
      </c>
      <c r="C79" s="299"/>
      <c r="D79" s="288">
        <v>0.14072241564069299</v>
      </c>
      <c r="E79" s="289">
        <v>11</v>
      </c>
      <c r="F79" s="289">
        <v>146</v>
      </c>
      <c r="G79" s="290">
        <v>4.21</v>
      </c>
      <c r="H79" s="291">
        <f t="shared" si="0"/>
        <v>-4.92</v>
      </c>
      <c r="I79" s="313"/>
      <c r="J79" s="314"/>
      <c r="K79" s="314"/>
      <c r="L79" s="316"/>
      <c r="M79" s="294" t="s">
        <v>176</v>
      </c>
    </row>
    <row r="80" spans="1:13">
      <c r="A80" s="295" t="s">
        <v>177</v>
      </c>
      <c r="B80" s="296">
        <v>-4.9179773000000004</v>
      </c>
      <c r="C80" s="299"/>
      <c r="D80" s="288">
        <v>0.21748916450754399</v>
      </c>
      <c r="E80" s="289">
        <v>5</v>
      </c>
      <c r="F80" s="289">
        <v>92.3333333333333</v>
      </c>
      <c r="G80" s="290">
        <v>4.21</v>
      </c>
      <c r="H80" s="291">
        <f t="shared" si="0"/>
        <v>-4.3833333333333329</v>
      </c>
      <c r="I80" s="313"/>
      <c r="J80" s="314"/>
      <c r="K80" s="314"/>
      <c r="L80" s="316"/>
      <c r="M80" s="294" t="s">
        <v>178</v>
      </c>
    </row>
    <row r="81" spans="1:13">
      <c r="A81" s="285" t="s">
        <v>179</v>
      </c>
      <c r="B81" s="296">
        <v>-3.9637932999999999</v>
      </c>
      <c r="C81" s="299"/>
      <c r="D81" s="288">
        <v>0.20531013145176399</v>
      </c>
      <c r="E81" s="289">
        <v>8</v>
      </c>
      <c r="F81" s="289">
        <v>256</v>
      </c>
      <c r="G81" s="290">
        <v>2.71</v>
      </c>
      <c r="H81" s="291">
        <f t="shared" si="0"/>
        <v>-4.5199999999999996</v>
      </c>
      <c r="I81" s="313"/>
      <c r="J81" s="314"/>
      <c r="K81" s="314"/>
      <c r="L81" s="316"/>
      <c r="M81" s="294" t="s">
        <v>180</v>
      </c>
    </row>
    <row r="82" spans="1:13">
      <c r="A82" s="285" t="s">
        <v>181</v>
      </c>
      <c r="B82" s="296">
        <v>-4.3141813000000004</v>
      </c>
      <c r="C82" s="299"/>
      <c r="D82" s="288">
        <v>0.211767851422238</v>
      </c>
      <c r="E82" s="289">
        <v>3</v>
      </c>
      <c r="F82" s="289">
        <v>80</v>
      </c>
      <c r="G82" s="290">
        <v>3.37</v>
      </c>
      <c r="H82" s="291">
        <f t="shared" si="0"/>
        <v>-3.42</v>
      </c>
      <c r="I82" s="313"/>
      <c r="J82" s="314"/>
      <c r="K82" s="314"/>
      <c r="L82" s="316"/>
      <c r="M82" s="294" t="s">
        <v>182</v>
      </c>
    </row>
    <row r="83" spans="1:13">
      <c r="A83" s="285" t="s">
        <v>183</v>
      </c>
      <c r="B83" s="296">
        <v>-4.1650704999999997</v>
      </c>
      <c r="C83" s="299"/>
      <c r="D83" s="288">
        <v>0.16217657762412199</v>
      </c>
      <c r="E83" s="289">
        <v>17</v>
      </c>
      <c r="F83" s="289">
        <v>153</v>
      </c>
      <c r="G83" s="290">
        <v>3.04</v>
      </c>
      <c r="H83" s="291">
        <f t="shared" si="0"/>
        <v>-3.8200000000000003</v>
      </c>
      <c r="I83" s="313"/>
      <c r="J83" s="314"/>
      <c r="K83" s="314"/>
      <c r="L83" s="316"/>
      <c r="M83" s="294" t="s">
        <v>184</v>
      </c>
    </row>
    <row r="84" spans="1:13">
      <c r="A84" s="295" t="s">
        <v>185</v>
      </c>
      <c r="B84" s="296">
        <v>-5.7565499999999998</v>
      </c>
      <c r="C84" s="299"/>
      <c r="D84" s="288">
        <v>0.204488274966239</v>
      </c>
      <c r="E84" s="289">
        <v>3</v>
      </c>
      <c r="F84" s="289">
        <v>349.84</v>
      </c>
      <c r="G84" s="290">
        <v>4.75</v>
      </c>
      <c r="H84" s="291">
        <f t="shared" si="0"/>
        <v>-7.4984000000000002</v>
      </c>
      <c r="I84" s="313"/>
      <c r="J84" s="314"/>
      <c r="K84" s="314"/>
      <c r="L84" s="316"/>
      <c r="M84" s="294" t="s">
        <v>186</v>
      </c>
    </row>
    <row r="85" spans="1:13">
      <c r="A85" s="295" t="s">
        <v>187</v>
      </c>
      <c r="B85" s="296">
        <v>-4.0420400000000001</v>
      </c>
      <c r="C85" s="299"/>
      <c r="D85" s="288">
        <v>0.14358294446577699</v>
      </c>
      <c r="E85" s="289">
        <v>6</v>
      </c>
      <c r="F85" s="289">
        <v>248</v>
      </c>
      <c r="G85" s="290">
        <v>2.65</v>
      </c>
      <c r="H85" s="291">
        <f t="shared" si="0"/>
        <v>-4.38</v>
      </c>
      <c r="I85" s="313"/>
      <c r="J85" s="314"/>
      <c r="K85" s="314"/>
      <c r="L85" s="316"/>
      <c r="M85" s="294" t="s">
        <v>188</v>
      </c>
    </row>
    <row r="86" spans="1:13">
      <c r="A86" s="295" t="s">
        <v>189</v>
      </c>
      <c r="B86" s="296">
        <v>-3.6476068000000001</v>
      </c>
      <c r="C86" s="299"/>
      <c r="D86" s="288">
        <v>0.153840969889913</v>
      </c>
      <c r="E86" s="289">
        <v>11</v>
      </c>
      <c r="F86" s="289">
        <v>173</v>
      </c>
      <c r="G86" s="290">
        <v>2.1800000000000002</v>
      </c>
      <c r="H86" s="291">
        <f t="shared" si="0"/>
        <v>-3.16</v>
      </c>
      <c r="I86" s="313"/>
      <c r="J86" s="314"/>
      <c r="K86" s="314"/>
      <c r="L86" s="316"/>
      <c r="M86" s="294" t="s">
        <v>190</v>
      </c>
    </row>
    <row r="87" spans="1:13">
      <c r="A87" s="295" t="s">
        <v>191</v>
      </c>
      <c r="B87" s="296">
        <v>-3.9280385999999998</v>
      </c>
      <c r="C87" s="299"/>
      <c r="D87" s="288">
        <v>0.14176528631434901</v>
      </c>
      <c r="E87" s="289">
        <v>5</v>
      </c>
      <c r="F87" s="289">
        <v>143.75</v>
      </c>
      <c r="G87" s="290">
        <v>2.76</v>
      </c>
      <c r="H87" s="291">
        <f t="shared" ref="H87:H122" si="1">0.5-G87-0.01*(F87-25)</f>
        <v>-3.4474999999999998</v>
      </c>
      <c r="I87" s="313"/>
      <c r="J87" s="314"/>
      <c r="K87" s="314"/>
      <c r="L87" s="316"/>
      <c r="M87" s="294" t="s">
        <v>192</v>
      </c>
    </row>
    <row r="88" spans="1:13">
      <c r="A88" s="295" t="s">
        <v>193</v>
      </c>
      <c r="B88" s="296">
        <v>-2.7994075</v>
      </c>
      <c r="C88" s="299"/>
      <c r="D88" s="288">
        <v>0.16213928191469301</v>
      </c>
      <c r="E88" s="289">
        <v>19</v>
      </c>
      <c r="F88" s="289">
        <v>220.5</v>
      </c>
      <c r="G88" s="290">
        <v>1.27</v>
      </c>
      <c r="H88" s="291">
        <f t="shared" si="1"/>
        <v>-2.7250000000000001</v>
      </c>
      <c r="I88" s="313"/>
      <c r="J88" s="314"/>
      <c r="K88" s="314"/>
      <c r="L88" s="316"/>
      <c r="M88" s="294" t="s">
        <v>194</v>
      </c>
    </row>
    <row r="89" spans="1:13">
      <c r="A89" s="295" t="s">
        <v>195</v>
      </c>
      <c r="B89" s="296">
        <v>-4.1358414000000003</v>
      </c>
      <c r="C89" s="299"/>
      <c r="D89" s="288">
        <v>0.16127920198135701</v>
      </c>
      <c r="E89" s="289">
        <v>5</v>
      </c>
      <c r="F89" s="289">
        <v>214</v>
      </c>
      <c r="G89" s="290">
        <v>3.83</v>
      </c>
      <c r="H89" s="291">
        <f t="shared" si="1"/>
        <v>-5.2200000000000006</v>
      </c>
      <c r="I89" s="313"/>
      <c r="J89" s="314"/>
      <c r="K89" s="314"/>
      <c r="L89" s="316"/>
      <c r="M89" s="294" t="s">
        <v>196</v>
      </c>
    </row>
    <row r="90" spans="1:13">
      <c r="A90" s="305" t="s">
        <v>197</v>
      </c>
      <c r="B90" s="296">
        <v>-3.8733509000000002</v>
      </c>
      <c r="C90" s="299"/>
      <c r="D90" s="288">
        <v>0.13869006117838001</v>
      </c>
      <c r="E90" s="289">
        <v>3</v>
      </c>
      <c r="F90" s="289">
        <v>176</v>
      </c>
      <c r="G90" s="290">
        <v>2.88</v>
      </c>
      <c r="H90" s="291">
        <f t="shared" si="1"/>
        <v>-3.8899999999999997</v>
      </c>
      <c r="I90" s="313"/>
      <c r="J90" s="314"/>
      <c r="K90" s="314"/>
      <c r="L90" s="316"/>
      <c r="M90" s="294" t="s">
        <v>198</v>
      </c>
    </row>
    <row r="91" spans="1:13">
      <c r="A91" s="285" t="s">
        <v>199</v>
      </c>
      <c r="B91" s="296">
        <v>-3.3532335999999998</v>
      </c>
      <c r="C91" s="299"/>
      <c r="D91" s="288">
        <v>0.12598340861886001</v>
      </c>
      <c r="E91" s="289">
        <v>14</v>
      </c>
      <c r="F91" s="289">
        <v>253.5</v>
      </c>
      <c r="G91" s="290">
        <v>1.54</v>
      </c>
      <c r="H91" s="291">
        <f t="shared" si="1"/>
        <v>-3.3250000000000002</v>
      </c>
      <c r="I91" s="313"/>
      <c r="J91" s="314"/>
      <c r="K91" s="314"/>
      <c r="L91" s="316"/>
      <c r="M91" s="294" t="s">
        <v>200</v>
      </c>
    </row>
    <row r="92" spans="1:13">
      <c r="A92" s="295" t="s">
        <v>201</v>
      </c>
      <c r="B92" s="296">
        <v>-3.9035419999999998</v>
      </c>
      <c r="C92" s="299"/>
      <c r="D92" s="288">
        <v>0.16504944177542499</v>
      </c>
      <c r="E92" s="289">
        <v>5</v>
      </c>
      <c r="F92" s="289">
        <v>205.5</v>
      </c>
      <c r="G92" s="290">
        <v>2.4500000000000002</v>
      </c>
      <c r="H92" s="291">
        <f t="shared" si="1"/>
        <v>-3.7549999999999999</v>
      </c>
      <c r="I92" s="313"/>
      <c r="J92" s="314"/>
      <c r="K92" s="314"/>
      <c r="L92" s="316"/>
      <c r="M92" s="294" t="s">
        <v>202</v>
      </c>
    </row>
    <row r="93" spans="1:13">
      <c r="A93" s="305" t="s">
        <v>203</v>
      </c>
      <c r="B93" s="296">
        <v>-4.0749396999999998</v>
      </c>
      <c r="C93" s="299"/>
      <c r="D93" s="288">
        <v>0.19426266518058299</v>
      </c>
      <c r="E93" s="289">
        <v>3</v>
      </c>
      <c r="F93" s="289">
        <v>96</v>
      </c>
      <c r="G93" s="290">
        <v>3.49</v>
      </c>
      <c r="H93" s="291">
        <f t="shared" si="1"/>
        <v>-3.7</v>
      </c>
      <c r="I93" s="313"/>
      <c r="J93" s="314"/>
      <c r="K93" s="314"/>
      <c r="L93" s="316"/>
      <c r="M93" s="294" t="s">
        <v>204</v>
      </c>
    </row>
    <row r="94" spans="1:13">
      <c r="A94" s="295" t="s">
        <v>205</v>
      </c>
      <c r="B94" s="296">
        <v>-4.4981036000000003</v>
      </c>
      <c r="C94" s="299"/>
      <c r="D94" s="288">
        <v>0.188943371497371</v>
      </c>
      <c r="E94" s="289">
        <v>12</v>
      </c>
      <c r="F94" s="289">
        <v>147.25</v>
      </c>
      <c r="G94" s="290">
        <v>3.86</v>
      </c>
      <c r="H94" s="291">
        <f t="shared" si="1"/>
        <v>-4.5824999999999996</v>
      </c>
      <c r="I94" s="313"/>
      <c r="J94" s="314"/>
      <c r="K94" s="314"/>
      <c r="L94" s="316"/>
      <c r="M94" s="294" t="s">
        <v>206</v>
      </c>
    </row>
    <row r="95" spans="1:13">
      <c r="A95" s="295" t="s">
        <v>207</v>
      </c>
      <c r="B95" s="296">
        <v>-4.6139956</v>
      </c>
      <c r="C95" s="299"/>
      <c r="D95" s="288">
        <v>0.17391407185160301</v>
      </c>
      <c r="E95" s="289">
        <v>6</v>
      </c>
      <c r="F95" s="289">
        <v>97</v>
      </c>
      <c r="G95" s="290">
        <v>3.94</v>
      </c>
      <c r="H95" s="291">
        <f t="shared" si="1"/>
        <v>-4.16</v>
      </c>
      <c r="I95" s="313"/>
      <c r="J95" s="314"/>
      <c r="K95" s="314"/>
      <c r="L95" s="316"/>
      <c r="M95" s="294" t="s">
        <v>208</v>
      </c>
    </row>
    <row r="96" spans="1:13">
      <c r="A96" s="285" t="s">
        <v>209</v>
      </c>
      <c r="B96" s="296">
        <v>-2.5164765999999998</v>
      </c>
      <c r="C96" s="299"/>
      <c r="D96" s="288">
        <v>0.13764369691033701</v>
      </c>
      <c r="E96" s="289">
        <v>10</v>
      </c>
      <c r="F96" s="289">
        <v>134.5</v>
      </c>
      <c r="G96" s="290">
        <v>2.04</v>
      </c>
      <c r="H96" s="291">
        <f t="shared" si="1"/>
        <v>-2.6349999999999998</v>
      </c>
      <c r="I96" s="313"/>
      <c r="J96" s="314"/>
      <c r="K96" s="314"/>
      <c r="L96" s="316"/>
      <c r="M96" s="294" t="s">
        <v>210</v>
      </c>
    </row>
    <row r="97" spans="1:13">
      <c r="A97" s="295" t="s">
        <v>211</v>
      </c>
      <c r="B97" s="296">
        <v>-4.2622476000000002</v>
      </c>
      <c r="C97" s="299"/>
      <c r="D97" s="288">
        <v>0.162457468885915</v>
      </c>
      <c r="E97" s="289">
        <v>7</v>
      </c>
      <c r="F97" s="289">
        <v>139</v>
      </c>
      <c r="G97" s="290">
        <v>2.66</v>
      </c>
      <c r="H97" s="291">
        <f t="shared" si="1"/>
        <v>-3.3000000000000003</v>
      </c>
      <c r="I97" s="313"/>
      <c r="J97" s="314"/>
      <c r="K97" s="314"/>
      <c r="L97" s="316"/>
      <c r="M97" s="294" t="s">
        <v>212</v>
      </c>
    </row>
    <row r="98" spans="1:13">
      <c r="A98" s="295" t="s">
        <v>213</v>
      </c>
      <c r="B98" s="296">
        <v>-4.0636159999999997</v>
      </c>
      <c r="C98" s="299"/>
      <c r="D98" s="288">
        <v>0.15322122505052199</v>
      </c>
      <c r="E98" s="289">
        <v>9</v>
      </c>
      <c r="F98" s="289">
        <v>170</v>
      </c>
      <c r="G98" s="290">
        <v>1.91</v>
      </c>
      <c r="H98" s="291">
        <f t="shared" si="1"/>
        <v>-2.86</v>
      </c>
      <c r="I98" s="313"/>
      <c r="J98" s="314"/>
      <c r="K98" s="314"/>
      <c r="L98" s="316"/>
      <c r="M98" s="294" t="s">
        <v>214</v>
      </c>
    </row>
    <row r="99" spans="1:13">
      <c r="A99" s="285" t="s">
        <v>215</v>
      </c>
      <c r="B99" s="296">
        <v>-8.6619060000000001</v>
      </c>
      <c r="C99" s="299"/>
      <c r="D99" s="288">
        <v>0.15273607916541099</v>
      </c>
      <c r="E99" s="289">
        <v>10</v>
      </c>
      <c r="F99" s="289">
        <v>326</v>
      </c>
      <c r="G99" s="290">
        <v>2.44</v>
      </c>
      <c r="H99" s="291">
        <f t="shared" si="1"/>
        <v>-4.95</v>
      </c>
      <c r="I99" s="313"/>
      <c r="J99" s="314"/>
      <c r="K99" s="314"/>
      <c r="L99" s="316"/>
      <c r="M99" s="294" t="s">
        <v>216</v>
      </c>
    </row>
    <row r="100" spans="1:13">
      <c r="A100" s="295" t="s">
        <v>217</v>
      </c>
      <c r="B100" s="296">
        <v>-3.3573092999999998</v>
      </c>
      <c r="C100" s="299"/>
      <c r="D100" s="288">
        <v>0.184047015121025</v>
      </c>
      <c r="E100" s="289">
        <v>5</v>
      </c>
      <c r="F100" s="289">
        <v>232.5</v>
      </c>
      <c r="G100" s="290">
        <v>1.8</v>
      </c>
      <c r="H100" s="291">
        <f t="shared" si="1"/>
        <v>-3.375</v>
      </c>
      <c r="I100" s="313"/>
      <c r="J100" s="314"/>
      <c r="K100" s="314"/>
      <c r="L100" s="316"/>
      <c r="M100" s="294" t="s">
        <v>218</v>
      </c>
    </row>
    <row r="101" spans="1:13">
      <c r="A101" s="295" t="s">
        <v>219</v>
      </c>
      <c r="B101" s="296">
        <v>-1.6699474000000001</v>
      </c>
      <c r="C101" s="299"/>
      <c r="D101" s="288">
        <v>0.13604063752604401</v>
      </c>
      <c r="E101" s="289">
        <v>4</v>
      </c>
      <c r="F101" s="289">
        <v>281.5</v>
      </c>
      <c r="G101" s="290">
        <v>0.54</v>
      </c>
      <c r="H101" s="291">
        <f t="shared" si="1"/>
        <v>-2.605</v>
      </c>
      <c r="I101" s="313"/>
      <c r="J101" s="314"/>
      <c r="K101" s="314"/>
      <c r="L101" s="316"/>
      <c r="M101" s="294" t="s">
        <v>220</v>
      </c>
    </row>
    <row r="102" spans="1:13">
      <c r="A102" s="295" t="s">
        <v>221</v>
      </c>
      <c r="B102" s="296">
        <v>-5.6234183</v>
      </c>
      <c r="C102" s="299"/>
      <c r="D102" s="288">
        <v>0.19798964803022501</v>
      </c>
      <c r="E102" s="289">
        <v>4</v>
      </c>
      <c r="F102" s="289">
        <v>197.1</v>
      </c>
      <c r="G102" s="290">
        <v>2.2000000000000002</v>
      </c>
      <c r="H102" s="291">
        <f t="shared" si="1"/>
        <v>-3.4210000000000003</v>
      </c>
      <c r="I102" s="313"/>
      <c r="J102" s="314"/>
      <c r="K102" s="314"/>
      <c r="L102" s="316"/>
      <c r="M102" s="294" t="s">
        <v>222</v>
      </c>
    </row>
    <row r="103" spans="1:13">
      <c r="A103" s="305" t="s">
        <v>223</v>
      </c>
      <c r="B103" s="296">
        <v>-4.1487226000000001</v>
      </c>
      <c r="C103" s="299"/>
      <c r="D103" s="288">
        <v>0.13486720020739101</v>
      </c>
      <c r="E103" s="289">
        <v>4</v>
      </c>
      <c r="F103" s="289">
        <v>33</v>
      </c>
      <c r="G103" s="290">
        <v>4.24</v>
      </c>
      <c r="H103" s="291">
        <f t="shared" si="1"/>
        <v>-3.8200000000000003</v>
      </c>
      <c r="I103" s="313"/>
      <c r="J103" s="314"/>
      <c r="K103" s="314"/>
      <c r="L103" s="316"/>
      <c r="M103" s="294" t="s">
        <v>224</v>
      </c>
    </row>
    <row r="104" spans="1:13">
      <c r="A104" s="295" t="s">
        <v>225</v>
      </c>
      <c r="B104" s="296">
        <v>-4.4279165000000003</v>
      </c>
      <c r="C104" s="299"/>
      <c r="D104" s="288">
        <v>0.188012747606043</v>
      </c>
      <c r="E104" s="289">
        <v>11</v>
      </c>
      <c r="F104" s="289">
        <v>60</v>
      </c>
      <c r="G104" s="290">
        <v>4.24</v>
      </c>
      <c r="H104" s="291">
        <f t="shared" si="1"/>
        <v>-4.09</v>
      </c>
      <c r="I104" s="313"/>
      <c r="J104" s="314"/>
      <c r="K104" s="314"/>
      <c r="L104" s="316"/>
      <c r="M104" s="294" t="s">
        <v>226</v>
      </c>
    </row>
    <row r="105" spans="1:13">
      <c r="A105" s="295" t="s">
        <v>227</v>
      </c>
      <c r="B105" s="296">
        <v>-5.1038540000000001</v>
      </c>
      <c r="C105" s="299"/>
      <c r="D105" s="288">
        <v>0.16640140742242099</v>
      </c>
      <c r="E105" s="289">
        <v>4</v>
      </c>
      <c r="F105" s="289">
        <v>130.5</v>
      </c>
      <c r="G105" s="290">
        <v>5.22</v>
      </c>
      <c r="H105" s="291">
        <f t="shared" si="1"/>
        <v>-5.7749999999999995</v>
      </c>
      <c r="I105" s="313"/>
      <c r="J105" s="314"/>
      <c r="K105" s="314"/>
      <c r="L105" s="316"/>
      <c r="M105" s="294" t="s">
        <v>228</v>
      </c>
    </row>
    <row r="106" spans="1:13">
      <c r="A106" s="305" t="s">
        <v>103</v>
      </c>
      <c r="B106" s="296">
        <v>-3.7113754999999999</v>
      </c>
      <c r="C106" s="299"/>
      <c r="D106" s="288">
        <v>0.17506472136099999</v>
      </c>
      <c r="E106" s="289">
        <v>7</v>
      </c>
      <c r="F106" s="289">
        <v>254</v>
      </c>
      <c r="G106" s="290">
        <v>2.97</v>
      </c>
      <c r="H106" s="291">
        <f t="shared" si="1"/>
        <v>-4.76</v>
      </c>
      <c r="I106" s="313"/>
      <c r="J106" s="314"/>
      <c r="K106" s="314"/>
      <c r="L106" s="316"/>
      <c r="M106" s="294" t="s">
        <v>229</v>
      </c>
    </row>
    <row r="107" spans="1:13">
      <c r="A107" s="305" t="s">
        <v>230</v>
      </c>
      <c r="B107" s="296">
        <v>-6.9309583000000003</v>
      </c>
      <c r="C107" s="299"/>
      <c r="D107" s="288">
        <v>0.160541646006926</v>
      </c>
      <c r="E107" s="289">
        <v>5</v>
      </c>
      <c r="F107" s="289">
        <v>121</v>
      </c>
      <c r="G107" s="290">
        <v>5.91</v>
      </c>
      <c r="H107" s="291">
        <f t="shared" si="1"/>
        <v>-6.37</v>
      </c>
      <c r="I107" s="313"/>
      <c r="J107" s="314"/>
      <c r="K107" s="314"/>
      <c r="L107" s="316"/>
      <c r="M107" s="294" t="s">
        <v>231</v>
      </c>
    </row>
    <row r="108" spans="1:13">
      <c r="A108" s="295" t="s">
        <v>232</v>
      </c>
      <c r="B108" s="296">
        <v>-4.0946600000000002</v>
      </c>
      <c r="C108" s="299"/>
      <c r="D108" s="288">
        <v>0.15756984748208799</v>
      </c>
      <c r="E108" s="289">
        <v>5</v>
      </c>
      <c r="F108" s="289">
        <v>207</v>
      </c>
      <c r="G108" s="290">
        <v>2.56</v>
      </c>
      <c r="H108" s="291">
        <f t="shared" si="1"/>
        <v>-3.88</v>
      </c>
      <c r="I108" s="313"/>
      <c r="J108" s="314"/>
      <c r="K108" s="314"/>
      <c r="L108" s="316"/>
      <c r="M108" s="294" t="s">
        <v>233</v>
      </c>
    </row>
    <row r="109" spans="1:13">
      <c r="A109" s="285" t="s">
        <v>234</v>
      </c>
      <c r="B109" s="296">
        <v>-6.4349384000000001</v>
      </c>
      <c r="C109" s="299"/>
      <c r="D109" s="288">
        <v>0.161603623531796</v>
      </c>
      <c r="E109" s="289">
        <v>6</v>
      </c>
      <c r="F109" s="289">
        <v>134.5</v>
      </c>
      <c r="G109" s="290">
        <v>4.8499999999999996</v>
      </c>
      <c r="H109" s="291">
        <f t="shared" si="1"/>
        <v>-5.4449999999999994</v>
      </c>
      <c r="I109" s="313"/>
      <c r="J109" s="314"/>
      <c r="K109" s="314"/>
      <c r="L109" s="316"/>
      <c r="M109" s="294" t="s">
        <v>235</v>
      </c>
    </row>
    <row r="110" spans="1:13">
      <c r="A110" s="285" t="s">
        <v>236</v>
      </c>
      <c r="B110" s="296">
        <v>-2.4244254000000001</v>
      </c>
      <c r="C110" s="299"/>
      <c r="D110" s="288">
        <v>0.18685765827674</v>
      </c>
      <c r="E110" s="289">
        <v>6</v>
      </c>
      <c r="F110" s="289">
        <v>275</v>
      </c>
      <c r="G110" s="290">
        <v>2.09</v>
      </c>
      <c r="H110" s="291">
        <f t="shared" si="1"/>
        <v>-4.09</v>
      </c>
      <c r="I110" s="313"/>
      <c r="J110" s="314"/>
      <c r="K110" s="314"/>
      <c r="L110" s="316"/>
      <c r="M110" s="294" t="s">
        <v>237</v>
      </c>
    </row>
    <row r="111" spans="1:13">
      <c r="A111" s="295" t="s">
        <v>238</v>
      </c>
      <c r="B111" s="296">
        <v>-4.335223</v>
      </c>
      <c r="C111" s="299"/>
      <c r="D111" s="288">
        <v>0.13950112944748699</v>
      </c>
      <c r="E111" s="289">
        <v>9</v>
      </c>
      <c r="F111" s="289">
        <v>220</v>
      </c>
      <c r="G111" s="290">
        <v>1.8</v>
      </c>
      <c r="H111" s="291">
        <f t="shared" si="1"/>
        <v>-3.25</v>
      </c>
      <c r="I111" s="313"/>
      <c r="J111" s="314"/>
      <c r="K111" s="314"/>
      <c r="L111" s="316"/>
      <c r="M111" s="294" t="s">
        <v>239</v>
      </c>
    </row>
    <row r="112" spans="1:13">
      <c r="A112" s="285" t="s">
        <v>240</v>
      </c>
      <c r="B112" s="296">
        <v>-4.011215</v>
      </c>
      <c r="C112" s="299"/>
      <c r="D112" s="288">
        <v>0.22014005046870999</v>
      </c>
      <c r="E112" s="289">
        <v>9</v>
      </c>
      <c r="F112" s="289">
        <v>202</v>
      </c>
      <c r="G112" s="290">
        <v>1.53</v>
      </c>
      <c r="H112" s="291">
        <f t="shared" si="1"/>
        <v>-2.8</v>
      </c>
      <c r="I112" s="313"/>
      <c r="J112" s="314"/>
      <c r="K112" s="314"/>
      <c r="L112" s="316"/>
      <c r="M112" s="294" t="s">
        <v>241</v>
      </c>
    </row>
    <row r="113" spans="1:28">
      <c r="A113" s="295" t="s">
        <v>242</v>
      </c>
      <c r="B113" s="296">
        <v>-4.011215</v>
      </c>
      <c r="C113" s="299"/>
      <c r="D113" s="288">
        <v>0.140140838794855</v>
      </c>
      <c r="E113" s="289">
        <v>3</v>
      </c>
      <c r="F113" s="289">
        <v>243</v>
      </c>
      <c r="G113" s="290">
        <v>1.48</v>
      </c>
      <c r="H113" s="291">
        <f t="shared" si="1"/>
        <v>-3.16</v>
      </c>
      <c r="I113" s="313"/>
      <c r="J113" s="314"/>
      <c r="K113" s="314"/>
      <c r="L113" s="316"/>
      <c r="M113" s="294" t="s">
        <v>243</v>
      </c>
    </row>
    <row r="114" spans="1:28">
      <c r="A114" s="305" t="s">
        <v>244</v>
      </c>
      <c r="B114" s="296">
        <v>-4.7321396</v>
      </c>
      <c r="C114" s="299"/>
      <c r="D114" s="288">
        <v>0.13726989684758001</v>
      </c>
      <c r="E114" s="289">
        <v>3</v>
      </c>
      <c r="F114" s="289">
        <v>191</v>
      </c>
      <c r="G114" s="290">
        <v>1.67</v>
      </c>
      <c r="H114" s="291">
        <f t="shared" si="1"/>
        <v>-2.83</v>
      </c>
      <c r="I114" s="313"/>
      <c r="J114" s="314"/>
      <c r="K114" s="314"/>
      <c r="L114" s="316"/>
      <c r="M114" s="294" t="s">
        <v>245</v>
      </c>
    </row>
    <row r="115" spans="1:28">
      <c r="A115" s="295" t="s">
        <v>246</v>
      </c>
      <c r="B115" s="296">
        <v>-4.5330729999999999</v>
      </c>
      <c r="C115" s="299"/>
      <c r="D115" s="288">
        <v>0.21357402153711499</v>
      </c>
      <c r="E115" s="289">
        <v>7</v>
      </c>
      <c r="F115" s="289">
        <v>183.5</v>
      </c>
      <c r="G115" s="290">
        <v>4.37</v>
      </c>
      <c r="H115" s="291">
        <f t="shared" si="1"/>
        <v>-5.4550000000000001</v>
      </c>
      <c r="I115" s="313"/>
      <c r="J115" s="314"/>
      <c r="K115" s="314"/>
      <c r="L115" s="316"/>
      <c r="M115" s="294" t="s">
        <v>247</v>
      </c>
    </row>
    <row r="116" spans="1:28">
      <c r="A116" s="295" t="s">
        <v>248</v>
      </c>
      <c r="B116" s="296">
        <v>-3.3836582000000002</v>
      </c>
      <c r="C116" s="299"/>
      <c r="D116" s="288">
        <v>0.105644111777479</v>
      </c>
      <c r="E116" s="289">
        <v>3</v>
      </c>
      <c r="F116" s="289">
        <v>149</v>
      </c>
      <c r="G116" s="290">
        <v>2.62</v>
      </c>
      <c r="H116" s="291">
        <f t="shared" si="1"/>
        <v>-3.3600000000000003</v>
      </c>
      <c r="I116" s="313"/>
      <c r="J116" s="314"/>
      <c r="K116" s="314"/>
      <c r="L116" s="316"/>
      <c r="M116" s="294" t="s">
        <v>249</v>
      </c>
    </row>
    <row r="117" spans="1:28">
      <c r="A117" s="285" t="s">
        <v>250</v>
      </c>
      <c r="B117" s="296">
        <v>-3.0067575</v>
      </c>
      <c r="C117" s="299"/>
      <c r="D117" s="288">
        <v>0.14623917640453399</v>
      </c>
      <c r="E117" s="289">
        <v>8</v>
      </c>
      <c r="F117" s="289">
        <v>165</v>
      </c>
      <c r="G117" s="290">
        <v>-0.37</v>
      </c>
      <c r="H117" s="291">
        <f t="shared" si="1"/>
        <v>-0.53000000000000014</v>
      </c>
      <c r="I117" s="313"/>
      <c r="J117" s="314"/>
      <c r="K117" s="314"/>
      <c r="L117" s="316"/>
      <c r="M117" s="294" t="s">
        <v>251</v>
      </c>
    </row>
    <row r="118" spans="1:28">
      <c r="A118" s="295" t="s">
        <v>252</v>
      </c>
      <c r="B118" s="296">
        <v>-1.9563553</v>
      </c>
      <c r="C118" s="299"/>
      <c r="D118" s="288">
        <v>0.16291639539032499</v>
      </c>
      <c r="E118" s="289">
        <v>10</v>
      </c>
      <c r="F118" s="289">
        <v>225</v>
      </c>
      <c r="G118" s="290">
        <v>0.81</v>
      </c>
      <c r="H118" s="291">
        <f t="shared" si="1"/>
        <v>-2.31</v>
      </c>
      <c r="I118" s="313"/>
      <c r="J118" s="314"/>
      <c r="K118" s="314"/>
      <c r="L118" s="316"/>
      <c r="M118" s="294" t="s">
        <v>253</v>
      </c>
    </row>
    <row r="119" spans="1:28">
      <c r="A119" s="295" t="s">
        <v>254</v>
      </c>
      <c r="B119" s="296">
        <v>-2.5105710000000001</v>
      </c>
      <c r="C119" s="299"/>
      <c r="D119" s="288">
        <v>0.211666473574778</v>
      </c>
      <c r="E119" s="289">
        <v>5</v>
      </c>
      <c r="F119" s="289">
        <v>270</v>
      </c>
      <c r="G119" s="290">
        <v>0.62</v>
      </c>
      <c r="H119" s="291">
        <f t="shared" si="1"/>
        <v>-2.5700000000000003</v>
      </c>
      <c r="I119" s="313"/>
      <c r="J119" s="314"/>
      <c r="K119" s="314"/>
      <c r="L119" s="316"/>
      <c r="M119" s="294" t="s">
        <v>255</v>
      </c>
    </row>
    <row r="120" spans="1:28">
      <c r="A120" s="285" t="s">
        <v>256</v>
      </c>
      <c r="B120" s="296">
        <v>-4.2590045999999999</v>
      </c>
      <c r="C120" s="299"/>
      <c r="D120" s="288">
        <v>0.14175650298978701</v>
      </c>
      <c r="E120" s="289">
        <v>9</v>
      </c>
      <c r="F120" s="289">
        <v>312.66666666666703</v>
      </c>
      <c r="G120" s="290">
        <v>0.83</v>
      </c>
      <c r="H120" s="291">
        <f t="shared" si="1"/>
        <v>-3.2066666666666706</v>
      </c>
      <c r="I120" s="313"/>
      <c r="J120" s="314"/>
      <c r="K120" s="314"/>
      <c r="L120" s="316"/>
      <c r="M120" s="294" t="s">
        <v>257</v>
      </c>
    </row>
    <row r="121" spans="1:28">
      <c r="A121" s="295" t="s">
        <v>258</v>
      </c>
      <c r="B121" s="296">
        <v>-4.8956337000000003</v>
      </c>
      <c r="C121" s="299"/>
      <c r="D121" s="288">
        <v>0.20346886353462401</v>
      </c>
      <c r="E121" s="289">
        <v>11</v>
      </c>
      <c r="F121" s="289">
        <v>161</v>
      </c>
      <c r="G121" s="290">
        <v>3.61</v>
      </c>
      <c r="H121" s="291">
        <f t="shared" si="1"/>
        <v>-4.47</v>
      </c>
      <c r="I121" s="313"/>
      <c r="J121" s="314"/>
      <c r="K121" s="314"/>
      <c r="L121" s="316"/>
      <c r="M121" s="294" t="s">
        <v>259</v>
      </c>
    </row>
    <row r="122" spans="1:28">
      <c r="A122" s="285" t="s">
        <v>109</v>
      </c>
      <c r="B122" s="296">
        <v>-1.4908760000000001</v>
      </c>
      <c r="C122" s="299"/>
      <c r="D122" s="288">
        <v>0.20579636821699801</v>
      </c>
      <c r="E122" s="289">
        <v>3</v>
      </c>
      <c r="F122" s="289">
        <v>300</v>
      </c>
      <c r="G122" s="290">
        <v>-1.06</v>
      </c>
      <c r="H122" s="291">
        <f t="shared" si="1"/>
        <v>-1.19</v>
      </c>
      <c r="I122" s="325"/>
      <c r="J122" s="319"/>
      <c r="K122" s="319"/>
      <c r="L122" s="320"/>
      <c r="M122" s="294" t="s">
        <v>260</v>
      </c>
    </row>
    <row r="123" spans="1:28">
      <c r="A123" s="294"/>
      <c r="C123" s="326" t="s">
        <v>261</v>
      </c>
      <c r="D123" s="327">
        <f>AVERAGE(D23:D122)</f>
        <v>0.17115851538193169</v>
      </c>
      <c r="E123" s="328"/>
      <c r="F123" s="329"/>
      <c r="G123" s="329"/>
      <c r="H123" s="330" t="s">
        <v>262</v>
      </c>
      <c r="I123" s="329"/>
      <c r="J123" s="290"/>
      <c r="K123" s="290"/>
      <c r="L123" s="290"/>
      <c r="M123" s="294"/>
    </row>
    <row r="124" spans="1:28">
      <c r="A124" s="294"/>
      <c r="C124" s="326" t="s">
        <v>263</v>
      </c>
      <c r="D124" s="327">
        <f>MIN(D23:D122)</f>
        <v>0.105644111777479</v>
      </c>
      <c r="E124" s="328"/>
      <c r="F124" s="329"/>
      <c r="G124" s="329"/>
      <c r="H124" s="330" t="s">
        <v>264</v>
      </c>
      <c r="I124" s="329"/>
      <c r="J124" s="290"/>
      <c r="K124" s="290"/>
      <c r="L124" s="290"/>
      <c r="M124" s="294"/>
    </row>
    <row r="125" spans="1:28">
      <c r="A125" s="294"/>
      <c r="C125" s="326" t="s">
        <v>265</v>
      </c>
      <c r="D125" s="327">
        <f>MAX(D23:D122)</f>
        <v>0.22239504833634899</v>
      </c>
      <c r="E125" s="328"/>
      <c r="F125" s="329"/>
      <c r="G125" s="329"/>
      <c r="H125" s="330"/>
      <c r="I125" s="329"/>
      <c r="J125" s="290"/>
      <c r="K125" s="290"/>
      <c r="L125" s="290"/>
      <c r="M125" s="294"/>
    </row>
    <row r="126" spans="1:28" s="244" customFormat="1">
      <c r="A126" s="331"/>
      <c r="B126" s="290"/>
      <c r="C126" s="290"/>
      <c r="D126" s="332"/>
      <c r="E126" s="290"/>
      <c r="F126" s="290"/>
      <c r="G126" s="290"/>
      <c r="H126" s="290"/>
      <c r="I126" s="290"/>
      <c r="J126" s="290"/>
      <c r="K126" s="290"/>
      <c r="L126" s="290"/>
      <c r="M126" s="294"/>
      <c r="N126" s="241"/>
      <c r="O126" s="241"/>
      <c r="P126" s="241"/>
      <c r="Q126" s="241"/>
      <c r="R126" s="241"/>
      <c r="S126" s="241"/>
      <c r="T126" s="241"/>
      <c r="U126" s="241"/>
      <c r="V126" s="241"/>
      <c r="W126" s="241"/>
      <c r="X126" s="241"/>
      <c r="Y126" s="241"/>
      <c r="Z126" s="241"/>
      <c r="AA126" s="241"/>
      <c r="AB126" s="241"/>
    </row>
    <row r="127" spans="1:28" s="276" customFormat="1" ht="32.25" customHeight="1" thickBot="1">
      <c r="A127" s="273" t="s">
        <v>708</v>
      </c>
      <c r="B127" s="332"/>
      <c r="C127" s="332"/>
      <c r="D127" s="332"/>
      <c r="E127" s="332"/>
      <c r="F127" s="332"/>
      <c r="G127" s="332"/>
      <c r="H127" s="332"/>
      <c r="I127" s="332"/>
      <c r="J127" s="332"/>
      <c r="K127" s="332"/>
      <c r="L127" s="332"/>
      <c r="M127" s="294"/>
      <c r="N127" s="244"/>
      <c r="O127" s="244"/>
      <c r="P127" s="244"/>
      <c r="Q127" s="244"/>
      <c r="R127" s="244"/>
      <c r="S127" s="244"/>
      <c r="T127" s="244"/>
      <c r="U127" s="244"/>
      <c r="V127" s="244"/>
      <c r="W127" s="244"/>
      <c r="X127" s="244"/>
      <c r="Y127" s="244"/>
      <c r="Z127" s="244"/>
      <c r="AA127" s="244"/>
      <c r="AB127" s="244"/>
    </row>
    <row r="128" spans="1:28" ht="43.5" customHeight="1" thickBot="1">
      <c r="A128" s="277" t="s">
        <v>18</v>
      </c>
      <c r="B128" s="278" t="s">
        <v>709</v>
      </c>
      <c r="C128" s="278" t="s">
        <v>696</v>
      </c>
      <c r="D128" s="278" t="s">
        <v>21</v>
      </c>
      <c r="E128" s="278" t="s">
        <v>22</v>
      </c>
      <c r="F128" s="278" t="s">
        <v>23</v>
      </c>
      <c r="G128" s="279" t="s">
        <v>697</v>
      </c>
      <c r="H128" s="279" t="s">
        <v>698</v>
      </c>
      <c r="I128" s="280"/>
      <c r="J128" s="281" t="s">
        <v>27</v>
      </c>
      <c r="K128" s="281"/>
      <c r="L128" s="281"/>
      <c r="M128" s="282" t="s">
        <v>28</v>
      </c>
      <c r="N128" s="283"/>
      <c r="O128" s="283"/>
      <c r="P128" s="283"/>
      <c r="Q128" s="283"/>
      <c r="R128" s="283"/>
      <c r="S128" s="283"/>
      <c r="T128" s="283"/>
      <c r="U128" s="283"/>
      <c r="V128" s="284"/>
      <c r="W128" s="276"/>
      <c r="X128" s="276"/>
      <c r="Y128" s="276"/>
      <c r="Z128" s="276"/>
      <c r="AA128" s="276"/>
      <c r="AB128" s="276"/>
    </row>
    <row r="129" spans="1:13">
      <c r="A129" s="295" t="s">
        <v>268</v>
      </c>
      <c r="B129" s="286">
        <v>-1.8485882</v>
      </c>
      <c r="C129" s="287" t="s">
        <v>30</v>
      </c>
      <c r="D129" s="288">
        <v>0.50033555401430196</v>
      </c>
      <c r="E129" s="289">
        <v>3</v>
      </c>
      <c r="F129" s="289">
        <v>180</v>
      </c>
      <c r="G129" s="290">
        <v>1.91</v>
      </c>
      <c r="H129" s="291">
        <f t="shared" ref="H129:H160" si="2">0.5-G129-0.01*(F129-25)</f>
        <v>-2.96</v>
      </c>
      <c r="I129" s="292" t="s">
        <v>31</v>
      </c>
      <c r="J129" s="293"/>
      <c r="K129" s="291"/>
      <c r="L129" s="291"/>
      <c r="M129" s="294" t="s">
        <v>269</v>
      </c>
    </row>
    <row r="130" spans="1:13">
      <c r="A130" s="295" t="s">
        <v>270</v>
      </c>
      <c r="B130" s="298">
        <v>-7.9759000000000002</v>
      </c>
      <c r="C130" s="287" t="s">
        <v>36</v>
      </c>
      <c r="D130" s="288">
        <v>0.5</v>
      </c>
      <c r="E130" s="290">
        <v>5</v>
      </c>
      <c r="F130" s="289">
        <v>156</v>
      </c>
      <c r="G130" s="290">
        <v>6.94</v>
      </c>
      <c r="H130" s="291">
        <f t="shared" si="2"/>
        <v>-7.75</v>
      </c>
      <c r="I130" s="292" t="s">
        <v>37</v>
      </c>
      <c r="J130" s="293"/>
      <c r="K130" s="291"/>
      <c r="L130" s="291"/>
      <c r="M130" s="294" t="s">
        <v>271</v>
      </c>
    </row>
    <row r="131" spans="1:13">
      <c r="A131" s="305" t="s">
        <v>272</v>
      </c>
      <c r="B131" s="296">
        <v>-5.4348315999999999</v>
      </c>
      <c r="C131" s="287" t="s">
        <v>41</v>
      </c>
      <c r="D131" s="288">
        <v>0.65309579002601004</v>
      </c>
      <c r="E131" s="289">
        <v>3</v>
      </c>
      <c r="F131" s="289">
        <v>208</v>
      </c>
      <c r="G131" s="290">
        <v>5.18</v>
      </c>
      <c r="H131" s="291">
        <f t="shared" si="2"/>
        <v>-6.51</v>
      </c>
      <c r="I131" s="292" t="s">
        <v>42</v>
      </c>
      <c r="J131" s="293"/>
      <c r="K131" s="291"/>
      <c r="L131" s="291"/>
      <c r="M131" s="294" t="s">
        <v>273</v>
      </c>
    </row>
    <row r="132" spans="1:13">
      <c r="A132" s="295" t="s">
        <v>274</v>
      </c>
      <c r="B132" s="296">
        <v>-2.7840595000000001</v>
      </c>
      <c r="C132" s="287" t="s">
        <v>46</v>
      </c>
      <c r="D132" s="288">
        <v>0.59285217963150305</v>
      </c>
      <c r="E132" s="289">
        <v>3</v>
      </c>
      <c r="F132" s="289">
        <v>100</v>
      </c>
      <c r="G132" s="290">
        <v>2.37</v>
      </c>
      <c r="H132" s="291">
        <f t="shared" si="2"/>
        <v>-2.62</v>
      </c>
      <c r="I132" s="297" t="s">
        <v>47</v>
      </c>
      <c r="J132" s="298" t="s">
        <v>367</v>
      </c>
      <c r="K132" s="291"/>
      <c r="L132" s="291"/>
      <c r="M132" s="294" t="s">
        <v>275</v>
      </c>
    </row>
    <row r="133" spans="1:13">
      <c r="A133" s="295" t="s">
        <v>276</v>
      </c>
      <c r="B133" s="296">
        <v>-4.6573772</v>
      </c>
      <c r="C133" s="287" t="s">
        <v>51</v>
      </c>
      <c r="D133" s="288">
        <v>0.51067901383936598</v>
      </c>
      <c r="E133" s="289">
        <v>5</v>
      </c>
      <c r="F133" s="289">
        <v>217</v>
      </c>
      <c r="G133" s="290">
        <v>3.19</v>
      </c>
      <c r="H133" s="291">
        <f t="shared" si="2"/>
        <v>-4.6099999999999994</v>
      </c>
      <c r="I133" s="297" t="s">
        <v>52</v>
      </c>
      <c r="J133" s="298"/>
      <c r="K133" s="291"/>
      <c r="L133" s="291"/>
      <c r="M133" s="294" t="s">
        <v>277</v>
      </c>
    </row>
    <row r="134" spans="1:13">
      <c r="A134" s="295" t="s">
        <v>278</v>
      </c>
      <c r="B134" s="296">
        <v>-4.3440856999999999</v>
      </c>
      <c r="C134" s="299"/>
      <c r="D134" s="288">
        <v>0.83065522865171404</v>
      </c>
      <c r="E134" s="289">
        <v>3</v>
      </c>
      <c r="F134" s="289">
        <v>209.5</v>
      </c>
      <c r="G134" s="290">
        <v>4.41</v>
      </c>
      <c r="H134" s="291">
        <f t="shared" si="2"/>
        <v>-5.7549999999999999</v>
      </c>
      <c r="I134" s="297" t="s">
        <v>56</v>
      </c>
      <c r="J134" s="298"/>
      <c r="K134" s="291"/>
      <c r="L134" s="291"/>
      <c r="M134" s="294" t="s">
        <v>279</v>
      </c>
    </row>
    <row r="135" spans="1:13">
      <c r="A135" s="295" t="s">
        <v>280</v>
      </c>
      <c r="B135" s="296">
        <v>-4.6079720000000002</v>
      </c>
      <c r="C135" s="299"/>
      <c r="D135" s="288">
        <v>0.51097181417141702</v>
      </c>
      <c r="E135" s="289">
        <v>6</v>
      </c>
      <c r="F135" s="289">
        <v>97.5</v>
      </c>
      <c r="G135" s="290">
        <v>5.19</v>
      </c>
      <c r="H135" s="291">
        <f t="shared" si="2"/>
        <v>-5.415</v>
      </c>
      <c r="I135" s="297" t="s">
        <v>60</v>
      </c>
      <c r="J135" s="300"/>
      <c r="K135" s="291"/>
      <c r="L135" s="291"/>
      <c r="M135" s="294" t="s">
        <v>281</v>
      </c>
    </row>
    <row r="136" spans="1:13">
      <c r="A136" s="285" t="s">
        <v>282</v>
      </c>
      <c r="B136" s="296">
        <v>-6.7960750000000001</v>
      </c>
      <c r="C136" s="299"/>
      <c r="D136" s="288">
        <v>0.92735432696895004</v>
      </c>
      <c r="E136" s="289">
        <v>5</v>
      </c>
      <c r="F136" s="289">
        <v>211</v>
      </c>
      <c r="G136" s="290">
        <v>7.49</v>
      </c>
      <c r="H136" s="291">
        <f t="shared" si="2"/>
        <v>-8.85</v>
      </c>
      <c r="I136" s="301" t="s">
        <v>64</v>
      </c>
      <c r="J136" s="302"/>
      <c r="K136" s="303"/>
      <c r="L136" s="304"/>
      <c r="M136" s="294" t="s">
        <v>283</v>
      </c>
    </row>
    <row r="137" spans="1:13">
      <c r="A137" s="295" t="s">
        <v>112</v>
      </c>
      <c r="B137" s="296">
        <v>-7.3939605000000004</v>
      </c>
      <c r="C137" s="299"/>
      <c r="D137" s="288">
        <v>0.68239272333923895</v>
      </c>
      <c r="E137" s="289">
        <v>3</v>
      </c>
      <c r="F137" s="289">
        <v>177</v>
      </c>
      <c r="G137" s="290">
        <v>3.37</v>
      </c>
      <c r="H137" s="291">
        <f t="shared" si="2"/>
        <v>-4.3900000000000006</v>
      </c>
      <c r="J137" s="291"/>
      <c r="K137" s="291"/>
      <c r="L137" s="291"/>
      <c r="M137" s="294" t="s">
        <v>284</v>
      </c>
    </row>
    <row r="138" spans="1:13">
      <c r="A138" s="295" t="s">
        <v>285</v>
      </c>
      <c r="B138" s="296">
        <v>-5.0963349999999998</v>
      </c>
      <c r="C138" s="299"/>
      <c r="D138" s="288">
        <v>0.520951861602862</v>
      </c>
      <c r="E138" s="289">
        <v>10</v>
      </c>
      <c r="F138" s="289">
        <v>228.6</v>
      </c>
      <c r="G138" s="290">
        <v>4.22</v>
      </c>
      <c r="H138" s="291">
        <f t="shared" si="2"/>
        <v>-5.7560000000000002</v>
      </c>
      <c r="I138" s="306" t="s">
        <v>286</v>
      </c>
      <c r="J138" s="307"/>
      <c r="K138" s="307"/>
      <c r="L138" s="308"/>
      <c r="M138" s="294" t="s">
        <v>287</v>
      </c>
    </row>
    <row r="139" spans="1:13">
      <c r="A139" s="285" t="s">
        <v>288</v>
      </c>
      <c r="B139" s="296">
        <v>-2.4361590999999998</v>
      </c>
      <c r="C139" s="299"/>
      <c r="D139" s="288">
        <v>0.53906642829149898</v>
      </c>
      <c r="E139" s="289">
        <v>3</v>
      </c>
      <c r="F139" s="289">
        <v>161.5</v>
      </c>
      <c r="G139" s="290">
        <v>-0.21</v>
      </c>
      <c r="H139" s="291">
        <f t="shared" si="2"/>
        <v>-0.65500000000000003</v>
      </c>
      <c r="I139" s="310" t="s">
        <v>699</v>
      </c>
      <c r="J139" s="311"/>
      <c r="K139" s="311"/>
      <c r="L139" s="312"/>
      <c r="M139" s="294" t="s">
        <v>289</v>
      </c>
    </row>
    <row r="140" spans="1:13">
      <c r="A140" s="285" t="s">
        <v>290</v>
      </c>
      <c r="B140" s="296">
        <v>-4.2011399999999997</v>
      </c>
      <c r="C140" s="299"/>
      <c r="D140" s="288">
        <v>0.56233984781338697</v>
      </c>
      <c r="E140" s="289">
        <v>11</v>
      </c>
      <c r="F140" s="289">
        <v>213.5</v>
      </c>
      <c r="G140" s="290">
        <v>3.04</v>
      </c>
      <c r="H140" s="291">
        <f t="shared" si="2"/>
        <v>-4.4249999999999998</v>
      </c>
      <c r="I140" s="313" t="s">
        <v>700</v>
      </c>
      <c r="J140" s="314"/>
      <c r="K140" s="315">
        <v>12570377</v>
      </c>
      <c r="L140" s="316"/>
      <c r="M140" s="294" t="s">
        <v>291</v>
      </c>
    </row>
    <row r="141" spans="1:13">
      <c r="A141" s="305" t="s">
        <v>292</v>
      </c>
      <c r="B141" s="296">
        <v>-3.9658612999999998</v>
      </c>
      <c r="C141" s="299"/>
      <c r="D141" s="288">
        <v>0.54710381306524802</v>
      </c>
      <c r="E141" s="289">
        <v>4</v>
      </c>
      <c r="F141" s="289">
        <v>168.5</v>
      </c>
      <c r="G141" s="290">
        <v>3.35</v>
      </c>
      <c r="H141" s="291">
        <f t="shared" si="2"/>
        <v>-4.2850000000000001</v>
      </c>
      <c r="I141" s="333"/>
      <c r="J141" s="314"/>
      <c r="K141" s="314"/>
      <c r="L141" s="316"/>
      <c r="M141" s="294" t="s">
        <v>293</v>
      </c>
    </row>
    <row r="142" spans="1:13">
      <c r="A142" s="285" t="s">
        <v>114</v>
      </c>
      <c r="B142" s="296">
        <v>-2.2741753999999998</v>
      </c>
      <c r="C142" s="299"/>
      <c r="D142" s="288">
        <v>0.54612637818466903</v>
      </c>
      <c r="E142" s="289">
        <v>3</v>
      </c>
      <c r="F142" s="309">
        <v>124.1</v>
      </c>
      <c r="G142" s="290">
        <v>2.81</v>
      </c>
      <c r="H142" s="291">
        <f t="shared" si="2"/>
        <v>-3.3010000000000002</v>
      </c>
      <c r="I142" s="317"/>
      <c r="J142" s="314"/>
      <c r="K142" s="314"/>
      <c r="L142" s="316"/>
      <c r="M142" s="294" t="s">
        <v>294</v>
      </c>
    </row>
    <row r="143" spans="1:13">
      <c r="A143" s="285" t="s">
        <v>295</v>
      </c>
      <c r="B143" s="296">
        <v>-7.1255693000000004</v>
      </c>
      <c r="C143" s="299"/>
      <c r="D143" s="288">
        <v>0.51160213896594597</v>
      </c>
      <c r="E143" s="289">
        <v>4</v>
      </c>
      <c r="F143" s="289">
        <v>165</v>
      </c>
      <c r="G143" s="290">
        <v>4.8899999999999997</v>
      </c>
      <c r="H143" s="291">
        <f t="shared" si="2"/>
        <v>-5.79</v>
      </c>
      <c r="I143" s="317"/>
      <c r="J143" s="314"/>
      <c r="K143" s="314"/>
      <c r="L143" s="316"/>
      <c r="M143" s="294" t="s">
        <v>296</v>
      </c>
    </row>
    <row r="144" spans="1:13">
      <c r="A144" s="285" t="s">
        <v>117</v>
      </c>
      <c r="B144" s="296">
        <v>-5.0871149999999998</v>
      </c>
      <c r="C144" s="299"/>
      <c r="D144" s="288">
        <v>0.65141515533308303</v>
      </c>
      <c r="E144" s="289">
        <v>4</v>
      </c>
      <c r="F144" s="289">
        <v>161.1</v>
      </c>
      <c r="G144" s="290">
        <v>4.76</v>
      </c>
      <c r="H144" s="291">
        <f t="shared" si="2"/>
        <v>-5.6209999999999996</v>
      </c>
      <c r="I144" s="317"/>
      <c r="J144" s="314"/>
      <c r="K144" s="314"/>
      <c r="L144" s="316"/>
      <c r="M144" s="294" t="s">
        <v>297</v>
      </c>
    </row>
    <row r="145" spans="1:28">
      <c r="A145" s="305" t="s">
        <v>298</v>
      </c>
      <c r="B145" s="296">
        <v>-4.5557217999999997</v>
      </c>
      <c r="C145" s="299"/>
      <c r="D145" s="288">
        <v>0.65883215509381898</v>
      </c>
      <c r="E145" s="289">
        <v>3</v>
      </c>
      <c r="F145" s="289">
        <v>155</v>
      </c>
      <c r="G145" s="290">
        <v>3.74</v>
      </c>
      <c r="H145" s="291">
        <f t="shared" si="2"/>
        <v>-4.54</v>
      </c>
      <c r="I145" s="317"/>
      <c r="J145" s="314"/>
      <c r="K145" s="314"/>
      <c r="L145" s="316"/>
      <c r="M145" s="294" t="s">
        <v>299</v>
      </c>
    </row>
    <row r="146" spans="1:28">
      <c r="A146" s="295" t="s">
        <v>300</v>
      </c>
      <c r="B146" s="296">
        <v>-7.1347529999999999</v>
      </c>
      <c r="C146" s="299"/>
      <c r="D146" s="288">
        <v>0.61400477095750305</v>
      </c>
      <c r="E146" s="289">
        <v>3</v>
      </c>
      <c r="F146" s="289">
        <v>165.4</v>
      </c>
      <c r="G146" s="290">
        <v>5.58</v>
      </c>
      <c r="H146" s="291">
        <f t="shared" si="2"/>
        <v>-6.484</v>
      </c>
      <c r="I146" s="317"/>
      <c r="J146" s="314"/>
      <c r="K146" s="314"/>
      <c r="L146" s="316"/>
      <c r="M146" s="294" t="s">
        <v>301</v>
      </c>
    </row>
    <row r="147" spans="1:28">
      <c r="A147" s="295" t="s">
        <v>302</v>
      </c>
      <c r="B147" s="296">
        <v>-5.7525706000000003</v>
      </c>
      <c r="C147" s="299"/>
      <c r="D147" s="288">
        <v>0.50406532001413296</v>
      </c>
      <c r="E147" s="289">
        <v>6</v>
      </c>
      <c r="F147" s="289">
        <v>161</v>
      </c>
      <c r="G147" s="290">
        <v>6.45</v>
      </c>
      <c r="H147" s="291">
        <f t="shared" si="2"/>
        <v>-7.3100000000000005</v>
      </c>
      <c r="I147" s="261"/>
      <c r="J147" s="319"/>
      <c r="K147" s="319"/>
      <c r="L147" s="320"/>
      <c r="M147" s="294" t="s">
        <v>303</v>
      </c>
    </row>
    <row r="148" spans="1:28">
      <c r="A148" s="295" t="s">
        <v>304</v>
      </c>
      <c r="B148" s="296">
        <v>-5.8384647000000003</v>
      </c>
      <c r="C148" s="299"/>
      <c r="D148" s="288">
        <v>0.75493366325441702</v>
      </c>
      <c r="E148" s="289">
        <v>4</v>
      </c>
      <c r="F148" s="289">
        <v>193.5</v>
      </c>
      <c r="G148" s="290">
        <v>5.41</v>
      </c>
      <c r="H148" s="291">
        <f t="shared" si="2"/>
        <v>-6.5950000000000006</v>
      </c>
      <c r="J148" s="291"/>
      <c r="K148" s="291"/>
      <c r="L148" s="291"/>
      <c r="M148" s="294" t="s">
        <v>305</v>
      </c>
    </row>
    <row r="149" spans="1:28">
      <c r="A149" s="295" t="s">
        <v>306</v>
      </c>
      <c r="B149" s="296">
        <v>-3.9055939</v>
      </c>
      <c r="C149" s="299"/>
      <c r="D149" s="288">
        <v>0.500893580585972</v>
      </c>
      <c r="E149" s="289">
        <v>3</v>
      </c>
      <c r="F149" s="289">
        <v>156</v>
      </c>
      <c r="G149" s="290">
        <v>2.9</v>
      </c>
      <c r="H149" s="291">
        <f t="shared" si="2"/>
        <v>-3.71</v>
      </c>
      <c r="I149" s="321" t="s">
        <v>133</v>
      </c>
      <c r="J149" s="322">
        <v>102</v>
      </c>
      <c r="K149" s="304"/>
      <c r="L149" s="291"/>
      <c r="M149" s="294" t="s">
        <v>307</v>
      </c>
    </row>
    <row r="150" spans="1:28">
      <c r="A150" s="305" t="s">
        <v>308</v>
      </c>
      <c r="B150" s="296">
        <v>-4.5948409999999997</v>
      </c>
      <c r="C150" s="299"/>
      <c r="D150" s="288">
        <v>0.65879843298663399</v>
      </c>
      <c r="E150" s="289">
        <v>4</v>
      </c>
      <c r="F150" s="289">
        <v>183.5</v>
      </c>
      <c r="G150" s="290">
        <v>3.16</v>
      </c>
      <c r="H150" s="291">
        <f t="shared" si="2"/>
        <v>-4.2450000000000001</v>
      </c>
      <c r="I150" s="321" t="s">
        <v>701</v>
      </c>
      <c r="J150" s="322">
        <v>12</v>
      </c>
      <c r="K150" s="304"/>
      <c r="L150" s="291"/>
      <c r="M150" s="294" t="s">
        <v>309</v>
      </c>
    </row>
    <row r="151" spans="1:28">
      <c r="A151" s="305" t="s">
        <v>310</v>
      </c>
      <c r="B151" s="296">
        <v>-1.9934765999999999</v>
      </c>
      <c r="C151" s="299"/>
      <c r="D151" s="288">
        <v>0.59871706042825701</v>
      </c>
      <c r="E151" s="289">
        <v>3</v>
      </c>
      <c r="F151" s="289">
        <v>61</v>
      </c>
      <c r="G151" s="290">
        <v>1.77</v>
      </c>
      <c r="H151" s="291">
        <f t="shared" si="2"/>
        <v>-1.63</v>
      </c>
      <c r="I151" s="321" t="s">
        <v>139</v>
      </c>
      <c r="J151" s="322">
        <f>COUNTA(A129:A160)</f>
        <v>32</v>
      </c>
      <c r="K151" s="304"/>
      <c r="L151" s="291"/>
      <c r="M151" s="294" t="s">
        <v>311</v>
      </c>
    </row>
    <row r="152" spans="1:28">
      <c r="A152" s="295" t="s">
        <v>312</v>
      </c>
      <c r="B152" s="296">
        <v>-2.8460393000000002</v>
      </c>
      <c r="C152" s="299"/>
      <c r="D152" s="288">
        <v>0.57115657899345496</v>
      </c>
      <c r="E152" s="289">
        <v>7</v>
      </c>
      <c r="F152" s="289">
        <v>177</v>
      </c>
      <c r="G152" s="290">
        <v>3.17</v>
      </c>
      <c r="H152" s="291">
        <f t="shared" si="2"/>
        <v>-4.1899999999999995</v>
      </c>
      <c r="I152" s="291"/>
      <c r="J152" s="291"/>
      <c r="K152" s="291"/>
      <c r="L152" s="291"/>
      <c r="M152" s="294" t="s">
        <v>313</v>
      </c>
    </row>
    <row r="153" spans="1:28">
      <c r="A153" s="285" t="s">
        <v>314</v>
      </c>
      <c r="B153" s="296">
        <v>-6.6772337000000004</v>
      </c>
      <c r="C153" s="299"/>
      <c r="D153" s="288">
        <v>0.55807775121880299</v>
      </c>
      <c r="E153" s="289">
        <v>6</v>
      </c>
      <c r="F153" s="289">
        <v>145</v>
      </c>
      <c r="G153" s="290">
        <v>6.08</v>
      </c>
      <c r="H153" s="291">
        <f t="shared" si="2"/>
        <v>-6.78</v>
      </c>
      <c r="I153" s="324" t="s">
        <v>144</v>
      </c>
      <c r="J153" s="307"/>
      <c r="K153" s="307"/>
      <c r="L153" s="308"/>
      <c r="M153" s="294" t="s">
        <v>315</v>
      </c>
    </row>
    <row r="154" spans="1:28">
      <c r="A154" s="285" t="s">
        <v>316</v>
      </c>
      <c r="B154" s="296">
        <v>-3.5581383999999998</v>
      </c>
      <c r="C154" s="299"/>
      <c r="D154" s="288">
        <v>0.66417698790166102</v>
      </c>
      <c r="E154" s="289">
        <v>3</v>
      </c>
      <c r="F154" s="309">
        <v>175.8</v>
      </c>
      <c r="G154" s="290">
        <v>4.62</v>
      </c>
      <c r="H154" s="291">
        <f t="shared" si="2"/>
        <v>-5.6280000000000001</v>
      </c>
      <c r="I154" s="870" t="s">
        <v>710</v>
      </c>
      <c r="J154" s="870"/>
      <c r="K154" s="870"/>
      <c r="L154" s="870"/>
      <c r="M154" s="294" t="s">
        <v>317</v>
      </c>
    </row>
    <row r="155" spans="1:28">
      <c r="A155" s="295" t="s">
        <v>318</v>
      </c>
      <c r="B155" s="296">
        <v>-5.4063844999999997</v>
      </c>
      <c r="C155" s="299"/>
      <c r="D155" s="288">
        <v>0.57716593661781801</v>
      </c>
      <c r="E155" s="289">
        <v>3</v>
      </c>
      <c r="F155" s="289">
        <v>349.84</v>
      </c>
      <c r="G155" s="290">
        <v>3.09</v>
      </c>
      <c r="H155" s="291">
        <f t="shared" si="2"/>
        <v>-5.8384</v>
      </c>
      <c r="I155" s="870"/>
      <c r="J155" s="870"/>
      <c r="K155" s="870"/>
      <c r="L155" s="870"/>
      <c r="M155" s="294" t="s">
        <v>319</v>
      </c>
    </row>
    <row r="156" spans="1:28">
      <c r="A156" s="305" t="s">
        <v>320</v>
      </c>
      <c r="B156" s="296">
        <v>-2.2978190000000001</v>
      </c>
      <c r="C156" s="299"/>
      <c r="D156" s="288">
        <v>0.70324590282883903</v>
      </c>
      <c r="E156" s="289">
        <v>3</v>
      </c>
      <c r="F156" s="289">
        <v>204</v>
      </c>
      <c r="G156" s="290">
        <v>0.88</v>
      </c>
      <c r="H156" s="291">
        <f t="shared" si="2"/>
        <v>-2.17</v>
      </c>
      <c r="I156" s="870"/>
      <c r="J156" s="870"/>
      <c r="K156" s="870"/>
      <c r="L156" s="870"/>
      <c r="M156" s="294" t="s">
        <v>321</v>
      </c>
    </row>
    <row r="157" spans="1:28">
      <c r="A157" s="295" t="s">
        <v>322</v>
      </c>
      <c r="B157" s="296">
        <v>-7.4119061999999998</v>
      </c>
      <c r="C157" s="299"/>
      <c r="D157" s="288">
        <v>0.72379035887947596</v>
      </c>
      <c r="E157" s="289">
        <v>7</v>
      </c>
      <c r="F157" s="289">
        <v>97.8</v>
      </c>
      <c r="G157" s="290">
        <v>6</v>
      </c>
      <c r="H157" s="291">
        <f t="shared" si="2"/>
        <v>-6.2279999999999998</v>
      </c>
      <c r="I157" s="870"/>
      <c r="J157" s="870"/>
      <c r="K157" s="870"/>
      <c r="L157" s="870"/>
      <c r="M157" s="294" t="s">
        <v>323</v>
      </c>
    </row>
    <row r="158" spans="1:28">
      <c r="A158" s="295" t="s">
        <v>324</v>
      </c>
      <c r="B158" s="296">
        <v>-6.6900706000000003</v>
      </c>
      <c r="C158" s="299"/>
      <c r="D158" s="288">
        <v>0.84033450922624497</v>
      </c>
      <c r="E158" s="289">
        <v>5</v>
      </c>
      <c r="F158" s="289">
        <v>262</v>
      </c>
      <c r="G158" s="290">
        <v>7.26</v>
      </c>
      <c r="H158" s="291">
        <f t="shared" si="2"/>
        <v>-9.129999999999999</v>
      </c>
      <c r="I158" s="870"/>
      <c r="J158" s="870"/>
      <c r="K158" s="870"/>
      <c r="L158" s="870"/>
      <c r="M158" s="294" t="s">
        <v>325</v>
      </c>
    </row>
    <row r="159" spans="1:28">
      <c r="A159" s="295" t="s">
        <v>326</v>
      </c>
      <c r="B159" s="296">
        <v>-6.2256289999999996</v>
      </c>
      <c r="C159" s="299"/>
      <c r="D159" s="288">
        <v>0.70969645885144095</v>
      </c>
      <c r="E159" s="289">
        <v>11</v>
      </c>
      <c r="F159" s="289">
        <v>149.6</v>
      </c>
      <c r="G159" s="290">
        <v>6.45</v>
      </c>
      <c r="H159" s="291">
        <f t="shared" si="2"/>
        <v>-7.1959999999999997</v>
      </c>
      <c r="I159" s="870"/>
      <c r="J159" s="870"/>
      <c r="K159" s="870"/>
      <c r="L159" s="870"/>
      <c r="M159" s="294" t="s">
        <v>327</v>
      </c>
    </row>
    <row r="160" spans="1:28" s="334" customFormat="1">
      <c r="A160" s="285" t="s">
        <v>328</v>
      </c>
      <c r="B160" s="296">
        <v>-4.011215</v>
      </c>
      <c r="C160" s="299"/>
      <c r="D160" s="288">
        <v>0.49644864464459898</v>
      </c>
      <c r="E160" s="289">
        <v>4</v>
      </c>
      <c r="F160" s="289">
        <v>304.5</v>
      </c>
      <c r="G160" s="290">
        <v>2.69</v>
      </c>
      <c r="H160" s="291">
        <f t="shared" si="2"/>
        <v>-4.9849999999999994</v>
      </c>
      <c r="I160" s="870"/>
      <c r="J160" s="870"/>
      <c r="K160" s="870"/>
      <c r="L160" s="870"/>
      <c r="M160" s="294" t="s">
        <v>329</v>
      </c>
      <c r="N160" s="241"/>
      <c r="O160" s="241"/>
      <c r="P160" s="241"/>
      <c r="Q160" s="241"/>
      <c r="R160" s="241"/>
      <c r="S160" s="241"/>
      <c r="T160" s="241"/>
      <c r="U160" s="241"/>
      <c r="V160" s="241"/>
      <c r="W160" s="241"/>
      <c r="X160" s="241"/>
      <c r="Y160" s="241"/>
      <c r="Z160" s="241"/>
      <c r="AA160" s="241"/>
      <c r="AB160" s="241"/>
    </row>
    <row r="161" spans="1:28">
      <c r="A161" s="334"/>
      <c r="B161" s="334"/>
      <c r="C161" s="326" t="s">
        <v>261</v>
      </c>
      <c r="D161" s="327">
        <f>AVERAGE(D129:D160)</f>
        <v>0.61629001144944584</v>
      </c>
      <c r="E161" s="334"/>
      <c r="F161" s="334"/>
      <c r="G161" s="334"/>
      <c r="H161" s="330" t="s">
        <v>262</v>
      </c>
      <c r="I161" s="335"/>
      <c r="J161" s="335"/>
      <c r="K161" s="335"/>
      <c r="L161" s="335"/>
      <c r="M161" s="272"/>
      <c r="N161" s="334"/>
      <c r="O161" s="334"/>
      <c r="P161" s="334"/>
      <c r="Q161" s="334"/>
      <c r="R161" s="334"/>
      <c r="S161" s="334"/>
      <c r="T161" s="334"/>
      <c r="U161" s="334"/>
      <c r="V161" s="334"/>
      <c r="W161" s="334"/>
      <c r="X161" s="334"/>
      <c r="Y161" s="334"/>
      <c r="Z161" s="334"/>
      <c r="AA161" s="334"/>
      <c r="AB161" s="334"/>
    </row>
    <row r="162" spans="1:28">
      <c r="A162" s="294"/>
      <c r="C162" s="326" t="s">
        <v>263</v>
      </c>
      <c r="D162" s="327">
        <f>MIN(D129:D160)</f>
        <v>0.49644864464459898</v>
      </c>
      <c r="E162" s="328"/>
      <c r="F162" s="329"/>
      <c r="G162" s="329"/>
      <c r="H162" s="330" t="s">
        <v>330</v>
      </c>
      <c r="I162" s="329"/>
      <c r="J162" s="290"/>
      <c r="K162" s="290"/>
      <c r="L162" s="290"/>
      <c r="M162" s="294"/>
    </row>
    <row r="163" spans="1:28">
      <c r="A163" s="294"/>
      <c r="C163" s="326" t="s">
        <v>265</v>
      </c>
      <c r="D163" s="327">
        <f>MAX(D129:D160)</f>
        <v>0.92735432696895004</v>
      </c>
      <c r="E163" s="328"/>
      <c r="F163" s="329"/>
      <c r="G163" s="329"/>
      <c r="H163" s="330"/>
      <c r="I163" s="329"/>
      <c r="J163" s="290"/>
      <c r="K163" s="290"/>
      <c r="L163" s="290"/>
      <c r="M163" s="294"/>
    </row>
    <row r="165" spans="1:28">
      <c r="A165" s="241" t="s">
        <v>711</v>
      </c>
    </row>
    <row r="166" spans="1:28">
      <c r="A166" s="241" t="s">
        <v>332</v>
      </c>
    </row>
    <row r="168" spans="1:28">
      <c r="A168" s="241" t="s">
        <v>333</v>
      </c>
    </row>
    <row r="169" spans="1:28">
      <c r="A169" s="241" t="s">
        <v>712</v>
      </c>
    </row>
    <row r="170" spans="1:28" ht="15.75" customHeight="1"/>
    <row r="171" spans="1:28" s="244" customFormat="1" ht="19">
      <c r="A171" s="336" t="s">
        <v>335</v>
      </c>
    </row>
    <row r="172" spans="1:28" s="244" customFormat="1" ht="18">
      <c r="A172" s="337" t="s">
        <v>713</v>
      </c>
    </row>
    <row r="173" spans="1:28" s="244" customFormat="1" ht="16">
      <c r="A173" s="337" t="s">
        <v>714</v>
      </c>
    </row>
    <row r="174" spans="1:28" s="244" customFormat="1">
      <c r="A174" s="338" t="s">
        <v>715</v>
      </c>
    </row>
    <row r="175" spans="1:28" s="244" customFormat="1">
      <c r="A175" s="339" t="s">
        <v>716</v>
      </c>
    </row>
    <row r="176" spans="1:28" s="244" customFormat="1">
      <c r="A176" s="340" t="s">
        <v>717</v>
      </c>
    </row>
    <row r="177" spans="1:1" s="244" customFormat="1">
      <c r="A177" s="244" t="s">
        <v>718</v>
      </c>
    </row>
    <row r="178" spans="1:1" s="244" customFormat="1">
      <c r="A178" s="341" t="s">
        <v>719</v>
      </c>
    </row>
    <row r="179" spans="1:1" s="244" customFormat="1">
      <c r="A179" s="244" t="s">
        <v>720</v>
      </c>
    </row>
    <row r="180" spans="1:1" s="244" customFormat="1">
      <c r="A180" s="340" t="s">
        <v>721</v>
      </c>
    </row>
    <row r="181" spans="1:1" s="244" customFormat="1">
      <c r="A181" s="244" t="s">
        <v>722</v>
      </c>
    </row>
    <row r="182" spans="1:1" s="244" customFormat="1">
      <c r="A182" s="244" t="s">
        <v>723</v>
      </c>
    </row>
    <row r="183" spans="1:1" s="244" customFormat="1">
      <c r="A183" s="338" t="s">
        <v>724</v>
      </c>
    </row>
    <row r="184" spans="1:1" s="244" customFormat="1">
      <c r="A184" s="338" t="s">
        <v>725</v>
      </c>
    </row>
    <row r="185" spans="1:1" s="244" customFormat="1">
      <c r="A185" s="244" t="s">
        <v>726</v>
      </c>
    </row>
    <row r="186" spans="1:1" s="244" customFormat="1">
      <c r="A186" s="244" t="s">
        <v>727</v>
      </c>
    </row>
    <row r="187" spans="1:1" s="244" customFormat="1">
      <c r="A187" s="341" t="s">
        <v>728</v>
      </c>
    </row>
    <row r="188" spans="1:1" s="244" customFormat="1">
      <c r="A188" s="341" t="s">
        <v>729</v>
      </c>
    </row>
    <row r="189" spans="1:1" s="244" customFormat="1">
      <c r="A189" s="340" t="s">
        <v>730</v>
      </c>
    </row>
    <row r="190" spans="1:1" s="244" customFormat="1">
      <c r="A190" s="341" t="s">
        <v>731</v>
      </c>
    </row>
    <row r="191" spans="1:1" s="244" customFormat="1">
      <c r="A191" s="244" t="s">
        <v>732</v>
      </c>
    </row>
    <row r="192" spans="1:1" s="244" customFormat="1"/>
    <row r="193" spans="1:17">
      <c r="A193" s="342" t="s">
        <v>733</v>
      </c>
    </row>
    <row r="194" spans="1:17">
      <c r="A194" s="343" t="s">
        <v>734</v>
      </c>
      <c r="B194" s="253"/>
      <c r="C194" s="253"/>
      <c r="D194" s="253"/>
      <c r="E194" s="253"/>
      <c r="F194" s="253"/>
      <c r="G194" s="253"/>
      <c r="H194" s="253"/>
      <c r="I194" s="253"/>
      <c r="J194" s="253"/>
      <c r="K194" s="253"/>
      <c r="L194" s="253"/>
      <c r="M194" s="254"/>
      <c r="N194" s="253"/>
      <c r="O194" s="253"/>
      <c r="P194" s="253"/>
      <c r="Q194" s="255"/>
    </row>
  </sheetData>
  <mergeCells count="2">
    <mergeCell ref="I66:L77"/>
    <mergeCell ref="I154:L160"/>
  </mergeCells>
  <pageMargins left="0" right="0" top="0" bottom="0" header="0.51180555555555496" footer="0.51180555555555496"/>
  <pageSetup scale="54" firstPageNumber="0" orientation="landscape"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ACF9B-6609-4C46-8664-23F110B77D81}">
  <dimension ref="A1:AB208"/>
  <sheetViews>
    <sheetView zoomScale="110" zoomScaleNormal="110" workbookViewId="0">
      <selection activeCell="B4" sqref="B4:B9"/>
    </sheetView>
  </sheetViews>
  <sheetFormatPr baseColWidth="10" defaultColWidth="8.83203125" defaultRowHeight="15"/>
  <cols>
    <col min="1" max="1" width="18.83203125" style="241" customWidth="1"/>
    <col min="2" max="3" width="11.33203125" style="241" customWidth="1"/>
    <col min="4" max="4" width="7.6640625" style="241" customWidth="1"/>
    <col min="5" max="5" width="7.83203125" style="241" customWidth="1"/>
    <col min="6" max="6" width="10.1640625" style="241" customWidth="1"/>
    <col min="7" max="7" width="8.83203125" style="241"/>
    <col min="8" max="8" width="9.1640625" style="241" customWidth="1"/>
    <col min="9" max="9" width="17.5" style="241" customWidth="1"/>
    <col min="10" max="10" width="7.5" style="241" customWidth="1"/>
    <col min="11" max="12" width="9.1640625" style="241" customWidth="1"/>
    <col min="13" max="13" width="9" style="244" customWidth="1"/>
    <col min="14" max="1025" width="9.1640625" style="241" customWidth="1"/>
    <col min="1026" max="16384" width="8.83203125" style="241"/>
  </cols>
  <sheetData>
    <row r="1" spans="1:25" ht="34">
      <c r="B1" s="242" t="s">
        <v>0</v>
      </c>
      <c r="C1" s="243"/>
      <c r="Y1" s="344"/>
    </row>
    <row r="2" spans="1:25" s="244" customFormat="1" ht="21">
      <c r="B2" s="345" t="s">
        <v>1</v>
      </c>
      <c r="C2" s="247"/>
      <c r="Y2" s="248"/>
    </row>
    <row r="3" spans="1:25" s="244" customFormat="1" ht="19">
      <c r="B3" s="346" t="s">
        <v>2</v>
      </c>
      <c r="C3" s="247"/>
      <c r="Y3" s="347"/>
    </row>
    <row r="4" spans="1:25">
      <c r="A4" s="251" t="s">
        <v>3</v>
      </c>
      <c r="B4" s="252"/>
      <c r="C4" s="253"/>
      <c r="D4" s="253"/>
      <c r="E4" s="253"/>
      <c r="F4" s="253"/>
      <c r="G4" s="253"/>
      <c r="H4" s="253"/>
      <c r="I4" s="253"/>
      <c r="J4" s="253"/>
      <c r="K4" s="253"/>
      <c r="L4" s="253"/>
      <c r="M4" s="254"/>
      <c r="N4" s="253"/>
      <c r="O4" s="253"/>
      <c r="P4" s="253"/>
      <c r="Q4" s="253"/>
      <c r="R4" s="255"/>
    </row>
    <row r="5" spans="1:25">
      <c r="A5" s="251" t="s">
        <v>4</v>
      </c>
      <c r="B5" s="256"/>
      <c r="C5" s="256"/>
      <c r="D5" s="256"/>
      <c r="E5" s="256"/>
      <c r="F5" s="256"/>
      <c r="G5" s="256"/>
      <c r="H5" s="256"/>
      <c r="I5" s="256"/>
      <c r="J5" s="256"/>
      <c r="K5" s="256"/>
      <c r="L5" s="256"/>
      <c r="M5" s="257"/>
      <c r="N5" s="256"/>
      <c r="O5" s="256"/>
      <c r="P5" s="256"/>
      <c r="Q5" s="256"/>
      <c r="R5" s="258"/>
    </row>
    <row r="6" spans="1:25">
      <c r="A6" s="259" t="s">
        <v>5</v>
      </c>
      <c r="B6" s="252"/>
      <c r="C6" s="253"/>
      <c r="D6" s="253"/>
      <c r="E6" s="253"/>
      <c r="F6" s="253"/>
      <c r="G6" s="253"/>
      <c r="H6" s="253"/>
      <c r="I6" s="253"/>
      <c r="J6" s="253"/>
      <c r="K6" s="253"/>
      <c r="L6" s="253"/>
      <c r="M6" s="254"/>
      <c r="N6" s="253"/>
      <c r="O6" s="253"/>
      <c r="P6" s="253"/>
      <c r="Q6" s="253"/>
      <c r="R6" s="255"/>
    </row>
    <row r="7" spans="1:25">
      <c r="A7" s="260"/>
      <c r="B7" s="261"/>
      <c r="C7" s="256"/>
      <c r="D7" s="256"/>
      <c r="E7" s="256"/>
      <c r="F7" s="256"/>
      <c r="G7" s="256"/>
      <c r="H7" s="256"/>
      <c r="I7" s="256"/>
      <c r="J7" s="256"/>
      <c r="K7" s="256"/>
      <c r="L7" s="256"/>
      <c r="M7" s="257"/>
      <c r="N7" s="256"/>
      <c r="O7" s="256"/>
      <c r="P7" s="256"/>
      <c r="Q7" s="256"/>
      <c r="R7" s="258"/>
    </row>
    <row r="8" spans="1:25">
      <c r="A8" s="259" t="s">
        <v>6</v>
      </c>
      <c r="B8" s="252"/>
      <c r="C8" s="253"/>
      <c r="D8" s="253"/>
      <c r="E8" s="253"/>
      <c r="F8" s="253"/>
      <c r="G8" s="253"/>
      <c r="H8" s="253"/>
      <c r="I8" s="253"/>
      <c r="J8" s="253"/>
      <c r="K8" s="253"/>
      <c r="L8" s="253"/>
      <c r="M8" s="254"/>
      <c r="N8" s="253"/>
      <c r="O8" s="253"/>
      <c r="P8" s="253"/>
      <c r="Q8" s="253"/>
      <c r="R8" s="255"/>
    </row>
    <row r="9" spans="1:25">
      <c r="A9" s="262" t="s">
        <v>7</v>
      </c>
      <c r="B9" s="348"/>
      <c r="C9" s="263"/>
      <c r="D9" s="263"/>
      <c r="E9" s="263"/>
      <c r="F9" s="263"/>
      <c r="G9" s="263"/>
      <c r="H9" s="263"/>
      <c r="I9" s="263"/>
      <c r="J9" s="263"/>
      <c r="K9" s="263"/>
      <c r="L9" s="263"/>
      <c r="M9" s="264"/>
      <c r="N9" s="263"/>
      <c r="O9" s="263"/>
      <c r="P9" s="263"/>
      <c r="Q9" s="263"/>
      <c r="R9" s="265"/>
    </row>
    <row r="10" spans="1:25">
      <c r="A10" s="266"/>
    </row>
    <row r="11" spans="1:25" s="267" customFormat="1" ht="26">
      <c r="A11" s="267" t="s">
        <v>689</v>
      </c>
    </row>
    <row r="12" spans="1:25">
      <c r="B12" s="268" t="s">
        <v>690</v>
      </c>
    </row>
    <row r="13" spans="1:25" s="270" customFormat="1">
      <c r="A13" s="269" t="s">
        <v>691</v>
      </c>
    </row>
    <row r="14" spans="1:25">
      <c r="B14" s="271" t="s">
        <v>32</v>
      </c>
      <c r="C14" s="241" t="s">
        <v>11</v>
      </c>
    </row>
    <row r="15" spans="1:25" s="270" customFormat="1">
      <c r="A15" s="269" t="s">
        <v>12</v>
      </c>
    </row>
    <row r="16" spans="1:25">
      <c r="B16" s="271"/>
      <c r="C16" s="241" t="s">
        <v>11</v>
      </c>
    </row>
    <row r="17" spans="1:28" s="270" customFormat="1">
      <c r="A17" s="269" t="s">
        <v>13</v>
      </c>
    </row>
    <row r="18" spans="1:28">
      <c r="B18" s="252"/>
      <c r="C18" s="253"/>
      <c r="D18" s="253"/>
      <c r="E18" s="253"/>
      <c r="F18" s="253"/>
      <c r="G18" s="253"/>
      <c r="H18" s="253"/>
      <c r="I18" s="253"/>
      <c r="J18" s="253"/>
      <c r="K18" s="253"/>
      <c r="L18" s="253"/>
      <c r="M18" s="254"/>
      <c r="N18" s="253"/>
      <c r="O18" s="253"/>
      <c r="P18" s="253"/>
      <c r="Q18" s="253"/>
      <c r="R18" s="255"/>
      <c r="S18" s="241" t="s">
        <v>15</v>
      </c>
    </row>
    <row r="20" spans="1:28" s="272" customFormat="1">
      <c r="A20" s="272" t="s">
        <v>693</v>
      </c>
    </row>
    <row r="21" spans="1:28" s="276" customFormat="1" ht="35" thickBot="1">
      <c r="A21" s="273" t="s">
        <v>694</v>
      </c>
      <c r="B21" s="274"/>
      <c r="C21" s="274"/>
      <c r="D21" s="274"/>
      <c r="E21" s="274"/>
      <c r="F21" s="274"/>
      <c r="G21" s="274"/>
      <c r="H21" s="274"/>
      <c r="I21" s="274"/>
      <c r="J21" s="274"/>
      <c r="K21" s="274"/>
      <c r="L21" s="274"/>
      <c r="M21" s="275"/>
      <c r="N21" s="244"/>
      <c r="O21" s="244"/>
      <c r="P21" s="244"/>
      <c r="Q21" s="244"/>
      <c r="R21" s="244"/>
      <c r="S21" s="244"/>
      <c r="T21" s="244"/>
      <c r="U21" s="244"/>
      <c r="V21" s="244"/>
      <c r="W21" s="244"/>
      <c r="X21" s="244"/>
      <c r="Y21" s="244"/>
      <c r="Z21" s="244"/>
      <c r="AA21" s="244"/>
      <c r="AB21" s="244"/>
    </row>
    <row r="22" spans="1:28" ht="41.25" customHeight="1" thickBot="1">
      <c r="A22" s="277" t="s">
        <v>18</v>
      </c>
      <c r="B22" s="278" t="s">
        <v>695</v>
      </c>
      <c r="C22" s="278" t="s">
        <v>696</v>
      </c>
      <c r="D22" s="278" t="s">
        <v>21</v>
      </c>
      <c r="E22" s="278" t="s">
        <v>22</v>
      </c>
      <c r="F22" s="278" t="s">
        <v>23</v>
      </c>
      <c r="G22" s="279" t="s">
        <v>697</v>
      </c>
      <c r="H22" s="279" t="s">
        <v>698</v>
      </c>
      <c r="I22" s="280"/>
      <c r="J22" s="281" t="s">
        <v>27</v>
      </c>
      <c r="K22" s="281"/>
      <c r="L22" s="281"/>
      <c r="M22" s="282" t="s">
        <v>28</v>
      </c>
      <c r="N22" s="283"/>
      <c r="O22" s="283"/>
      <c r="P22" s="283"/>
      <c r="Q22" s="283"/>
      <c r="R22" s="283"/>
      <c r="S22" s="283"/>
      <c r="T22" s="284"/>
      <c r="U22" s="276"/>
      <c r="V22" s="276"/>
      <c r="W22" s="276"/>
      <c r="X22" s="276"/>
      <c r="Y22" s="276"/>
      <c r="Z22" s="276"/>
      <c r="AA22" s="276"/>
      <c r="AB22" s="276"/>
    </row>
    <row r="23" spans="1:28">
      <c r="A23" s="285" t="s">
        <v>29</v>
      </c>
      <c r="B23" s="349">
        <v>-2.32944475</v>
      </c>
      <c r="C23" s="287" t="s">
        <v>30</v>
      </c>
      <c r="D23" s="288">
        <v>0.17592262140645501</v>
      </c>
      <c r="E23" s="289">
        <v>11</v>
      </c>
      <c r="F23" s="289">
        <v>258.5</v>
      </c>
      <c r="G23" s="290">
        <v>-0.86</v>
      </c>
      <c r="H23" s="291">
        <f t="shared" ref="H23:H86" si="0">0.5-G23-0.01*(F23-25)</f>
        <v>-0.97500000000000009</v>
      </c>
      <c r="I23" s="292" t="s">
        <v>31</v>
      </c>
      <c r="J23" s="293"/>
      <c r="K23" s="291"/>
      <c r="L23" s="291"/>
      <c r="M23" s="294" t="s">
        <v>33</v>
      </c>
    </row>
    <row r="24" spans="1:28">
      <c r="A24" s="295" t="s">
        <v>35</v>
      </c>
      <c r="B24" s="349">
        <v>-1.955670858</v>
      </c>
      <c r="C24" s="287" t="s">
        <v>36</v>
      </c>
      <c r="D24" s="288">
        <v>0.14701293131372201</v>
      </c>
      <c r="E24" s="289">
        <v>16</v>
      </c>
      <c r="F24" s="289">
        <v>142.4</v>
      </c>
      <c r="G24" s="290">
        <v>1.31</v>
      </c>
      <c r="H24" s="291">
        <f t="shared" si="0"/>
        <v>-1.9840000000000002</v>
      </c>
      <c r="I24" s="292" t="s">
        <v>37</v>
      </c>
      <c r="J24" s="293"/>
      <c r="K24" s="291"/>
      <c r="L24" s="291"/>
      <c r="M24" s="294" t="s">
        <v>38</v>
      </c>
    </row>
    <row r="25" spans="1:28">
      <c r="A25" s="285" t="s">
        <v>40</v>
      </c>
      <c r="B25" s="349">
        <v>-3.0786130479999998</v>
      </c>
      <c r="C25" s="287" t="s">
        <v>41</v>
      </c>
      <c r="D25" s="288">
        <v>0.15746026945991601</v>
      </c>
      <c r="E25" s="289">
        <v>4</v>
      </c>
      <c r="F25" s="289">
        <v>92</v>
      </c>
      <c r="G25" s="290">
        <v>2.5299999999999998</v>
      </c>
      <c r="H25" s="291">
        <f t="shared" si="0"/>
        <v>-2.6999999999999997</v>
      </c>
      <c r="I25" s="292" t="s">
        <v>42</v>
      </c>
      <c r="J25" s="293"/>
      <c r="K25" s="291"/>
      <c r="L25" s="291"/>
      <c r="M25" s="294" t="s">
        <v>43</v>
      </c>
    </row>
    <row r="26" spans="1:28">
      <c r="A26" s="295" t="s">
        <v>45</v>
      </c>
      <c r="B26" s="349">
        <v>-3.5558484959999999</v>
      </c>
      <c r="C26" s="287" t="s">
        <v>46</v>
      </c>
      <c r="D26" s="288">
        <v>0.169992225074696</v>
      </c>
      <c r="E26" s="289">
        <v>3</v>
      </c>
      <c r="F26" s="289">
        <v>234</v>
      </c>
      <c r="G26" s="290">
        <v>3.19</v>
      </c>
      <c r="H26" s="291">
        <f t="shared" si="0"/>
        <v>-4.7799999999999994</v>
      </c>
      <c r="I26" s="297" t="s">
        <v>47</v>
      </c>
      <c r="J26" s="298"/>
      <c r="K26" s="291"/>
      <c r="L26" s="291"/>
      <c r="M26" s="294" t="s">
        <v>48</v>
      </c>
    </row>
    <row r="27" spans="1:28">
      <c r="A27" s="295" t="s">
        <v>50</v>
      </c>
      <c r="B27" s="349">
        <v>-6.1456679100000002</v>
      </c>
      <c r="C27" s="287" t="s">
        <v>51</v>
      </c>
      <c r="D27" s="288">
        <v>0.21168830858587201</v>
      </c>
      <c r="E27" s="289">
        <v>3</v>
      </c>
      <c r="F27" s="289">
        <v>139.25</v>
      </c>
      <c r="G27" s="290">
        <v>4.8600000000000003</v>
      </c>
      <c r="H27" s="291">
        <f t="shared" si="0"/>
        <v>-5.5025000000000004</v>
      </c>
      <c r="I27" s="297" t="s">
        <v>52</v>
      </c>
      <c r="J27" s="298"/>
      <c r="K27" s="291"/>
      <c r="L27" s="291"/>
      <c r="M27" s="294" t="s">
        <v>53</v>
      </c>
    </row>
    <row r="28" spans="1:28">
      <c r="A28" s="285" t="s">
        <v>55</v>
      </c>
      <c r="B28" s="349">
        <v>-5.4215111670000002</v>
      </c>
      <c r="C28" s="299"/>
      <c r="D28" s="288">
        <v>0.18412396392404201</v>
      </c>
      <c r="E28" s="289">
        <v>3</v>
      </c>
      <c r="F28" s="289">
        <v>224</v>
      </c>
      <c r="G28" s="290">
        <v>5.51</v>
      </c>
      <c r="H28" s="291">
        <f t="shared" si="0"/>
        <v>-7</v>
      </c>
      <c r="I28" s="297" t="s">
        <v>56</v>
      </c>
      <c r="J28" s="298"/>
      <c r="K28" s="291"/>
      <c r="L28" s="291"/>
      <c r="M28" s="294" t="s">
        <v>57</v>
      </c>
    </row>
    <row r="29" spans="1:28">
      <c r="A29" s="285" t="s">
        <v>59</v>
      </c>
      <c r="B29" s="349">
        <v>-3.5036534750000001</v>
      </c>
      <c r="C29" s="299"/>
      <c r="D29" s="288">
        <v>0.149337338745232</v>
      </c>
      <c r="E29" s="289">
        <v>6</v>
      </c>
      <c r="F29" s="289">
        <v>172.5</v>
      </c>
      <c r="G29" s="290">
        <v>1.78</v>
      </c>
      <c r="H29" s="291">
        <f t="shared" si="0"/>
        <v>-2.7549999999999999</v>
      </c>
      <c r="I29" s="297" t="s">
        <v>60</v>
      </c>
      <c r="J29" s="300"/>
      <c r="K29" s="291"/>
      <c r="L29" s="291"/>
      <c r="M29" s="294" t="s">
        <v>61</v>
      </c>
    </row>
    <row r="30" spans="1:28">
      <c r="A30" s="285" t="s">
        <v>63</v>
      </c>
      <c r="B30" s="349">
        <v>-1.844111364</v>
      </c>
      <c r="C30" s="299"/>
      <c r="D30" s="288">
        <v>0.14842266063120099</v>
      </c>
      <c r="E30" s="289">
        <v>4</v>
      </c>
      <c r="F30" s="289">
        <v>207.5</v>
      </c>
      <c r="G30" s="290">
        <v>1.86</v>
      </c>
      <c r="H30" s="291">
        <f t="shared" si="0"/>
        <v>-3.1850000000000001</v>
      </c>
      <c r="I30" s="301" t="s">
        <v>64</v>
      </c>
      <c r="J30" s="302" t="s">
        <v>735</v>
      </c>
      <c r="K30" s="303"/>
      <c r="L30" s="304"/>
      <c r="M30" s="294" t="s">
        <v>65</v>
      </c>
    </row>
    <row r="31" spans="1:28">
      <c r="A31" s="305" t="s">
        <v>66</v>
      </c>
      <c r="B31" s="349">
        <v>-1.9712166790000001</v>
      </c>
      <c r="C31" s="299"/>
      <c r="D31" s="288">
        <v>0.16179731069006001</v>
      </c>
      <c r="E31" s="289">
        <v>10</v>
      </c>
      <c r="F31" s="289">
        <v>166.5</v>
      </c>
      <c r="G31" s="290">
        <v>0.79</v>
      </c>
      <c r="H31" s="291">
        <f t="shared" si="0"/>
        <v>-1.7050000000000001</v>
      </c>
      <c r="J31" s="291"/>
      <c r="K31" s="291"/>
      <c r="L31" s="291"/>
      <c r="M31" s="294" t="s">
        <v>67</v>
      </c>
    </row>
    <row r="32" spans="1:28">
      <c r="A32" s="295" t="s">
        <v>68</v>
      </c>
      <c r="B32" s="349">
        <v>-4.380905136</v>
      </c>
      <c r="C32" s="299"/>
      <c r="D32" s="288">
        <v>0.21543706061278201</v>
      </c>
      <c r="E32" s="289">
        <v>6</v>
      </c>
      <c r="F32" s="289">
        <v>231.5</v>
      </c>
      <c r="G32" s="290">
        <v>2.4300000000000002</v>
      </c>
      <c r="H32" s="291">
        <f t="shared" si="0"/>
        <v>-3.9950000000000001</v>
      </c>
      <c r="I32" s="306" t="s">
        <v>69</v>
      </c>
      <c r="J32" s="307"/>
      <c r="K32" s="307"/>
      <c r="L32" s="308"/>
      <c r="M32" s="294" t="s">
        <v>70</v>
      </c>
    </row>
    <row r="33" spans="1:13">
      <c r="A33" s="295" t="s">
        <v>71</v>
      </c>
      <c r="B33" s="349">
        <v>-3.9274891529999998</v>
      </c>
      <c r="C33" s="299"/>
      <c r="D33" s="288">
        <v>0.129125206050696</v>
      </c>
      <c r="E33" s="289">
        <v>3</v>
      </c>
      <c r="F33" s="309">
        <v>192.7</v>
      </c>
      <c r="G33" s="290">
        <v>2.63</v>
      </c>
      <c r="H33" s="291">
        <f t="shared" si="0"/>
        <v>-3.8069999999999995</v>
      </c>
      <c r="I33" s="350" t="s">
        <v>736</v>
      </c>
      <c r="J33" s="311"/>
      <c r="K33" s="311"/>
      <c r="L33" s="312"/>
      <c r="M33" s="294" t="s">
        <v>72</v>
      </c>
    </row>
    <row r="34" spans="1:13">
      <c r="A34" s="285" t="s">
        <v>74</v>
      </c>
      <c r="B34" s="349">
        <v>-6.8294383080000003</v>
      </c>
      <c r="C34" s="299"/>
      <c r="D34" s="288">
        <v>0.14911462098310899</v>
      </c>
      <c r="E34" s="289">
        <v>6</v>
      </c>
      <c r="F34" s="289">
        <v>167</v>
      </c>
      <c r="G34" s="290">
        <v>6.32</v>
      </c>
      <c r="H34" s="291">
        <f t="shared" si="0"/>
        <v>-7.24</v>
      </c>
      <c r="I34" s="351" t="s">
        <v>737</v>
      </c>
      <c r="J34" s="314"/>
      <c r="K34" s="314"/>
      <c r="L34" s="316"/>
      <c r="M34" s="294" t="s">
        <v>75</v>
      </c>
    </row>
    <row r="35" spans="1:13">
      <c r="A35" s="295" t="s">
        <v>77</v>
      </c>
      <c r="B35" s="349">
        <v>-4.0274772370000003</v>
      </c>
      <c r="C35" s="299"/>
      <c r="D35" s="288">
        <v>0.15809078703524701</v>
      </c>
      <c r="E35" s="289">
        <v>15</v>
      </c>
      <c r="F35" s="289">
        <v>191.5</v>
      </c>
      <c r="G35" s="290">
        <v>3.39</v>
      </c>
      <c r="H35" s="291">
        <f t="shared" si="0"/>
        <v>-4.5549999999999997</v>
      </c>
      <c r="I35" s="351" t="s">
        <v>738</v>
      </c>
      <c r="J35" s="314"/>
      <c r="K35" s="314"/>
      <c r="L35" s="316"/>
      <c r="M35" s="294" t="s">
        <v>78</v>
      </c>
    </row>
    <row r="36" spans="1:13">
      <c r="A36" s="305" t="s">
        <v>80</v>
      </c>
      <c r="B36" s="349">
        <v>-3.7426525709999998</v>
      </c>
      <c r="C36" s="299"/>
      <c r="D36" s="288">
        <v>0.191150308906822</v>
      </c>
      <c r="E36" s="289">
        <v>3</v>
      </c>
      <c r="F36" s="289">
        <v>246.2</v>
      </c>
      <c r="G36" s="290">
        <v>3.32</v>
      </c>
      <c r="H36" s="291">
        <f t="shared" si="0"/>
        <v>-5.032</v>
      </c>
      <c r="I36" s="352" t="s">
        <v>739</v>
      </c>
      <c r="J36" s="314"/>
      <c r="K36" s="314"/>
      <c r="L36" s="316"/>
      <c r="M36" s="294" t="s">
        <v>81</v>
      </c>
    </row>
    <row r="37" spans="1:13">
      <c r="A37" s="305" t="s">
        <v>73</v>
      </c>
      <c r="B37" s="349">
        <v>-2.8793426819999999</v>
      </c>
      <c r="C37" s="299"/>
      <c r="D37" s="288">
        <v>0.19050575600734301</v>
      </c>
      <c r="E37" s="289">
        <v>4</v>
      </c>
      <c r="F37" s="289">
        <v>304</v>
      </c>
      <c r="G37" s="290">
        <v>1.74</v>
      </c>
      <c r="H37" s="291">
        <f t="shared" si="0"/>
        <v>-4.03</v>
      </c>
      <c r="I37" s="353" t="s">
        <v>740</v>
      </c>
      <c r="J37" s="314"/>
      <c r="K37" s="314"/>
      <c r="L37" s="316"/>
      <c r="M37" s="294" t="s">
        <v>83</v>
      </c>
    </row>
    <row r="38" spans="1:13">
      <c r="A38" s="285" t="s">
        <v>76</v>
      </c>
      <c r="B38" s="349">
        <v>-2.6994229820000002</v>
      </c>
      <c r="C38" s="299"/>
      <c r="D38" s="288">
        <v>0.13682393527498099</v>
      </c>
      <c r="E38" s="289">
        <v>7</v>
      </c>
      <c r="F38" s="289">
        <v>187</v>
      </c>
      <c r="G38" s="290">
        <v>-0.87</v>
      </c>
      <c r="H38" s="291">
        <f t="shared" si="0"/>
        <v>-0.25</v>
      </c>
      <c r="I38" s="353" t="s">
        <v>741</v>
      </c>
      <c r="J38" s="314"/>
      <c r="K38" s="314"/>
      <c r="L38" s="316"/>
      <c r="M38" s="318" t="s">
        <v>85</v>
      </c>
    </row>
    <row r="39" spans="1:13">
      <c r="A39" s="285" t="s">
        <v>87</v>
      </c>
      <c r="B39" s="349">
        <v>-2.401111115</v>
      </c>
      <c r="C39" s="299"/>
      <c r="D39" s="288">
        <v>0.20462356367491999</v>
      </c>
      <c r="E39" s="289">
        <v>4</v>
      </c>
      <c r="F39" s="289">
        <v>221.5</v>
      </c>
      <c r="G39" s="290">
        <v>0.71</v>
      </c>
      <c r="H39" s="291">
        <f t="shared" si="0"/>
        <v>-2.1749999999999998</v>
      </c>
      <c r="I39" s="353" t="s">
        <v>742</v>
      </c>
      <c r="J39" s="314"/>
      <c r="K39" s="314"/>
      <c r="L39" s="316"/>
      <c r="M39" s="294" t="s">
        <v>88</v>
      </c>
    </row>
    <row r="40" spans="1:13">
      <c r="A40" s="285" t="s">
        <v>90</v>
      </c>
      <c r="B40" s="349">
        <v>-5.6092838760000001</v>
      </c>
      <c r="C40" s="299"/>
      <c r="D40" s="288">
        <v>0.182746025644656</v>
      </c>
      <c r="E40" s="289">
        <v>6</v>
      </c>
      <c r="F40" s="289">
        <v>157.833333333333</v>
      </c>
      <c r="G40" s="290">
        <v>3.51</v>
      </c>
      <c r="H40" s="291">
        <f t="shared" si="0"/>
        <v>-4.3383333333333294</v>
      </c>
      <c r="I40" s="353" t="s">
        <v>743</v>
      </c>
      <c r="J40" s="256"/>
      <c r="K40" s="256"/>
      <c r="L40" s="258"/>
      <c r="M40" s="294" t="s">
        <v>91</v>
      </c>
    </row>
    <row r="41" spans="1:13">
      <c r="A41" s="295" t="s">
        <v>93</v>
      </c>
      <c r="B41" s="349">
        <v>-2.0135196529999999</v>
      </c>
      <c r="C41" s="299"/>
      <c r="D41" s="288">
        <v>0.12610247911779701</v>
      </c>
      <c r="E41" s="289">
        <v>8</v>
      </c>
      <c r="F41" s="289">
        <v>140</v>
      </c>
      <c r="G41" s="290">
        <v>0.35</v>
      </c>
      <c r="H41" s="291">
        <f t="shared" si="0"/>
        <v>-1</v>
      </c>
      <c r="I41" s="353" t="s">
        <v>744</v>
      </c>
      <c r="J41" s="256"/>
      <c r="K41" s="256"/>
      <c r="L41" s="258"/>
      <c r="M41" s="294" t="s">
        <v>94</v>
      </c>
    </row>
    <row r="42" spans="1:13">
      <c r="A42" s="295" t="s">
        <v>96</v>
      </c>
      <c r="B42" s="349">
        <v>-3.304756872</v>
      </c>
      <c r="C42" s="299"/>
      <c r="D42" s="288">
        <v>0.14493441954544001</v>
      </c>
      <c r="E42" s="289">
        <v>7</v>
      </c>
      <c r="F42" s="289">
        <v>127.933333333333</v>
      </c>
      <c r="G42" s="290">
        <v>1.74</v>
      </c>
      <c r="H42" s="291">
        <f t="shared" si="0"/>
        <v>-2.2693333333333299</v>
      </c>
      <c r="I42" s="354" t="s">
        <v>745</v>
      </c>
      <c r="J42" s="256"/>
      <c r="K42" s="256"/>
      <c r="L42" s="258"/>
      <c r="M42" s="294" t="s">
        <v>97</v>
      </c>
    </row>
    <row r="43" spans="1:13">
      <c r="A43" s="295" t="s">
        <v>79</v>
      </c>
      <c r="B43" s="349">
        <v>-5.6564312870000002</v>
      </c>
      <c r="C43" s="299"/>
      <c r="D43" s="288">
        <v>0.148613886268708</v>
      </c>
      <c r="E43" s="289">
        <v>7</v>
      </c>
      <c r="F43" s="289">
        <v>176</v>
      </c>
      <c r="G43" s="290">
        <v>4.4800000000000004</v>
      </c>
      <c r="H43" s="291">
        <f t="shared" si="0"/>
        <v>-5.49</v>
      </c>
      <c r="I43" s="354" t="s">
        <v>746</v>
      </c>
      <c r="J43" s="256"/>
      <c r="K43" s="256"/>
      <c r="L43" s="258"/>
      <c r="M43" s="294" t="s">
        <v>99</v>
      </c>
    </row>
    <row r="44" spans="1:13">
      <c r="A44" s="285" t="s">
        <v>101</v>
      </c>
      <c r="B44" s="349">
        <v>-4.5388825749999997</v>
      </c>
      <c r="C44" s="299"/>
      <c r="D44" s="288">
        <v>0.12807114954002</v>
      </c>
      <c r="E44" s="289">
        <v>3</v>
      </c>
      <c r="F44" s="289">
        <v>159.69999999999999</v>
      </c>
      <c r="G44" s="290">
        <v>3.46</v>
      </c>
      <c r="H44" s="291">
        <f t="shared" si="0"/>
        <v>-4.3070000000000004</v>
      </c>
      <c r="I44" s="355" t="s">
        <v>747</v>
      </c>
      <c r="J44" s="263"/>
      <c r="K44" s="263"/>
      <c r="L44" s="265"/>
      <c r="M44" s="294" t="s">
        <v>102</v>
      </c>
    </row>
    <row r="45" spans="1:13">
      <c r="A45" s="295" t="s">
        <v>104</v>
      </c>
      <c r="B45" s="349">
        <v>-1.4516566909999999</v>
      </c>
      <c r="C45" s="299"/>
      <c r="D45" s="288">
        <v>0.21683500301481101</v>
      </c>
      <c r="E45" s="289">
        <v>8</v>
      </c>
      <c r="F45" s="289">
        <v>142</v>
      </c>
      <c r="G45" s="290">
        <v>0.6</v>
      </c>
      <c r="H45" s="291">
        <f t="shared" si="0"/>
        <v>-1.27</v>
      </c>
      <c r="J45" s="291"/>
      <c r="K45" s="291"/>
      <c r="L45" s="291"/>
      <c r="M45" s="294" t="s">
        <v>105</v>
      </c>
    </row>
    <row r="46" spans="1:13">
      <c r="A46" s="295" t="s">
        <v>107</v>
      </c>
      <c r="B46" s="349">
        <v>-3.27424676</v>
      </c>
      <c r="C46" s="299"/>
      <c r="D46" s="288">
        <v>0.18255878892749899</v>
      </c>
      <c r="E46" s="289">
        <v>20</v>
      </c>
      <c r="F46" s="289">
        <v>267</v>
      </c>
      <c r="G46" s="290">
        <v>1.58</v>
      </c>
      <c r="H46" s="291">
        <f t="shared" si="0"/>
        <v>-3.5</v>
      </c>
      <c r="I46" s="321" t="s">
        <v>133</v>
      </c>
      <c r="J46" s="302">
        <v>881</v>
      </c>
      <c r="K46" s="304"/>
      <c r="L46" s="291"/>
      <c r="M46" s="294" t="s">
        <v>108</v>
      </c>
    </row>
    <row r="47" spans="1:13">
      <c r="A47" s="285" t="s">
        <v>110</v>
      </c>
      <c r="B47" s="349">
        <v>-4.282462013</v>
      </c>
      <c r="C47" s="299"/>
      <c r="D47" s="288">
        <v>0.16704647063532599</v>
      </c>
      <c r="E47" s="289">
        <v>6</v>
      </c>
      <c r="F47" s="289">
        <v>110</v>
      </c>
      <c r="G47" s="290">
        <v>3.36</v>
      </c>
      <c r="H47" s="291">
        <f t="shared" si="0"/>
        <v>-3.71</v>
      </c>
      <c r="I47" s="321" t="s">
        <v>136</v>
      </c>
      <c r="J47" s="302">
        <v>164</v>
      </c>
      <c r="K47" s="304"/>
      <c r="L47" s="291"/>
      <c r="M47" s="294" t="s">
        <v>111</v>
      </c>
    </row>
    <row r="48" spans="1:13">
      <c r="A48" s="295" t="s">
        <v>82</v>
      </c>
      <c r="B48" s="349">
        <v>-3.418103307</v>
      </c>
      <c r="C48" s="299"/>
      <c r="D48" s="288">
        <v>0.1716450131236</v>
      </c>
      <c r="E48" s="289">
        <v>7</v>
      </c>
      <c r="F48" s="289">
        <v>182</v>
      </c>
      <c r="G48" s="290">
        <v>2.67</v>
      </c>
      <c r="H48" s="291">
        <f t="shared" si="0"/>
        <v>-3.74</v>
      </c>
      <c r="I48" s="321" t="s">
        <v>139</v>
      </c>
      <c r="J48" s="322">
        <f>COUNTA(A23:A122)</f>
        <v>100</v>
      </c>
      <c r="K48" s="304"/>
      <c r="L48" s="291"/>
      <c r="M48" s="294" t="s">
        <v>113</v>
      </c>
    </row>
    <row r="49" spans="1:13">
      <c r="A49" s="295" t="s">
        <v>115</v>
      </c>
      <c r="B49" s="349">
        <v>-3.7294612950000001</v>
      </c>
      <c r="C49" s="299"/>
      <c r="D49" s="288">
        <v>0.12558353028546099</v>
      </c>
      <c r="E49" s="289">
        <v>4</v>
      </c>
      <c r="F49" s="289">
        <v>222</v>
      </c>
      <c r="G49" s="290">
        <v>2.56</v>
      </c>
      <c r="H49" s="291">
        <f t="shared" si="0"/>
        <v>-4.03</v>
      </c>
      <c r="I49" s="291"/>
      <c r="J49" s="291"/>
      <c r="K49" s="291"/>
      <c r="L49" s="291"/>
      <c r="M49" s="294" t="s">
        <v>116</v>
      </c>
    </row>
    <row r="50" spans="1:13">
      <c r="A50" s="295" t="s">
        <v>118</v>
      </c>
      <c r="B50" s="349">
        <v>-5.6533505870000003</v>
      </c>
      <c r="C50" s="299"/>
      <c r="D50" s="288">
        <v>0.15681339906647901</v>
      </c>
      <c r="E50" s="289">
        <v>6</v>
      </c>
      <c r="F50" s="289">
        <v>151</v>
      </c>
      <c r="G50" s="290">
        <v>3.27</v>
      </c>
      <c r="H50" s="291">
        <f t="shared" si="0"/>
        <v>-4.03</v>
      </c>
      <c r="I50" s="324" t="s">
        <v>144</v>
      </c>
      <c r="J50" s="307"/>
      <c r="K50" s="307"/>
      <c r="L50" s="308"/>
      <c r="M50" s="294" t="s">
        <v>119</v>
      </c>
    </row>
    <row r="51" spans="1:13">
      <c r="A51" s="285" t="s">
        <v>84</v>
      </c>
      <c r="B51" s="349">
        <v>-4.1411679499999998</v>
      </c>
      <c r="C51" s="299"/>
      <c r="D51" s="288">
        <v>0.12789394574374299</v>
      </c>
      <c r="E51" s="289">
        <v>5</v>
      </c>
      <c r="F51" s="289">
        <v>330</v>
      </c>
      <c r="G51" s="290">
        <v>2.87</v>
      </c>
      <c r="H51" s="291">
        <f t="shared" si="0"/>
        <v>-5.42</v>
      </c>
      <c r="I51" s="310" t="s">
        <v>748</v>
      </c>
      <c r="J51" s="311"/>
      <c r="K51" s="311"/>
      <c r="L51" s="312"/>
      <c r="M51" s="294" t="s">
        <v>120</v>
      </c>
    </row>
    <row r="52" spans="1:13">
      <c r="A52" s="295" t="s">
        <v>121</v>
      </c>
      <c r="B52" s="349">
        <v>-4.2647117669999997</v>
      </c>
      <c r="C52" s="299"/>
      <c r="D52" s="288">
        <v>0.18012800124370401</v>
      </c>
      <c r="E52" s="289">
        <v>3</v>
      </c>
      <c r="F52" s="289">
        <v>100</v>
      </c>
      <c r="G52" s="290">
        <v>3.53</v>
      </c>
      <c r="H52" s="291">
        <f t="shared" si="0"/>
        <v>-3.78</v>
      </c>
      <c r="I52" s="313" t="s">
        <v>749</v>
      </c>
      <c r="J52" s="314"/>
      <c r="K52" s="314"/>
      <c r="L52" s="316"/>
      <c r="M52" s="294" t="s">
        <v>122</v>
      </c>
    </row>
    <row r="53" spans="1:13">
      <c r="A53" s="285" t="s">
        <v>123</v>
      </c>
      <c r="B53" s="349">
        <v>-4.0454073629999998</v>
      </c>
      <c r="C53" s="299"/>
      <c r="D53" s="288">
        <v>0.180621047507217</v>
      </c>
      <c r="E53" s="289">
        <v>16</v>
      </c>
      <c r="F53" s="289">
        <v>262.5</v>
      </c>
      <c r="G53" s="290">
        <v>1.9</v>
      </c>
      <c r="H53" s="291">
        <f t="shared" si="0"/>
        <v>-3.7749999999999999</v>
      </c>
      <c r="I53" s="313"/>
      <c r="J53" s="314"/>
      <c r="K53" s="314"/>
      <c r="L53" s="316"/>
      <c r="M53" s="294" t="s">
        <v>124</v>
      </c>
    </row>
    <row r="54" spans="1:13">
      <c r="A54" s="295" t="s">
        <v>125</v>
      </c>
      <c r="B54" s="349">
        <v>-3.3437865160000002</v>
      </c>
      <c r="C54" s="299"/>
      <c r="D54" s="288">
        <v>0.2215624426866</v>
      </c>
      <c r="E54" s="289">
        <v>4</v>
      </c>
      <c r="F54" s="289">
        <v>328.85</v>
      </c>
      <c r="G54" s="290">
        <v>1.87</v>
      </c>
      <c r="H54" s="291">
        <f t="shared" si="0"/>
        <v>-4.4085000000000001</v>
      </c>
      <c r="I54" s="313"/>
      <c r="J54" s="314"/>
      <c r="K54" s="314"/>
      <c r="L54" s="316"/>
      <c r="M54" s="294" t="s">
        <v>126</v>
      </c>
    </row>
    <row r="55" spans="1:13">
      <c r="A55" s="295" t="s">
        <v>127</v>
      </c>
      <c r="B55" s="349">
        <v>-5.149466565</v>
      </c>
      <c r="C55" s="299"/>
      <c r="D55" s="288">
        <v>0.184508117807134</v>
      </c>
      <c r="E55" s="289">
        <v>33</v>
      </c>
      <c r="F55" s="289">
        <v>167.5</v>
      </c>
      <c r="G55" s="290">
        <v>4.3600000000000003</v>
      </c>
      <c r="H55" s="291">
        <f t="shared" si="0"/>
        <v>-5.2850000000000001</v>
      </c>
      <c r="I55" s="313"/>
      <c r="J55" s="314"/>
      <c r="K55" s="314"/>
      <c r="L55" s="316"/>
      <c r="M55" s="294" t="s">
        <v>128</v>
      </c>
    </row>
    <row r="56" spans="1:13">
      <c r="A56" s="295" t="s">
        <v>86</v>
      </c>
      <c r="B56" s="349">
        <v>-4.6629573479999999</v>
      </c>
      <c r="C56" s="299"/>
      <c r="D56" s="288">
        <v>0.15609203233531499</v>
      </c>
      <c r="E56" s="289">
        <v>3</v>
      </c>
      <c r="F56" s="289">
        <v>223</v>
      </c>
      <c r="G56" s="290">
        <v>2.99</v>
      </c>
      <c r="H56" s="291">
        <f t="shared" si="0"/>
        <v>-4.4700000000000006</v>
      </c>
      <c r="I56" s="313"/>
      <c r="J56" s="314"/>
      <c r="K56" s="314"/>
      <c r="L56" s="316"/>
      <c r="M56" s="294" t="s">
        <v>129</v>
      </c>
    </row>
    <row r="57" spans="1:13">
      <c r="A57" s="295" t="s">
        <v>89</v>
      </c>
      <c r="B57" s="349">
        <v>-4.102901299</v>
      </c>
      <c r="C57" s="299"/>
      <c r="D57" s="288">
        <v>0.20872343532408</v>
      </c>
      <c r="E57" s="289">
        <v>3</v>
      </c>
      <c r="F57" s="289">
        <v>210.5</v>
      </c>
      <c r="G57" s="290">
        <v>2.72</v>
      </c>
      <c r="H57" s="291">
        <f t="shared" si="0"/>
        <v>-4.0750000000000002</v>
      </c>
      <c r="I57" s="313"/>
      <c r="J57" s="314"/>
      <c r="K57" s="314"/>
      <c r="L57" s="316"/>
      <c r="M57" s="294" t="s">
        <v>130</v>
      </c>
    </row>
    <row r="58" spans="1:13">
      <c r="A58" s="295" t="s">
        <v>131</v>
      </c>
      <c r="B58" s="349">
        <v>-4.5930197030000004</v>
      </c>
      <c r="C58" s="299"/>
      <c r="D58" s="288">
        <v>0.12973190134165599</v>
      </c>
      <c r="E58" s="289">
        <v>3</v>
      </c>
      <c r="F58" s="289">
        <v>209.75</v>
      </c>
      <c r="G58" s="290">
        <v>3.37</v>
      </c>
      <c r="H58" s="291">
        <f t="shared" si="0"/>
        <v>-4.7175000000000002</v>
      </c>
      <c r="I58" s="313"/>
      <c r="J58" s="314"/>
      <c r="K58" s="314"/>
      <c r="L58" s="316"/>
      <c r="M58" s="294" t="s">
        <v>132</v>
      </c>
    </row>
    <row r="59" spans="1:13">
      <c r="A59" s="285" t="s">
        <v>92</v>
      </c>
      <c r="B59" s="349">
        <v>-3.3767147999999998</v>
      </c>
      <c r="C59" s="299"/>
      <c r="D59" s="288">
        <v>0.14124198841117799</v>
      </c>
      <c r="E59" s="289">
        <v>3</v>
      </c>
      <c r="F59" s="289">
        <v>53.5</v>
      </c>
      <c r="G59" s="290">
        <v>3.43</v>
      </c>
      <c r="H59" s="291">
        <f t="shared" si="0"/>
        <v>-3.2150000000000003</v>
      </c>
      <c r="I59" s="313"/>
      <c r="J59" s="314"/>
      <c r="K59" s="314"/>
      <c r="L59" s="316"/>
      <c r="M59" s="294" t="s">
        <v>134</v>
      </c>
    </row>
    <row r="60" spans="1:13">
      <c r="A60" s="285" t="s">
        <v>135</v>
      </c>
      <c r="B60" s="349">
        <v>-1.5246434959999999</v>
      </c>
      <c r="C60" s="299"/>
      <c r="D60" s="288">
        <v>0.170692818664089</v>
      </c>
      <c r="E60" s="289">
        <v>6</v>
      </c>
      <c r="F60" s="289">
        <v>270</v>
      </c>
      <c r="G60" s="290">
        <v>0.05</v>
      </c>
      <c r="H60" s="291">
        <f t="shared" si="0"/>
        <v>-2</v>
      </c>
      <c r="I60" s="313"/>
      <c r="J60" s="314"/>
      <c r="K60" s="314"/>
      <c r="L60" s="316"/>
      <c r="M60" s="294" t="s">
        <v>137</v>
      </c>
    </row>
    <row r="61" spans="1:13">
      <c r="A61" s="295" t="s">
        <v>138</v>
      </c>
      <c r="B61" s="349">
        <v>-2.5132229060000002</v>
      </c>
      <c r="C61" s="299"/>
      <c r="D61" s="288">
        <v>0.206147596831632</v>
      </c>
      <c r="E61" s="289">
        <v>3</v>
      </c>
      <c r="F61" s="289">
        <v>143.75</v>
      </c>
      <c r="G61" s="290">
        <v>1.6</v>
      </c>
      <c r="H61" s="291">
        <f t="shared" si="0"/>
        <v>-2.2875000000000001</v>
      </c>
      <c r="I61" s="313"/>
      <c r="J61" s="314"/>
      <c r="K61" s="314"/>
      <c r="L61" s="316"/>
      <c r="M61" s="294" t="s">
        <v>140</v>
      </c>
    </row>
    <row r="62" spans="1:13">
      <c r="A62" s="285" t="s">
        <v>141</v>
      </c>
      <c r="B62" s="349">
        <v>-4.0845221519999999</v>
      </c>
      <c r="C62" s="299"/>
      <c r="D62" s="288">
        <v>0.180214226227635</v>
      </c>
      <c r="E62" s="289">
        <v>5</v>
      </c>
      <c r="F62" s="289">
        <v>214.5</v>
      </c>
      <c r="G62" s="290">
        <v>3.61</v>
      </c>
      <c r="H62" s="291">
        <f t="shared" si="0"/>
        <v>-5.0049999999999999</v>
      </c>
      <c r="I62" s="313"/>
      <c r="J62" s="314"/>
      <c r="K62" s="314"/>
      <c r="L62" s="316"/>
      <c r="M62" s="294" t="s">
        <v>142</v>
      </c>
    </row>
    <row r="63" spans="1:13">
      <c r="A63" s="295" t="s">
        <v>143</v>
      </c>
      <c r="B63" s="349">
        <v>-4.4046626140000003</v>
      </c>
      <c r="C63" s="299"/>
      <c r="D63" s="288">
        <v>0.19225415374507401</v>
      </c>
      <c r="E63" s="289">
        <v>8</v>
      </c>
      <c r="F63" s="289">
        <v>255.3</v>
      </c>
      <c r="G63" s="290">
        <v>3.82</v>
      </c>
      <c r="H63" s="291">
        <f t="shared" si="0"/>
        <v>-5.6230000000000002</v>
      </c>
      <c r="I63" s="313"/>
      <c r="J63" s="314"/>
      <c r="K63" s="314"/>
      <c r="L63" s="316"/>
      <c r="M63" s="294" t="s">
        <v>145</v>
      </c>
    </row>
    <row r="64" spans="1:13">
      <c r="A64" s="295" t="s">
        <v>146</v>
      </c>
      <c r="B64" s="349">
        <v>-3.4907899410000001</v>
      </c>
      <c r="C64" s="299"/>
      <c r="D64" s="288">
        <v>0.17</v>
      </c>
      <c r="E64" s="289">
        <v>3</v>
      </c>
      <c r="F64" s="289">
        <v>189</v>
      </c>
      <c r="G64" s="290">
        <v>1.34</v>
      </c>
      <c r="H64" s="291">
        <f t="shared" si="0"/>
        <v>-2.4800000000000004</v>
      </c>
      <c r="I64" s="313"/>
      <c r="J64" s="314"/>
      <c r="K64" s="314"/>
      <c r="L64" s="316"/>
      <c r="M64" s="294" t="s">
        <v>148</v>
      </c>
    </row>
    <row r="65" spans="1:13">
      <c r="A65" s="295" t="s">
        <v>149</v>
      </c>
      <c r="B65" s="349">
        <v>-2.6780037800000001</v>
      </c>
      <c r="C65" s="299"/>
      <c r="D65" s="288">
        <v>0.19794493160510701</v>
      </c>
      <c r="E65" s="289">
        <v>4</v>
      </c>
      <c r="F65" s="289">
        <v>243.5</v>
      </c>
      <c r="G65" s="290">
        <v>1.34</v>
      </c>
      <c r="H65" s="291">
        <f t="shared" si="0"/>
        <v>-3.0250000000000004</v>
      </c>
      <c r="I65" s="313"/>
      <c r="J65" s="314"/>
      <c r="K65" s="314"/>
      <c r="L65" s="316"/>
      <c r="M65" s="294" t="s">
        <v>151</v>
      </c>
    </row>
    <row r="66" spans="1:13">
      <c r="A66" s="285" t="s">
        <v>95</v>
      </c>
      <c r="B66" s="349">
        <v>-1.9376696819999999</v>
      </c>
      <c r="C66" s="299"/>
      <c r="D66" s="288">
        <v>0.210560990742934</v>
      </c>
      <c r="E66" s="289">
        <v>3</v>
      </c>
      <c r="F66" s="289">
        <v>36.5</v>
      </c>
      <c r="G66" s="290">
        <v>2.74</v>
      </c>
      <c r="H66" s="291">
        <f t="shared" si="0"/>
        <v>-2.3550000000000004</v>
      </c>
      <c r="I66" s="313"/>
      <c r="J66" s="314"/>
      <c r="K66" s="314"/>
      <c r="L66" s="316"/>
      <c r="M66" s="294" t="s">
        <v>152</v>
      </c>
    </row>
    <row r="67" spans="1:13">
      <c r="A67" s="305" t="s">
        <v>153</v>
      </c>
      <c r="B67" s="349">
        <v>-4.3266301470000004</v>
      </c>
      <c r="C67" s="299"/>
      <c r="D67" s="288">
        <v>0.21092434073951899</v>
      </c>
      <c r="E67" s="289">
        <v>10</v>
      </c>
      <c r="F67" s="289">
        <v>186</v>
      </c>
      <c r="G67" s="290">
        <v>3.4</v>
      </c>
      <c r="H67" s="291">
        <f t="shared" si="0"/>
        <v>-4.51</v>
      </c>
      <c r="I67" s="313"/>
      <c r="J67" s="314"/>
      <c r="K67" s="314"/>
      <c r="L67" s="316"/>
      <c r="M67" s="294" t="s">
        <v>154</v>
      </c>
    </row>
    <row r="68" spans="1:13">
      <c r="A68" s="285" t="s">
        <v>98</v>
      </c>
      <c r="B68" s="349">
        <v>-3.2357693410000001</v>
      </c>
      <c r="C68" s="299"/>
      <c r="D68" s="288">
        <v>0.18695478693957199</v>
      </c>
      <c r="E68" s="289">
        <v>3</v>
      </c>
      <c r="F68" s="289">
        <v>253</v>
      </c>
      <c r="G68" s="290">
        <v>2.35</v>
      </c>
      <c r="H68" s="291">
        <f t="shared" si="0"/>
        <v>-4.1300000000000008</v>
      </c>
      <c r="I68" s="313"/>
      <c r="J68" s="314"/>
      <c r="K68" s="314"/>
      <c r="L68" s="316"/>
      <c r="M68" s="294" t="s">
        <v>155</v>
      </c>
    </row>
    <row r="69" spans="1:13">
      <c r="A69" s="305" t="s">
        <v>156</v>
      </c>
      <c r="B69" s="349">
        <v>-3.9507437369999998</v>
      </c>
      <c r="C69" s="299"/>
      <c r="D69" s="288">
        <v>0.20491085989689101</v>
      </c>
      <c r="E69" s="289">
        <v>23</v>
      </c>
      <c r="F69" s="289">
        <v>111</v>
      </c>
      <c r="G69" s="290">
        <v>3.68</v>
      </c>
      <c r="H69" s="291">
        <f t="shared" si="0"/>
        <v>-4.04</v>
      </c>
      <c r="I69" s="313"/>
      <c r="J69" s="314"/>
      <c r="K69" s="314"/>
      <c r="L69" s="316"/>
      <c r="M69" s="294" t="s">
        <v>157</v>
      </c>
    </row>
    <row r="70" spans="1:13">
      <c r="A70" s="285" t="s">
        <v>158</v>
      </c>
      <c r="B70" s="349">
        <v>-3.755120341</v>
      </c>
      <c r="C70" s="299"/>
      <c r="D70" s="288">
        <v>0.15545016183846899</v>
      </c>
      <c r="E70" s="289">
        <v>6</v>
      </c>
      <c r="F70" s="289">
        <v>250</v>
      </c>
      <c r="G70" s="290">
        <v>-0.04</v>
      </c>
      <c r="H70" s="291">
        <f t="shared" si="0"/>
        <v>-1.71</v>
      </c>
      <c r="I70" s="313"/>
      <c r="J70" s="314"/>
      <c r="K70" s="314"/>
      <c r="L70" s="316"/>
      <c r="M70" s="294" t="s">
        <v>159</v>
      </c>
    </row>
    <row r="71" spans="1:13">
      <c r="A71" s="295" t="s">
        <v>160</v>
      </c>
      <c r="B71" s="349">
        <v>-1.827832546</v>
      </c>
      <c r="C71" s="299"/>
      <c r="D71" s="288">
        <v>0.13261436390895101</v>
      </c>
      <c r="E71" s="289">
        <v>3</v>
      </c>
      <c r="F71" s="289">
        <v>250</v>
      </c>
      <c r="G71" s="290">
        <v>-1.97</v>
      </c>
      <c r="H71" s="291">
        <f t="shared" si="0"/>
        <v>0.21999999999999975</v>
      </c>
      <c r="I71" s="313"/>
      <c r="J71" s="314"/>
      <c r="K71" s="314"/>
      <c r="L71" s="316"/>
      <c r="M71" s="294" t="s">
        <v>161</v>
      </c>
    </row>
    <row r="72" spans="1:13">
      <c r="A72" s="295" t="s">
        <v>162</v>
      </c>
      <c r="B72" s="349">
        <v>-3.6855973620000002</v>
      </c>
      <c r="C72" s="299"/>
      <c r="D72" s="288">
        <v>0.21159815676624999</v>
      </c>
      <c r="E72" s="289">
        <v>9</v>
      </c>
      <c r="F72" s="289">
        <v>208.5</v>
      </c>
      <c r="G72" s="290">
        <v>2.08</v>
      </c>
      <c r="H72" s="291">
        <f t="shared" si="0"/>
        <v>-3.415</v>
      </c>
      <c r="I72" s="313"/>
      <c r="J72" s="314"/>
      <c r="K72" s="314"/>
      <c r="L72" s="316"/>
      <c r="M72" s="294" t="s">
        <v>163</v>
      </c>
    </row>
    <row r="73" spans="1:13">
      <c r="A73" s="295" t="s">
        <v>164</v>
      </c>
      <c r="B73" s="349">
        <v>-3.4594520790000001</v>
      </c>
      <c r="C73" s="299"/>
      <c r="D73" s="288">
        <v>0.19001512437058701</v>
      </c>
      <c r="E73" s="289">
        <v>15</v>
      </c>
      <c r="F73" s="289">
        <v>220</v>
      </c>
      <c r="G73" s="290">
        <v>2.69</v>
      </c>
      <c r="H73" s="291">
        <f t="shared" si="0"/>
        <v>-4.1399999999999997</v>
      </c>
      <c r="I73" s="313"/>
      <c r="J73" s="314"/>
      <c r="K73" s="314"/>
      <c r="L73" s="316"/>
      <c r="M73" s="294" t="s">
        <v>165</v>
      </c>
    </row>
    <row r="74" spans="1:13">
      <c r="A74" s="295" t="s">
        <v>166</v>
      </c>
      <c r="B74" s="349">
        <v>-4.5303956860000003</v>
      </c>
      <c r="C74" s="299"/>
      <c r="D74" s="288">
        <v>0.169781830230266</v>
      </c>
      <c r="E74" s="289">
        <v>10</v>
      </c>
      <c r="F74" s="289">
        <v>151</v>
      </c>
      <c r="G74" s="290">
        <v>4.43</v>
      </c>
      <c r="H74" s="291">
        <f t="shared" si="0"/>
        <v>-5.1899999999999995</v>
      </c>
      <c r="I74" s="313"/>
      <c r="J74" s="314"/>
      <c r="K74" s="314"/>
      <c r="L74" s="316"/>
      <c r="M74" s="294" t="s">
        <v>167</v>
      </c>
    </row>
    <row r="75" spans="1:13">
      <c r="A75" s="305" t="s">
        <v>100</v>
      </c>
      <c r="B75" s="349">
        <v>-5.2850020830000002</v>
      </c>
      <c r="C75" s="299"/>
      <c r="D75" s="288">
        <v>0.19416214604145601</v>
      </c>
      <c r="E75" s="289">
        <v>7</v>
      </c>
      <c r="F75" s="289">
        <v>154.5</v>
      </c>
      <c r="G75" s="290">
        <v>4.22</v>
      </c>
      <c r="H75" s="291">
        <f t="shared" si="0"/>
        <v>-5.0149999999999997</v>
      </c>
      <c r="I75" s="313"/>
      <c r="J75" s="314"/>
      <c r="K75" s="314"/>
      <c r="L75" s="316"/>
      <c r="M75" s="294" t="s">
        <v>168</v>
      </c>
    </row>
    <row r="76" spans="1:13">
      <c r="A76" s="295" t="s">
        <v>169</v>
      </c>
      <c r="B76" s="349">
        <v>-4.8184677750000002</v>
      </c>
      <c r="C76" s="299"/>
      <c r="D76" s="288">
        <v>0.16048013551961601</v>
      </c>
      <c r="E76" s="289">
        <v>5</v>
      </c>
      <c r="F76" s="289">
        <v>167.75</v>
      </c>
      <c r="G76" s="290">
        <v>2.87</v>
      </c>
      <c r="H76" s="291">
        <f t="shared" si="0"/>
        <v>-3.7975000000000003</v>
      </c>
      <c r="I76" s="313"/>
      <c r="J76" s="314"/>
      <c r="K76" s="314"/>
      <c r="L76" s="316"/>
      <c r="M76" s="294" t="s">
        <v>170</v>
      </c>
    </row>
    <row r="77" spans="1:13">
      <c r="A77" s="295" t="s">
        <v>171</v>
      </c>
      <c r="B77" s="349">
        <v>-4.5384227109999999</v>
      </c>
      <c r="C77" s="299"/>
      <c r="D77" s="288">
        <v>0.22239504833634899</v>
      </c>
      <c r="E77" s="289">
        <v>21</v>
      </c>
      <c r="F77" s="289">
        <v>159</v>
      </c>
      <c r="G77" s="290">
        <v>3.93</v>
      </c>
      <c r="H77" s="291">
        <f t="shared" si="0"/>
        <v>-4.7700000000000005</v>
      </c>
      <c r="I77" s="313"/>
      <c r="J77" s="314"/>
      <c r="K77" s="314"/>
      <c r="L77" s="316"/>
      <c r="M77" s="294" t="s">
        <v>172</v>
      </c>
    </row>
    <row r="78" spans="1:13">
      <c r="A78" s="295" t="s">
        <v>173</v>
      </c>
      <c r="B78" s="349">
        <v>-3.6060260560000001</v>
      </c>
      <c r="C78" s="299"/>
      <c r="D78" s="288">
        <v>0.21209434799218399</v>
      </c>
      <c r="E78" s="289">
        <v>5</v>
      </c>
      <c r="F78" s="289">
        <v>213.5</v>
      </c>
      <c r="G78" s="290">
        <v>3.04</v>
      </c>
      <c r="H78" s="291">
        <f t="shared" si="0"/>
        <v>-4.4249999999999998</v>
      </c>
      <c r="I78" s="313"/>
      <c r="J78" s="314"/>
      <c r="K78" s="314"/>
      <c r="L78" s="316"/>
      <c r="M78" s="294" t="s">
        <v>174</v>
      </c>
    </row>
    <row r="79" spans="1:13">
      <c r="A79" s="295" t="s">
        <v>175</v>
      </c>
      <c r="B79" s="349">
        <v>-5.255440117</v>
      </c>
      <c r="C79" s="299"/>
      <c r="D79" s="288">
        <v>0.14072241564069299</v>
      </c>
      <c r="E79" s="289">
        <v>11</v>
      </c>
      <c r="F79" s="289">
        <v>146</v>
      </c>
      <c r="G79" s="290">
        <v>4.21</v>
      </c>
      <c r="H79" s="291">
        <f t="shared" si="0"/>
        <v>-4.92</v>
      </c>
      <c r="I79" s="313"/>
      <c r="J79" s="314"/>
      <c r="K79" s="314"/>
      <c r="L79" s="316"/>
      <c r="M79" s="294" t="s">
        <v>176</v>
      </c>
    </row>
    <row r="80" spans="1:13">
      <c r="A80" s="295" t="s">
        <v>177</v>
      </c>
      <c r="B80" s="349">
        <v>-4.1077315460000001</v>
      </c>
      <c r="C80" s="299"/>
      <c r="D80" s="288">
        <v>0.21748916450754399</v>
      </c>
      <c r="E80" s="289">
        <v>5</v>
      </c>
      <c r="F80" s="289">
        <v>92.3333333333333</v>
      </c>
      <c r="G80" s="290">
        <v>4.21</v>
      </c>
      <c r="H80" s="291">
        <f t="shared" si="0"/>
        <v>-4.3833333333333329</v>
      </c>
      <c r="I80" s="313"/>
      <c r="J80" s="314"/>
      <c r="K80" s="314"/>
      <c r="L80" s="316"/>
      <c r="M80" s="294" t="s">
        <v>178</v>
      </c>
    </row>
    <row r="81" spans="1:13">
      <c r="A81" s="285" t="s">
        <v>179</v>
      </c>
      <c r="B81" s="349">
        <v>-4.110224745</v>
      </c>
      <c r="C81" s="299"/>
      <c r="D81" s="288">
        <v>0.20531013145176399</v>
      </c>
      <c r="E81" s="289">
        <v>8</v>
      </c>
      <c r="F81" s="289">
        <v>256</v>
      </c>
      <c r="G81" s="290">
        <v>2.71</v>
      </c>
      <c r="H81" s="291">
        <f t="shared" si="0"/>
        <v>-4.5199999999999996</v>
      </c>
      <c r="I81" s="313"/>
      <c r="J81" s="314"/>
      <c r="K81" s="314"/>
      <c r="L81" s="316"/>
      <c r="M81" s="294" t="s">
        <v>180</v>
      </c>
    </row>
    <row r="82" spans="1:13">
      <c r="A82" s="285" t="s">
        <v>181</v>
      </c>
      <c r="B82" s="349">
        <v>-3.5362934250000002</v>
      </c>
      <c r="C82" s="299"/>
      <c r="D82" s="288">
        <v>0.211767851422238</v>
      </c>
      <c r="E82" s="289">
        <v>3</v>
      </c>
      <c r="F82" s="289">
        <v>80</v>
      </c>
      <c r="G82" s="290">
        <v>3.37</v>
      </c>
      <c r="H82" s="291">
        <f t="shared" si="0"/>
        <v>-3.42</v>
      </c>
      <c r="I82" s="313"/>
      <c r="J82" s="314"/>
      <c r="K82" s="314"/>
      <c r="L82" s="316"/>
      <c r="M82" s="294" t="s">
        <v>182</v>
      </c>
    </row>
    <row r="83" spans="1:13">
      <c r="A83" s="285" t="s">
        <v>183</v>
      </c>
      <c r="B83" s="349">
        <v>-3.388958465</v>
      </c>
      <c r="C83" s="299"/>
      <c r="D83" s="288">
        <v>0.16217657762412199</v>
      </c>
      <c r="E83" s="289">
        <v>17</v>
      </c>
      <c r="F83" s="289">
        <v>153</v>
      </c>
      <c r="G83" s="290">
        <v>3.04</v>
      </c>
      <c r="H83" s="291">
        <f t="shared" si="0"/>
        <v>-3.8200000000000003</v>
      </c>
      <c r="I83" s="313"/>
      <c r="J83" s="314"/>
      <c r="K83" s="314"/>
      <c r="L83" s="316"/>
      <c r="M83" s="294" t="s">
        <v>184</v>
      </c>
    </row>
    <row r="84" spans="1:13">
      <c r="A84" s="295" t="s">
        <v>185</v>
      </c>
      <c r="B84" s="349">
        <v>-5.6612514669999996</v>
      </c>
      <c r="C84" s="299"/>
      <c r="D84" s="288">
        <v>0.204488274966239</v>
      </c>
      <c r="E84" s="289">
        <v>3</v>
      </c>
      <c r="F84" s="289">
        <v>349.84</v>
      </c>
      <c r="G84" s="290">
        <v>4.75</v>
      </c>
      <c r="H84" s="291">
        <f t="shared" si="0"/>
        <v>-7.4984000000000002</v>
      </c>
      <c r="I84" s="313"/>
      <c r="J84" s="314"/>
      <c r="K84" s="314"/>
      <c r="L84" s="316"/>
      <c r="M84" s="294" t="s">
        <v>186</v>
      </c>
    </row>
    <row r="85" spans="1:13">
      <c r="A85" s="295" t="s">
        <v>187</v>
      </c>
      <c r="B85" s="349">
        <v>-3.9033013900000002</v>
      </c>
      <c r="C85" s="299"/>
      <c r="D85" s="288">
        <v>0.14358294446577699</v>
      </c>
      <c r="E85" s="289">
        <v>6</v>
      </c>
      <c r="F85" s="289">
        <v>248</v>
      </c>
      <c r="G85" s="290">
        <v>2.65</v>
      </c>
      <c r="H85" s="291">
        <f t="shared" si="0"/>
        <v>-4.38</v>
      </c>
      <c r="I85" s="313"/>
      <c r="J85" s="314"/>
      <c r="K85" s="314"/>
      <c r="L85" s="316"/>
      <c r="M85" s="294" t="s">
        <v>188</v>
      </c>
    </row>
    <row r="86" spans="1:13">
      <c r="A86" s="295" t="s">
        <v>189</v>
      </c>
      <c r="B86" s="349">
        <v>-2.9914999670000002</v>
      </c>
      <c r="C86" s="299"/>
      <c r="D86" s="288">
        <v>0.153840969889913</v>
      </c>
      <c r="E86" s="289">
        <v>11</v>
      </c>
      <c r="F86" s="289">
        <v>173</v>
      </c>
      <c r="G86" s="290">
        <v>2.1800000000000002</v>
      </c>
      <c r="H86" s="291">
        <f t="shared" si="0"/>
        <v>-3.16</v>
      </c>
      <c r="I86" s="313"/>
      <c r="J86" s="314"/>
      <c r="K86" s="314"/>
      <c r="L86" s="316"/>
      <c r="M86" s="294" t="s">
        <v>190</v>
      </c>
    </row>
    <row r="87" spans="1:13">
      <c r="A87" s="295" t="s">
        <v>191</v>
      </c>
      <c r="B87" s="349">
        <v>-3.7533031889999999</v>
      </c>
      <c r="C87" s="299"/>
      <c r="D87" s="288">
        <v>0.14176528631434901</v>
      </c>
      <c r="E87" s="289">
        <v>5</v>
      </c>
      <c r="F87" s="289">
        <v>143.75</v>
      </c>
      <c r="G87" s="290">
        <v>2.76</v>
      </c>
      <c r="H87" s="291">
        <f t="shared" ref="H87:H122" si="1">0.5-G87-0.01*(F87-25)</f>
        <v>-3.4474999999999998</v>
      </c>
      <c r="I87" s="313"/>
      <c r="J87" s="314"/>
      <c r="K87" s="314"/>
      <c r="L87" s="316"/>
      <c r="M87" s="294" t="s">
        <v>192</v>
      </c>
    </row>
    <row r="88" spans="1:13">
      <c r="A88" s="295" t="s">
        <v>193</v>
      </c>
      <c r="B88" s="349">
        <v>-2.3439106380000001</v>
      </c>
      <c r="C88" s="299"/>
      <c r="D88" s="288">
        <v>0.16213928191469301</v>
      </c>
      <c r="E88" s="289">
        <v>19</v>
      </c>
      <c r="F88" s="289">
        <v>220.5</v>
      </c>
      <c r="G88" s="290">
        <v>1.27</v>
      </c>
      <c r="H88" s="291">
        <f t="shared" si="1"/>
        <v>-2.7250000000000001</v>
      </c>
      <c r="I88" s="313"/>
      <c r="J88" s="314"/>
      <c r="K88" s="314"/>
      <c r="L88" s="316"/>
      <c r="M88" s="294" t="s">
        <v>194</v>
      </c>
    </row>
    <row r="89" spans="1:13">
      <c r="A89" s="295" t="s">
        <v>195</v>
      </c>
      <c r="B89" s="349">
        <v>-4.352889792</v>
      </c>
      <c r="C89" s="299"/>
      <c r="D89" s="288">
        <v>0.16127920198135701</v>
      </c>
      <c r="E89" s="289">
        <v>5</v>
      </c>
      <c r="F89" s="289">
        <v>214</v>
      </c>
      <c r="G89" s="290">
        <v>3.83</v>
      </c>
      <c r="H89" s="291">
        <f t="shared" si="1"/>
        <v>-5.2200000000000006</v>
      </c>
      <c r="I89" s="313"/>
      <c r="J89" s="314"/>
      <c r="K89" s="314"/>
      <c r="L89" s="316"/>
      <c r="M89" s="294" t="s">
        <v>196</v>
      </c>
    </row>
    <row r="90" spans="1:13">
      <c r="A90" s="305" t="s">
        <v>197</v>
      </c>
      <c r="B90" s="349">
        <v>-3.800367928</v>
      </c>
      <c r="C90" s="299"/>
      <c r="D90" s="288">
        <v>0.13869006117838001</v>
      </c>
      <c r="E90" s="289">
        <v>3</v>
      </c>
      <c r="F90" s="289">
        <v>176</v>
      </c>
      <c r="G90" s="290">
        <v>2.88</v>
      </c>
      <c r="H90" s="291">
        <f t="shared" si="1"/>
        <v>-3.8899999999999997</v>
      </c>
      <c r="I90" s="313"/>
      <c r="J90" s="314"/>
      <c r="K90" s="314"/>
      <c r="L90" s="316"/>
      <c r="M90" s="294" t="s">
        <v>198</v>
      </c>
    </row>
    <row r="91" spans="1:13">
      <c r="A91" s="285" t="s">
        <v>199</v>
      </c>
      <c r="B91" s="349">
        <v>-2.754877746</v>
      </c>
      <c r="C91" s="299"/>
      <c r="D91" s="288">
        <v>0.12598340861886001</v>
      </c>
      <c r="E91" s="289">
        <v>14</v>
      </c>
      <c r="F91" s="289">
        <v>253.5</v>
      </c>
      <c r="G91" s="290">
        <v>1.54</v>
      </c>
      <c r="H91" s="291">
        <f t="shared" si="1"/>
        <v>-3.3250000000000002</v>
      </c>
      <c r="I91" s="313"/>
      <c r="J91" s="314"/>
      <c r="K91" s="314"/>
      <c r="L91" s="316"/>
      <c r="M91" s="294" t="s">
        <v>200</v>
      </c>
    </row>
    <row r="92" spans="1:13">
      <c r="A92" s="295" t="s">
        <v>201</v>
      </c>
      <c r="B92" s="349">
        <v>-3.8876246430000001</v>
      </c>
      <c r="C92" s="299"/>
      <c r="D92" s="288">
        <v>0.16504944177542499</v>
      </c>
      <c r="E92" s="289">
        <v>5</v>
      </c>
      <c r="F92" s="289">
        <v>205.5</v>
      </c>
      <c r="G92" s="290">
        <v>2.4500000000000002</v>
      </c>
      <c r="H92" s="291">
        <f t="shared" si="1"/>
        <v>-3.7549999999999999</v>
      </c>
      <c r="I92" s="313"/>
      <c r="J92" s="314"/>
      <c r="K92" s="314"/>
      <c r="L92" s="316"/>
      <c r="M92" s="294" t="s">
        <v>202</v>
      </c>
    </row>
    <row r="93" spans="1:13">
      <c r="A93" s="305" t="s">
        <v>203</v>
      </c>
      <c r="B93" s="349">
        <v>-4.5218161070000003</v>
      </c>
      <c r="C93" s="299"/>
      <c r="D93" s="288">
        <v>0.19426266518058299</v>
      </c>
      <c r="E93" s="289">
        <v>3</v>
      </c>
      <c r="F93" s="289">
        <v>96</v>
      </c>
      <c r="G93" s="290">
        <v>3.49</v>
      </c>
      <c r="H93" s="291">
        <f t="shared" si="1"/>
        <v>-3.7</v>
      </c>
      <c r="I93" s="313"/>
      <c r="J93" s="314"/>
      <c r="K93" s="314"/>
      <c r="L93" s="316"/>
      <c r="M93" s="294" t="s">
        <v>204</v>
      </c>
    </row>
    <row r="94" spans="1:13">
      <c r="A94" s="295" t="s">
        <v>205</v>
      </c>
      <c r="B94" s="349">
        <v>-4.1829550190000004</v>
      </c>
      <c r="C94" s="299"/>
      <c r="D94" s="288">
        <v>0.188943371497371</v>
      </c>
      <c r="E94" s="289">
        <v>12</v>
      </c>
      <c r="F94" s="289">
        <v>147.25</v>
      </c>
      <c r="G94" s="290">
        <v>3.86</v>
      </c>
      <c r="H94" s="291">
        <f t="shared" si="1"/>
        <v>-4.5824999999999996</v>
      </c>
      <c r="I94" s="313"/>
      <c r="J94" s="314"/>
      <c r="K94" s="314"/>
      <c r="L94" s="316"/>
      <c r="M94" s="294" t="s">
        <v>206</v>
      </c>
    </row>
    <row r="95" spans="1:13">
      <c r="A95" s="295" t="s">
        <v>207</v>
      </c>
      <c r="B95" s="349">
        <v>-4.29714171</v>
      </c>
      <c r="C95" s="299"/>
      <c r="D95" s="288">
        <v>0.17391407185160301</v>
      </c>
      <c r="E95" s="289">
        <v>6</v>
      </c>
      <c r="F95" s="289">
        <v>97</v>
      </c>
      <c r="G95" s="290">
        <v>3.94</v>
      </c>
      <c r="H95" s="291">
        <f t="shared" si="1"/>
        <v>-4.16</v>
      </c>
      <c r="I95" s="313"/>
      <c r="J95" s="314"/>
      <c r="K95" s="314"/>
      <c r="L95" s="316"/>
      <c r="M95" s="294" t="s">
        <v>208</v>
      </c>
    </row>
    <row r="96" spans="1:13">
      <c r="A96" s="285" t="s">
        <v>209</v>
      </c>
      <c r="B96" s="349">
        <v>-1.856362989</v>
      </c>
      <c r="C96" s="299"/>
      <c r="D96" s="288">
        <v>0.13764369691033701</v>
      </c>
      <c r="E96" s="289">
        <v>10</v>
      </c>
      <c r="F96" s="289">
        <v>134.5</v>
      </c>
      <c r="G96" s="290">
        <v>2.04</v>
      </c>
      <c r="H96" s="291">
        <f t="shared" si="1"/>
        <v>-2.6349999999999998</v>
      </c>
      <c r="I96" s="313"/>
      <c r="J96" s="314"/>
      <c r="K96" s="314"/>
      <c r="L96" s="316"/>
      <c r="M96" s="294" t="s">
        <v>210</v>
      </c>
    </row>
    <row r="97" spans="1:13">
      <c r="A97" s="295" t="s">
        <v>211</v>
      </c>
      <c r="B97" s="349">
        <v>-3.5645763000000001</v>
      </c>
      <c r="C97" s="299"/>
      <c r="D97" s="288">
        <v>0.162457468885915</v>
      </c>
      <c r="E97" s="289">
        <v>7</v>
      </c>
      <c r="F97" s="289">
        <v>139</v>
      </c>
      <c r="G97" s="290">
        <v>2.66</v>
      </c>
      <c r="H97" s="291">
        <f t="shared" si="1"/>
        <v>-3.3000000000000003</v>
      </c>
      <c r="I97" s="313"/>
      <c r="J97" s="314"/>
      <c r="K97" s="314"/>
      <c r="L97" s="316"/>
      <c r="M97" s="294" t="s">
        <v>212</v>
      </c>
    </row>
    <row r="98" spans="1:13">
      <c r="A98" s="295" t="s">
        <v>213</v>
      </c>
      <c r="B98" s="349">
        <v>-2.7521755159999999</v>
      </c>
      <c r="C98" s="299"/>
      <c r="D98" s="288">
        <v>0.15322122505052199</v>
      </c>
      <c r="E98" s="289">
        <v>9</v>
      </c>
      <c r="F98" s="289">
        <v>170</v>
      </c>
      <c r="G98" s="290">
        <v>1.91</v>
      </c>
      <c r="H98" s="291">
        <f t="shared" si="1"/>
        <v>-2.86</v>
      </c>
      <c r="I98" s="313"/>
      <c r="J98" s="314"/>
      <c r="K98" s="314"/>
      <c r="L98" s="316"/>
      <c r="M98" s="294" t="s">
        <v>214</v>
      </c>
    </row>
    <row r="99" spans="1:13">
      <c r="A99" s="285" t="s">
        <v>215</v>
      </c>
      <c r="B99" s="349">
        <v>-3.1823892659999999</v>
      </c>
      <c r="C99" s="299"/>
      <c r="D99" s="288">
        <v>0.15273607916541099</v>
      </c>
      <c r="E99" s="289">
        <v>10</v>
      </c>
      <c r="F99" s="289">
        <v>326</v>
      </c>
      <c r="G99" s="290">
        <v>2.44</v>
      </c>
      <c r="H99" s="291">
        <f t="shared" si="1"/>
        <v>-4.95</v>
      </c>
      <c r="I99" s="313"/>
      <c r="J99" s="314"/>
      <c r="K99" s="314"/>
      <c r="L99" s="316"/>
      <c r="M99" s="294" t="s">
        <v>216</v>
      </c>
    </row>
    <row r="100" spans="1:13">
      <c r="A100" s="295" t="s">
        <v>217</v>
      </c>
      <c r="B100" s="349">
        <v>-3.4802222440000001</v>
      </c>
      <c r="C100" s="299"/>
      <c r="D100" s="288">
        <v>0.184047015121025</v>
      </c>
      <c r="E100" s="289">
        <v>5</v>
      </c>
      <c r="F100" s="289">
        <v>232.5</v>
      </c>
      <c r="G100" s="290">
        <v>1.8</v>
      </c>
      <c r="H100" s="291">
        <f t="shared" si="1"/>
        <v>-3.375</v>
      </c>
      <c r="I100" s="313"/>
      <c r="J100" s="314"/>
      <c r="K100" s="314"/>
      <c r="L100" s="316"/>
      <c r="M100" s="294" t="s">
        <v>218</v>
      </c>
    </row>
    <row r="101" spans="1:13">
      <c r="A101" s="295" t="s">
        <v>219</v>
      </c>
      <c r="B101" s="349">
        <v>-2.0393151029999999</v>
      </c>
      <c r="C101" s="299"/>
      <c r="D101" s="288">
        <v>0.13604063752604401</v>
      </c>
      <c r="E101" s="289">
        <v>4</v>
      </c>
      <c r="F101" s="289">
        <v>281.5</v>
      </c>
      <c r="G101" s="290">
        <v>0.54</v>
      </c>
      <c r="H101" s="291">
        <f t="shared" si="1"/>
        <v>-2.605</v>
      </c>
      <c r="I101" s="313"/>
      <c r="J101" s="314"/>
      <c r="K101" s="314"/>
      <c r="L101" s="316"/>
      <c r="M101" s="294" t="s">
        <v>220</v>
      </c>
    </row>
    <row r="102" spans="1:13">
      <c r="A102" s="295" t="s">
        <v>221</v>
      </c>
      <c r="B102" s="349">
        <v>-3.6714378829999998</v>
      </c>
      <c r="C102" s="299"/>
      <c r="D102" s="288">
        <v>0.19798964803022501</v>
      </c>
      <c r="E102" s="289">
        <v>4</v>
      </c>
      <c r="F102" s="289">
        <v>197.1</v>
      </c>
      <c r="G102" s="290">
        <v>2.2000000000000002</v>
      </c>
      <c r="H102" s="291">
        <f t="shared" si="1"/>
        <v>-3.4210000000000003</v>
      </c>
      <c r="I102" s="313"/>
      <c r="J102" s="314"/>
      <c r="K102" s="314"/>
      <c r="L102" s="316"/>
      <c r="M102" s="294" t="s">
        <v>222</v>
      </c>
    </row>
    <row r="103" spans="1:13">
      <c r="A103" s="305" t="s">
        <v>223</v>
      </c>
      <c r="B103" s="349">
        <v>-3.9733328349999999</v>
      </c>
      <c r="C103" s="299"/>
      <c r="D103" s="288">
        <v>0.13486720020739101</v>
      </c>
      <c r="E103" s="289">
        <v>4</v>
      </c>
      <c r="F103" s="289">
        <v>33</v>
      </c>
      <c r="G103" s="290">
        <v>4.24</v>
      </c>
      <c r="H103" s="291">
        <f t="shared" si="1"/>
        <v>-3.8200000000000003</v>
      </c>
      <c r="I103" s="313"/>
      <c r="J103" s="314"/>
      <c r="K103" s="314"/>
      <c r="L103" s="316"/>
      <c r="M103" s="294" t="s">
        <v>224</v>
      </c>
    </row>
    <row r="104" spans="1:13">
      <c r="A104" s="295" t="s">
        <v>225</v>
      </c>
      <c r="B104" s="349">
        <v>-4.3707664900000003</v>
      </c>
      <c r="C104" s="299"/>
      <c r="D104" s="288">
        <v>0.188012747606043</v>
      </c>
      <c r="E104" s="289">
        <v>11</v>
      </c>
      <c r="F104" s="289">
        <v>60</v>
      </c>
      <c r="G104" s="290">
        <v>4.24</v>
      </c>
      <c r="H104" s="291">
        <f t="shared" si="1"/>
        <v>-4.09</v>
      </c>
      <c r="I104" s="313"/>
      <c r="J104" s="314"/>
      <c r="K104" s="314"/>
      <c r="L104" s="316"/>
      <c r="M104" s="294" t="s">
        <v>226</v>
      </c>
    </row>
    <row r="105" spans="1:13">
      <c r="A105" s="295" t="s">
        <v>227</v>
      </c>
      <c r="B105" s="349">
        <v>-4.2201855979999996</v>
      </c>
      <c r="C105" s="299"/>
      <c r="D105" s="288">
        <v>0.16640140742242099</v>
      </c>
      <c r="E105" s="289">
        <v>4</v>
      </c>
      <c r="F105" s="289">
        <v>130.5</v>
      </c>
      <c r="G105" s="290">
        <v>5.22</v>
      </c>
      <c r="H105" s="291">
        <f t="shared" si="1"/>
        <v>-5.7749999999999995</v>
      </c>
      <c r="I105" s="313"/>
      <c r="J105" s="314"/>
      <c r="K105" s="314"/>
      <c r="L105" s="316"/>
      <c r="M105" s="294" t="s">
        <v>228</v>
      </c>
    </row>
    <row r="106" spans="1:13">
      <c r="A106" s="305" t="s">
        <v>103</v>
      </c>
      <c r="B106" s="349">
        <v>-3.3746702929999999</v>
      </c>
      <c r="C106" s="299"/>
      <c r="D106" s="288">
        <v>0.17506472136099999</v>
      </c>
      <c r="E106" s="289">
        <v>7</v>
      </c>
      <c r="F106" s="289">
        <v>254</v>
      </c>
      <c r="G106" s="290">
        <v>2.97</v>
      </c>
      <c r="H106" s="291">
        <f t="shared" si="1"/>
        <v>-4.76</v>
      </c>
      <c r="I106" s="313"/>
      <c r="J106" s="314"/>
      <c r="K106" s="314"/>
      <c r="L106" s="316"/>
      <c r="M106" s="294" t="s">
        <v>229</v>
      </c>
    </row>
    <row r="107" spans="1:13">
      <c r="A107" s="305" t="s">
        <v>230</v>
      </c>
      <c r="B107" s="349">
        <v>-5.1455723109999996</v>
      </c>
      <c r="C107" s="299"/>
      <c r="D107" s="288">
        <v>0.160541646006926</v>
      </c>
      <c r="E107" s="289">
        <v>5</v>
      </c>
      <c r="F107" s="289">
        <v>121</v>
      </c>
      <c r="G107" s="290">
        <v>5.91</v>
      </c>
      <c r="H107" s="291">
        <f t="shared" si="1"/>
        <v>-6.37</v>
      </c>
      <c r="I107" s="313"/>
      <c r="J107" s="314"/>
      <c r="K107" s="314"/>
      <c r="L107" s="316"/>
      <c r="M107" s="294" t="s">
        <v>231</v>
      </c>
    </row>
    <row r="108" spans="1:13">
      <c r="A108" s="295" t="s">
        <v>232</v>
      </c>
      <c r="B108" s="349">
        <v>-4.09308183</v>
      </c>
      <c r="C108" s="299"/>
      <c r="D108" s="288">
        <v>0.15756984748208799</v>
      </c>
      <c r="E108" s="289">
        <v>5</v>
      </c>
      <c r="F108" s="289">
        <v>207</v>
      </c>
      <c r="G108" s="290">
        <v>2.56</v>
      </c>
      <c r="H108" s="291">
        <f t="shared" si="1"/>
        <v>-3.88</v>
      </c>
      <c r="I108" s="313"/>
      <c r="J108" s="314"/>
      <c r="K108" s="314"/>
      <c r="L108" s="316"/>
      <c r="M108" s="294" t="s">
        <v>233</v>
      </c>
    </row>
    <row r="109" spans="1:13">
      <c r="A109" s="285" t="s">
        <v>234</v>
      </c>
      <c r="B109" s="349">
        <v>-5.0247895690000002</v>
      </c>
      <c r="C109" s="299"/>
      <c r="D109" s="288">
        <v>0.161603623531796</v>
      </c>
      <c r="E109" s="289">
        <v>6</v>
      </c>
      <c r="F109" s="289">
        <v>134.5</v>
      </c>
      <c r="G109" s="290">
        <v>4.8499999999999996</v>
      </c>
      <c r="H109" s="291">
        <f t="shared" si="1"/>
        <v>-5.4449999999999994</v>
      </c>
      <c r="I109" s="325"/>
      <c r="J109" s="319"/>
      <c r="K109" s="319"/>
      <c r="L109" s="320"/>
      <c r="M109" s="294" t="s">
        <v>235</v>
      </c>
    </row>
    <row r="110" spans="1:13">
      <c r="A110" s="285" t="s">
        <v>236</v>
      </c>
      <c r="B110" s="349">
        <v>-3.2537447230000001</v>
      </c>
      <c r="C110" s="299"/>
      <c r="D110" s="288">
        <v>0.18685765827674</v>
      </c>
      <c r="E110" s="289">
        <v>6</v>
      </c>
      <c r="F110" s="289">
        <v>275</v>
      </c>
      <c r="G110" s="290">
        <v>2.09</v>
      </c>
      <c r="H110" s="291">
        <f t="shared" si="1"/>
        <v>-4.09</v>
      </c>
      <c r="M110" s="294" t="s">
        <v>237</v>
      </c>
    </row>
    <row r="111" spans="1:13">
      <c r="A111" s="295" t="s">
        <v>238</v>
      </c>
      <c r="B111" s="349">
        <v>-5.1043088650000001</v>
      </c>
      <c r="C111" s="299"/>
      <c r="D111" s="288">
        <v>0.13950112944748699</v>
      </c>
      <c r="E111" s="289">
        <v>9</v>
      </c>
      <c r="F111" s="289">
        <v>220</v>
      </c>
      <c r="G111" s="290">
        <v>1.8</v>
      </c>
      <c r="H111" s="291">
        <f t="shared" si="1"/>
        <v>-3.25</v>
      </c>
      <c r="M111" s="294" t="s">
        <v>239</v>
      </c>
    </row>
    <row r="112" spans="1:13">
      <c r="A112" s="285" t="s">
        <v>240</v>
      </c>
      <c r="B112" s="349">
        <v>-3.2241147589999999</v>
      </c>
      <c r="C112" s="299"/>
      <c r="D112" s="288">
        <v>0.22014005046870999</v>
      </c>
      <c r="E112" s="289">
        <v>9</v>
      </c>
      <c r="F112" s="289">
        <v>202</v>
      </c>
      <c r="G112" s="290">
        <v>1.53</v>
      </c>
      <c r="H112" s="291">
        <f t="shared" si="1"/>
        <v>-2.8</v>
      </c>
      <c r="M112" s="294" t="s">
        <v>241</v>
      </c>
    </row>
    <row r="113" spans="1:28">
      <c r="A113" s="295" t="s">
        <v>242</v>
      </c>
      <c r="B113" s="349">
        <v>-2.9457062569999999</v>
      </c>
      <c r="C113" s="299"/>
      <c r="D113" s="288">
        <v>0.140140838794855</v>
      </c>
      <c r="E113" s="289">
        <v>3</v>
      </c>
      <c r="F113" s="289">
        <v>243</v>
      </c>
      <c r="G113" s="290">
        <v>1.48</v>
      </c>
      <c r="H113" s="291">
        <f t="shared" si="1"/>
        <v>-3.16</v>
      </c>
      <c r="M113" s="294" t="s">
        <v>243</v>
      </c>
    </row>
    <row r="114" spans="1:28">
      <c r="A114" s="305" t="s">
        <v>244</v>
      </c>
      <c r="B114" s="349">
        <v>-2.8180805819999999</v>
      </c>
      <c r="C114" s="299"/>
      <c r="D114" s="288">
        <v>0.13726989684758001</v>
      </c>
      <c r="E114" s="289">
        <v>3</v>
      </c>
      <c r="F114" s="289">
        <v>191</v>
      </c>
      <c r="G114" s="290">
        <v>1.67</v>
      </c>
      <c r="H114" s="291">
        <f t="shared" si="1"/>
        <v>-2.83</v>
      </c>
      <c r="M114" s="294" t="s">
        <v>245</v>
      </c>
    </row>
    <row r="115" spans="1:28">
      <c r="A115" s="295" t="s">
        <v>246</v>
      </c>
      <c r="B115" s="349">
        <v>-4.6867348519999998</v>
      </c>
      <c r="C115" s="299"/>
      <c r="D115" s="288">
        <v>0.21357402153711499</v>
      </c>
      <c r="E115" s="289">
        <v>7</v>
      </c>
      <c r="F115" s="289">
        <v>183.5</v>
      </c>
      <c r="G115" s="290">
        <v>4.37</v>
      </c>
      <c r="H115" s="291">
        <f t="shared" si="1"/>
        <v>-5.4550000000000001</v>
      </c>
      <c r="M115" s="294" t="s">
        <v>247</v>
      </c>
    </row>
    <row r="116" spans="1:28">
      <c r="A116" s="295" t="s">
        <v>248</v>
      </c>
      <c r="B116" s="349">
        <v>-3.1580923259999998</v>
      </c>
      <c r="C116" s="299"/>
      <c r="D116" s="288">
        <v>0.105644111777479</v>
      </c>
      <c r="E116" s="289">
        <v>3</v>
      </c>
      <c r="F116" s="289">
        <v>149</v>
      </c>
      <c r="G116" s="290">
        <v>2.62</v>
      </c>
      <c r="H116" s="291">
        <f t="shared" si="1"/>
        <v>-3.3600000000000003</v>
      </c>
      <c r="M116" s="294" t="s">
        <v>249</v>
      </c>
    </row>
    <row r="117" spans="1:28">
      <c r="A117" s="285" t="s">
        <v>250</v>
      </c>
      <c r="B117" s="349">
        <v>-2.9247583559999999</v>
      </c>
      <c r="C117" s="299"/>
      <c r="D117" s="288">
        <v>0.14623917640453399</v>
      </c>
      <c r="E117" s="289">
        <v>8</v>
      </c>
      <c r="F117" s="289">
        <v>165</v>
      </c>
      <c r="G117" s="290">
        <v>-0.37</v>
      </c>
      <c r="H117" s="291">
        <f t="shared" si="1"/>
        <v>-0.53000000000000014</v>
      </c>
      <c r="M117" s="294" t="s">
        <v>251</v>
      </c>
    </row>
    <row r="118" spans="1:28">
      <c r="A118" s="295" t="s">
        <v>252</v>
      </c>
      <c r="B118" s="349">
        <v>-2.138627917</v>
      </c>
      <c r="C118" s="299"/>
      <c r="D118" s="288">
        <v>0.16291639539032499</v>
      </c>
      <c r="E118" s="289">
        <v>10</v>
      </c>
      <c r="F118" s="289">
        <v>225</v>
      </c>
      <c r="G118" s="290">
        <v>0.81</v>
      </c>
      <c r="H118" s="291">
        <f t="shared" si="1"/>
        <v>-2.31</v>
      </c>
      <c r="M118" s="294" t="s">
        <v>253</v>
      </c>
    </row>
    <row r="119" spans="1:28">
      <c r="A119" s="295" t="s">
        <v>254</v>
      </c>
      <c r="B119" s="349">
        <v>-3.0703374160000001</v>
      </c>
      <c r="C119" s="299"/>
      <c r="D119" s="288">
        <v>0.211666473574778</v>
      </c>
      <c r="E119" s="289">
        <v>5</v>
      </c>
      <c r="F119" s="289">
        <v>270</v>
      </c>
      <c r="G119" s="290">
        <v>0.62</v>
      </c>
      <c r="H119" s="291">
        <f t="shared" si="1"/>
        <v>-2.5700000000000003</v>
      </c>
      <c r="M119" s="294" t="s">
        <v>255</v>
      </c>
    </row>
    <row r="120" spans="1:28">
      <c r="A120" s="285" t="s">
        <v>256</v>
      </c>
      <c r="B120" s="349">
        <v>-3.4515514770000002</v>
      </c>
      <c r="C120" s="299"/>
      <c r="D120" s="288">
        <v>0.14175650298978701</v>
      </c>
      <c r="E120" s="289">
        <v>9</v>
      </c>
      <c r="F120" s="289">
        <v>312.66666666666703</v>
      </c>
      <c r="G120" s="290">
        <v>0.83</v>
      </c>
      <c r="H120" s="291">
        <f t="shared" si="1"/>
        <v>-3.2066666666666706</v>
      </c>
      <c r="M120" s="294" t="s">
        <v>257</v>
      </c>
    </row>
    <row r="121" spans="1:28">
      <c r="A121" s="295" t="s">
        <v>258</v>
      </c>
      <c r="B121" s="349">
        <v>-3.986373462</v>
      </c>
      <c r="C121" s="299"/>
      <c r="D121" s="288">
        <v>0.20346886353462401</v>
      </c>
      <c r="E121" s="289">
        <v>11</v>
      </c>
      <c r="F121" s="289">
        <v>161</v>
      </c>
      <c r="G121" s="290">
        <v>3.61</v>
      </c>
      <c r="H121" s="291">
        <f t="shared" si="1"/>
        <v>-4.47</v>
      </c>
      <c r="M121" s="294" t="s">
        <v>259</v>
      </c>
    </row>
    <row r="122" spans="1:28">
      <c r="A122" s="285" t="s">
        <v>109</v>
      </c>
      <c r="B122" s="349">
        <v>-2.9543993839999998</v>
      </c>
      <c r="C122" s="299"/>
      <c r="D122" s="288">
        <v>0.20579636821699801</v>
      </c>
      <c r="E122" s="289">
        <v>3</v>
      </c>
      <c r="F122" s="289">
        <v>300</v>
      </c>
      <c r="G122" s="290">
        <v>-1.06</v>
      </c>
      <c r="H122" s="291">
        <f t="shared" si="1"/>
        <v>-1.19</v>
      </c>
      <c r="M122" s="294" t="s">
        <v>260</v>
      </c>
    </row>
    <row r="123" spans="1:28">
      <c r="A123" s="294"/>
      <c r="C123" s="326" t="s">
        <v>261</v>
      </c>
      <c r="D123" s="327">
        <f>AVERAGE(D23:D122)</f>
        <v>0.17115851538193169</v>
      </c>
      <c r="E123" s="328"/>
      <c r="F123" s="329"/>
      <c r="G123" s="329"/>
      <c r="H123" s="330" t="s">
        <v>262</v>
      </c>
      <c r="I123" s="329"/>
      <c r="J123" s="290"/>
      <c r="K123" s="290"/>
      <c r="L123" s="290"/>
      <c r="M123" s="294"/>
    </row>
    <row r="124" spans="1:28">
      <c r="A124" s="294"/>
      <c r="C124" s="326" t="s">
        <v>263</v>
      </c>
      <c r="D124" s="327">
        <f>MIN(D23:D122)</f>
        <v>0.105644111777479</v>
      </c>
      <c r="E124" s="328"/>
      <c r="F124" s="329"/>
      <c r="G124" s="329"/>
      <c r="H124" s="330" t="s">
        <v>264</v>
      </c>
      <c r="I124" s="329"/>
      <c r="J124" s="290"/>
      <c r="K124" s="290"/>
      <c r="L124" s="290"/>
      <c r="M124" s="294"/>
    </row>
    <row r="125" spans="1:28">
      <c r="A125" s="294"/>
      <c r="C125" s="326" t="s">
        <v>265</v>
      </c>
      <c r="D125" s="327">
        <f>MAX(D23:D122)</f>
        <v>0.22239504833634899</v>
      </c>
      <c r="E125" s="328"/>
      <c r="F125" s="329"/>
      <c r="G125" s="329"/>
      <c r="H125" s="330"/>
      <c r="I125" s="329"/>
      <c r="J125" s="290"/>
      <c r="K125" s="290"/>
      <c r="L125" s="290"/>
      <c r="M125" s="294"/>
    </row>
    <row r="126" spans="1:28" s="244" customFormat="1">
      <c r="A126" s="331"/>
      <c r="B126" s="290"/>
      <c r="C126" s="290"/>
      <c r="D126" s="332"/>
      <c r="E126" s="290"/>
      <c r="F126" s="290"/>
      <c r="G126" s="290"/>
      <c r="H126" s="290"/>
      <c r="I126" s="290"/>
      <c r="J126" s="290"/>
      <c r="K126" s="290"/>
      <c r="L126" s="290"/>
      <c r="M126" s="294"/>
      <c r="N126" s="241"/>
      <c r="O126" s="241"/>
      <c r="P126" s="241"/>
      <c r="Q126" s="241"/>
      <c r="R126" s="241"/>
      <c r="S126" s="241"/>
      <c r="T126" s="241"/>
      <c r="U126" s="241"/>
      <c r="V126" s="241"/>
      <c r="W126" s="241"/>
      <c r="X126" s="241"/>
      <c r="Y126" s="241"/>
      <c r="Z126" s="241"/>
      <c r="AA126" s="241"/>
      <c r="AB126" s="241"/>
    </row>
    <row r="127" spans="1:28" s="276" customFormat="1" ht="32.25" customHeight="1" thickBot="1">
      <c r="A127" s="273" t="s">
        <v>708</v>
      </c>
      <c r="B127" s="332"/>
      <c r="C127" s="332"/>
      <c r="D127" s="332"/>
      <c r="E127" s="332"/>
      <c r="F127" s="332"/>
      <c r="G127" s="332"/>
      <c r="H127" s="332"/>
      <c r="I127" s="332"/>
      <c r="J127" s="332"/>
      <c r="K127" s="332"/>
      <c r="L127" s="332"/>
      <c r="M127" s="294"/>
      <c r="N127" s="244"/>
      <c r="O127" s="244"/>
      <c r="P127" s="244"/>
      <c r="Q127" s="244"/>
      <c r="R127" s="244"/>
      <c r="S127" s="244"/>
      <c r="T127" s="244"/>
      <c r="U127" s="244"/>
      <c r="V127" s="244"/>
      <c r="W127" s="244"/>
      <c r="X127" s="244"/>
      <c r="Y127" s="244"/>
      <c r="Z127" s="244"/>
      <c r="AA127" s="244"/>
      <c r="AB127" s="244"/>
    </row>
    <row r="128" spans="1:28" ht="43.5" customHeight="1" thickBot="1">
      <c r="A128" s="277" t="s">
        <v>18</v>
      </c>
      <c r="B128" s="278" t="s">
        <v>709</v>
      </c>
      <c r="C128" s="278" t="s">
        <v>696</v>
      </c>
      <c r="D128" s="278" t="s">
        <v>21</v>
      </c>
      <c r="E128" s="278" t="s">
        <v>22</v>
      </c>
      <c r="F128" s="278" t="s">
        <v>23</v>
      </c>
      <c r="G128" s="279" t="s">
        <v>697</v>
      </c>
      <c r="H128" s="279" t="s">
        <v>698</v>
      </c>
      <c r="I128" s="280"/>
      <c r="J128" s="281" t="s">
        <v>27</v>
      </c>
      <c r="K128" s="281"/>
      <c r="L128" s="281"/>
      <c r="M128" s="282" t="s">
        <v>28</v>
      </c>
      <c r="N128" s="283"/>
      <c r="O128" s="283"/>
      <c r="P128" s="283"/>
      <c r="Q128" s="283"/>
      <c r="R128" s="283"/>
      <c r="S128" s="283"/>
      <c r="T128" s="283"/>
      <c r="U128" s="283"/>
      <c r="V128" s="284"/>
      <c r="W128" s="276"/>
      <c r="X128" s="276"/>
      <c r="Y128" s="276"/>
      <c r="Z128" s="276"/>
      <c r="AA128" s="276"/>
      <c r="AB128" s="276"/>
    </row>
    <row r="129" spans="1:13">
      <c r="A129" s="295" t="s">
        <v>268</v>
      </c>
      <c r="B129" s="349">
        <v>-1.4621949299999999</v>
      </c>
      <c r="C129" s="287" t="s">
        <v>30</v>
      </c>
      <c r="D129" s="288">
        <v>0.50033555401430196</v>
      </c>
      <c r="E129" s="289">
        <v>3</v>
      </c>
      <c r="F129" s="289">
        <v>180</v>
      </c>
      <c r="G129" s="290">
        <v>1.91</v>
      </c>
      <c r="H129" s="291">
        <f t="shared" ref="H129:H160" si="2">0.5-G129-0.01*(F129-25)</f>
        <v>-2.96</v>
      </c>
      <c r="I129" s="292" t="s">
        <v>31</v>
      </c>
      <c r="J129" s="293"/>
      <c r="K129" s="291"/>
      <c r="L129" s="291"/>
      <c r="M129" s="294" t="s">
        <v>269</v>
      </c>
    </row>
    <row r="130" spans="1:13">
      <c r="A130" s="295" t="s">
        <v>270</v>
      </c>
      <c r="B130" s="349">
        <v>-6.0141813309999996</v>
      </c>
      <c r="C130" s="287" t="s">
        <v>36</v>
      </c>
      <c r="D130" s="288">
        <v>0.5</v>
      </c>
      <c r="E130" s="290">
        <v>5</v>
      </c>
      <c r="F130" s="289">
        <v>156</v>
      </c>
      <c r="G130" s="290">
        <v>6.94</v>
      </c>
      <c r="H130" s="291">
        <f t="shared" si="2"/>
        <v>-7.75</v>
      </c>
      <c r="I130" s="292" t="s">
        <v>37</v>
      </c>
      <c r="J130" s="293"/>
      <c r="K130" s="291"/>
      <c r="L130" s="291"/>
      <c r="M130" s="294" t="s">
        <v>271</v>
      </c>
    </row>
    <row r="131" spans="1:13">
      <c r="A131" s="305" t="s">
        <v>272</v>
      </c>
      <c r="B131" s="349">
        <v>-4.7332194300000001</v>
      </c>
      <c r="C131" s="287" t="s">
        <v>41</v>
      </c>
      <c r="D131" s="288">
        <v>0.65309579002601004</v>
      </c>
      <c r="E131" s="289">
        <v>3</v>
      </c>
      <c r="F131" s="289">
        <v>208</v>
      </c>
      <c r="G131" s="290">
        <v>5.18</v>
      </c>
      <c r="H131" s="291">
        <f t="shared" si="2"/>
        <v>-6.51</v>
      </c>
      <c r="I131" s="292" t="s">
        <v>42</v>
      </c>
      <c r="J131" s="293"/>
      <c r="K131" s="291"/>
      <c r="L131" s="291"/>
      <c r="M131" s="294" t="s">
        <v>273</v>
      </c>
    </row>
    <row r="132" spans="1:13">
      <c r="A132" s="295" t="s">
        <v>274</v>
      </c>
      <c r="B132" s="349">
        <v>-2.2781538929999998</v>
      </c>
      <c r="C132" s="287" t="s">
        <v>46</v>
      </c>
      <c r="D132" s="288">
        <v>0.59285217963150305</v>
      </c>
      <c r="E132" s="289">
        <v>3</v>
      </c>
      <c r="F132" s="289">
        <v>100</v>
      </c>
      <c r="G132" s="290">
        <v>2.37</v>
      </c>
      <c r="H132" s="291">
        <f t="shared" si="2"/>
        <v>-2.62</v>
      </c>
      <c r="I132" s="297" t="s">
        <v>47</v>
      </c>
      <c r="J132" s="298"/>
      <c r="K132" s="291"/>
      <c r="L132" s="291"/>
      <c r="M132" s="294" t="s">
        <v>275</v>
      </c>
    </row>
    <row r="133" spans="1:13">
      <c r="A133" s="295" t="s">
        <v>276</v>
      </c>
      <c r="B133" s="349">
        <v>-5.8506314100000001</v>
      </c>
      <c r="C133" s="287" t="s">
        <v>51</v>
      </c>
      <c r="D133" s="288">
        <v>0.51067901383936598</v>
      </c>
      <c r="E133" s="289">
        <v>5</v>
      </c>
      <c r="F133" s="289">
        <v>217</v>
      </c>
      <c r="G133" s="290">
        <v>3.19</v>
      </c>
      <c r="H133" s="291">
        <f t="shared" si="2"/>
        <v>-4.6099999999999994</v>
      </c>
      <c r="I133" s="297" t="s">
        <v>52</v>
      </c>
      <c r="J133" s="298"/>
      <c r="K133" s="291"/>
      <c r="L133" s="291"/>
      <c r="M133" s="294" t="s">
        <v>277</v>
      </c>
    </row>
    <row r="134" spans="1:13">
      <c r="A134" s="295" t="s">
        <v>278</v>
      </c>
      <c r="B134" s="349">
        <v>-4.6651905969999996</v>
      </c>
      <c r="C134" s="299"/>
      <c r="D134" s="288">
        <v>0.83065522865171404</v>
      </c>
      <c r="E134" s="289">
        <v>3</v>
      </c>
      <c r="F134" s="289">
        <v>209.5</v>
      </c>
      <c r="G134" s="290">
        <v>4.41</v>
      </c>
      <c r="H134" s="291">
        <f t="shared" si="2"/>
        <v>-5.7549999999999999</v>
      </c>
      <c r="I134" s="297" t="s">
        <v>56</v>
      </c>
      <c r="J134" s="298"/>
      <c r="K134" s="291"/>
      <c r="L134" s="291"/>
      <c r="M134" s="294" t="s">
        <v>279</v>
      </c>
    </row>
    <row r="135" spans="1:13">
      <c r="A135" s="295" t="s">
        <v>280</v>
      </c>
      <c r="B135" s="349">
        <v>-5.1763830100000003</v>
      </c>
      <c r="C135" s="299"/>
      <c r="D135" s="288">
        <v>0.51097181417141702</v>
      </c>
      <c r="E135" s="289">
        <v>6</v>
      </c>
      <c r="F135" s="289">
        <v>97.5</v>
      </c>
      <c r="G135" s="290">
        <v>5.19</v>
      </c>
      <c r="H135" s="291">
        <f t="shared" si="2"/>
        <v>-5.415</v>
      </c>
      <c r="I135" s="297" t="s">
        <v>60</v>
      </c>
      <c r="J135" s="300"/>
      <c r="K135" s="291"/>
      <c r="L135" s="291"/>
      <c r="M135" s="294" t="s">
        <v>281</v>
      </c>
    </row>
    <row r="136" spans="1:13">
      <c r="A136" s="285" t="s">
        <v>282</v>
      </c>
      <c r="B136" s="349">
        <v>-5.6920135460000001</v>
      </c>
      <c r="C136" s="299"/>
      <c r="D136" s="288">
        <v>0.92735432696895004</v>
      </c>
      <c r="E136" s="289">
        <v>5</v>
      </c>
      <c r="F136" s="289">
        <v>211</v>
      </c>
      <c r="G136" s="290">
        <v>7.49</v>
      </c>
      <c r="H136" s="291">
        <f t="shared" si="2"/>
        <v>-8.85</v>
      </c>
      <c r="I136" s="301" t="s">
        <v>64</v>
      </c>
      <c r="J136" s="302" t="s">
        <v>735</v>
      </c>
      <c r="K136" s="303"/>
      <c r="L136" s="304"/>
      <c r="M136" s="294" t="s">
        <v>283</v>
      </c>
    </row>
    <row r="137" spans="1:13">
      <c r="A137" s="295" t="s">
        <v>112</v>
      </c>
      <c r="B137" s="349">
        <v>-4.1647040530000003</v>
      </c>
      <c r="C137" s="299"/>
      <c r="D137" s="288">
        <v>0.68239272333923895</v>
      </c>
      <c r="E137" s="289">
        <v>3</v>
      </c>
      <c r="F137" s="289">
        <v>177</v>
      </c>
      <c r="G137" s="290">
        <v>3.37</v>
      </c>
      <c r="H137" s="291">
        <f t="shared" si="2"/>
        <v>-4.3900000000000006</v>
      </c>
      <c r="J137" s="291"/>
      <c r="K137" s="291"/>
      <c r="L137" s="291"/>
      <c r="M137" s="294" t="s">
        <v>284</v>
      </c>
    </row>
    <row r="138" spans="1:13">
      <c r="A138" s="295" t="s">
        <v>285</v>
      </c>
      <c r="B138" s="349">
        <v>-5.4729365210000003</v>
      </c>
      <c r="C138" s="299"/>
      <c r="D138" s="288">
        <v>0.520951861602862</v>
      </c>
      <c r="E138" s="289">
        <v>10</v>
      </c>
      <c r="F138" s="289">
        <v>228.6</v>
      </c>
      <c r="G138" s="290">
        <v>4.22</v>
      </c>
      <c r="H138" s="291">
        <f t="shared" si="2"/>
        <v>-5.7560000000000002</v>
      </c>
      <c r="I138" s="306" t="s">
        <v>286</v>
      </c>
      <c r="J138" s="307"/>
      <c r="K138" s="307"/>
      <c r="L138" s="308"/>
      <c r="M138" s="294" t="s">
        <v>287</v>
      </c>
    </row>
    <row r="139" spans="1:13">
      <c r="A139" s="285" t="s">
        <v>288</v>
      </c>
      <c r="B139" s="349">
        <v>-1.748458096</v>
      </c>
      <c r="C139" s="299"/>
      <c r="D139" s="288">
        <v>0.53906642829149898</v>
      </c>
      <c r="E139" s="289">
        <v>3</v>
      </c>
      <c r="F139" s="289">
        <v>161.5</v>
      </c>
      <c r="G139" s="290">
        <v>-0.21</v>
      </c>
      <c r="H139" s="291">
        <f t="shared" si="2"/>
        <v>-0.65500000000000003</v>
      </c>
      <c r="I139" s="350" t="s">
        <v>736</v>
      </c>
      <c r="J139" s="311"/>
      <c r="K139" s="311"/>
      <c r="L139" s="312"/>
      <c r="M139" s="294" t="s">
        <v>289</v>
      </c>
    </row>
    <row r="140" spans="1:13">
      <c r="A140" s="285" t="s">
        <v>290</v>
      </c>
      <c r="B140" s="349">
        <v>-4.5900744319999998</v>
      </c>
      <c r="C140" s="299"/>
      <c r="D140" s="288">
        <v>0.56233984781338697</v>
      </c>
      <c r="E140" s="289">
        <v>11</v>
      </c>
      <c r="F140" s="289">
        <v>213.5</v>
      </c>
      <c r="G140" s="290">
        <v>3.04</v>
      </c>
      <c r="H140" s="291">
        <f t="shared" si="2"/>
        <v>-4.4249999999999998</v>
      </c>
      <c r="I140" s="351" t="s">
        <v>737</v>
      </c>
      <c r="J140" s="314"/>
      <c r="K140" s="314"/>
      <c r="L140" s="316"/>
      <c r="M140" s="294" t="s">
        <v>291</v>
      </c>
    </row>
    <row r="141" spans="1:13">
      <c r="A141" s="305" t="s">
        <v>292</v>
      </c>
      <c r="B141" s="349">
        <v>-3.576262244</v>
      </c>
      <c r="C141" s="299"/>
      <c r="D141" s="288">
        <v>0.54710381306524802</v>
      </c>
      <c r="E141" s="289">
        <v>4</v>
      </c>
      <c r="F141" s="289">
        <v>168.5</v>
      </c>
      <c r="G141" s="290">
        <v>3.35</v>
      </c>
      <c r="H141" s="291">
        <f t="shared" si="2"/>
        <v>-4.2850000000000001</v>
      </c>
      <c r="I141" s="351" t="s">
        <v>738</v>
      </c>
      <c r="J141" s="314"/>
      <c r="K141" s="314"/>
      <c r="L141" s="316"/>
      <c r="M141" s="294" t="s">
        <v>293</v>
      </c>
    </row>
    <row r="142" spans="1:13">
      <c r="A142" s="285" t="s">
        <v>114</v>
      </c>
      <c r="B142" s="349">
        <v>-3.1943020770000001</v>
      </c>
      <c r="C142" s="299"/>
      <c r="D142" s="288">
        <v>0.54612637818466903</v>
      </c>
      <c r="E142" s="289">
        <v>3</v>
      </c>
      <c r="F142" s="309">
        <v>124.1</v>
      </c>
      <c r="G142" s="290">
        <v>2.81</v>
      </c>
      <c r="H142" s="291">
        <f t="shared" si="2"/>
        <v>-3.3010000000000002</v>
      </c>
      <c r="I142" s="352" t="s">
        <v>739</v>
      </c>
      <c r="J142" s="314"/>
      <c r="K142" s="314"/>
      <c r="L142" s="316"/>
      <c r="M142" s="294" t="s">
        <v>294</v>
      </c>
    </row>
    <row r="143" spans="1:13">
      <c r="A143" s="285" t="s">
        <v>295</v>
      </c>
      <c r="B143" s="349">
        <v>-5.2679252600000002</v>
      </c>
      <c r="C143" s="299"/>
      <c r="D143" s="288">
        <v>0.51160213896594597</v>
      </c>
      <c r="E143" s="289">
        <v>4</v>
      </c>
      <c r="F143" s="289">
        <v>165</v>
      </c>
      <c r="G143" s="290">
        <v>4.8899999999999997</v>
      </c>
      <c r="H143" s="291">
        <f t="shared" si="2"/>
        <v>-5.79</v>
      </c>
      <c r="I143" s="353" t="s">
        <v>740</v>
      </c>
      <c r="J143" s="314"/>
      <c r="K143" s="314"/>
      <c r="L143" s="316"/>
      <c r="M143" s="294" t="s">
        <v>296</v>
      </c>
    </row>
    <row r="144" spans="1:13">
      <c r="A144" s="285" t="s">
        <v>117</v>
      </c>
      <c r="B144" s="349">
        <v>-5.70588622</v>
      </c>
      <c r="C144" s="299"/>
      <c r="D144" s="288">
        <v>0.65141515533308303</v>
      </c>
      <c r="E144" s="289">
        <v>4</v>
      </c>
      <c r="F144" s="289">
        <v>161.1</v>
      </c>
      <c r="G144" s="290">
        <v>4.76</v>
      </c>
      <c r="H144" s="291">
        <f t="shared" si="2"/>
        <v>-5.6209999999999996</v>
      </c>
      <c r="I144" s="353" t="s">
        <v>741</v>
      </c>
      <c r="J144" s="314"/>
      <c r="K144" s="314"/>
      <c r="L144" s="316"/>
      <c r="M144" s="294" t="s">
        <v>297</v>
      </c>
    </row>
    <row r="145" spans="1:28">
      <c r="A145" s="305" t="s">
        <v>298</v>
      </c>
      <c r="B145" s="349">
        <v>-4.6101245190000002</v>
      </c>
      <c r="C145" s="299"/>
      <c r="D145" s="288">
        <v>0.65883215509381898</v>
      </c>
      <c r="E145" s="289">
        <v>3</v>
      </c>
      <c r="F145" s="289">
        <v>155</v>
      </c>
      <c r="G145" s="290">
        <v>3.74</v>
      </c>
      <c r="H145" s="291">
        <f t="shared" si="2"/>
        <v>-4.54</v>
      </c>
      <c r="I145" s="353" t="s">
        <v>742</v>
      </c>
      <c r="J145" s="314"/>
      <c r="K145" s="314"/>
      <c r="L145" s="316"/>
      <c r="M145" s="294" t="s">
        <v>299</v>
      </c>
    </row>
    <row r="146" spans="1:28">
      <c r="A146" s="295" t="s">
        <v>300</v>
      </c>
      <c r="B146" s="349">
        <v>-7.0424961030000004</v>
      </c>
      <c r="C146" s="299"/>
      <c r="D146" s="288">
        <v>0.61400477095750305</v>
      </c>
      <c r="E146" s="289">
        <v>3</v>
      </c>
      <c r="F146" s="289">
        <v>165.4</v>
      </c>
      <c r="G146" s="290">
        <v>5.58</v>
      </c>
      <c r="H146" s="291">
        <f t="shared" si="2"/>
        <v>-6.484</v>
      </c>
      <c r="I146" s="353" t="s">
        <v>743</v>
      </c>
      <c r="J146" s="314"/>
      <c r="K146" s="314"/>
      <c r="L146" s="316"/>
      <c r="M146" s="294" t="s">
        <v>301</v>
      </c>
    </row>
    <row r="147" spans="1:28">
      <c r="A147" s="295" t="s">
        <v>302</v>
      </c>
      <c r="B147" s="349">
        <v>-5.1733547839999998</v>
      </c>
      <c r="C147" s="299"/>
      <c r="D147" s="288">
        <v>0.50406532001413296</v>
      </c>
      <c r="E147" s="289">
        <v>6</v>
      </c>
      <c r="F147" s="289">
        <v>161</v>
      </c>
      <c r="G147" s="290">
        <v>6.45</v>
      </c>
      <c r="H147" s="291">
        <f t="shared" si="2"/>
        <v>-7.3100000000000005</v>
      </c>
      <c r="I147" s="353" t="s">
        <v>744</v>
      </c>
      <c r="J147" s="314"/>
      <c r="K147" s="314"/>
      <c r="L147" s="316"/>
      <c r="M147" s="294" t="s">
        <v>303</v>
      </c>
    </row>
    <row r="148" spans="1:28">
      <c r="A148" s="295" t="s">
        <v>304</v>
      </c>
      <c r="B148" s="349">
        <v>-5.5210690639999997</v>
      </c>
      <c r="C148" s="299"/>
      <c r="D148" s="288">
        <v>0.75493366325441702</v>
      </c>
      <c r="E148" s="289">
        <v>4</v>
      </c>
      <c r="F148" s="289">
        <v>193.5</v>
      </c>
      <c r="G148" s="290">
        <v>5.41</v>
      </c>
      <c r="H148" s="291">
        <f t="shared" si="2"/>
        <v>-6.5950000000000006</v>
      </c>
      <c r="I148" s="354" t="s">
        <v>745</v>
      </c>
      <c r="J148" s="314"/>
      <c r="K148" s="314"/>
      <c r="L148" s="316"/>
      <c r="M148" s="294" t="s">
        <v>305</v>
      </c>
    </row>
    <row r="149" spans="1:28">
      <c r="A149" s="295" t="s">
        <v>306</v>
      </c>
      <c r="B149" s="349">
        <v>-3.8876246430000001</v>
      </c>
      <c r="C149" s="299"/>
      <c r="D149" s="288">
        <v>0.500893580585972</v>
      </c>
      <c r="E149" s="289">
        <v>3</v>
      </c>
      <c r="F149" s="289">
        <v>156</v>
      </c>
      <c r="G149" s="290">
        <v>2.9</v>
      </c>
      <c r="H149" s="291">
        <f t="shared" si="2"/>
        <v>-3.71</v>
      </c>
      <c r="I149" s="354" t="s">
        <v>746</v>
      </c>
      <c r="J149" s="314"/>
      <c r="K149" s="314"/>
      <c r="L149" s="316"/>
      <c r="M149" s="294" t="s">
        <v>307</v>
      </c>
    </row>
    <row r="150" spans="1:28">
      <c r="A150" s="305" t="s">
        <v>308</v>
      </c>
      <c r="B150" s="349">
        <v>-3.811568072</v>
      </c>
      <c r="C150" s="299"/>
      <c r="D150" s="288">
        <v>0.65879843298663399</v>
      </c>
      <c r="E150" s="289">
        <v>4</v>
      </c>
      <c r="F150" s="289">
        <v>183.5</v>
      </c>
      <c r="G150" s="290">
        <v>3.16</v>
      </c>
      <c r="H150" s="291">
        <f t="shared" si="2"/>
        <v>-4.2450000000000001</v>
      </c>
      <c r="I150" s="355" t="s">
        <v>747</v>
      </c>
      <c r="J150" s="319"/>
      <c r="K150" s="319"/>
      <c r="L150" s="320"/>
      <c r="M150" s="294" t="s">
        <v>309</v>
      </c>
    </row>
    <row r="151" spans="1:28">
      <c r="A151" s="305" t="s">
        <v>310</v>
      </c>
      <c r="B151" s="349">
        <v>-2.2749852069999998</v>
      </c>
      <c r="C151" s="299"/>
      <c r="D151" s="288">
        <v>0.59871706042825701</v>
      </c>
      <c r="E151" s="289">
        <v>3</v>
      </c>
      <c r="F151" s="289">
        <v>61</v>
      </c>
      <c r="G151" s="290">
        <v>1.77</v>
      </c>
      <c r="H151" s="291">
        <f t="shared" si="2"/>
        <v>-1.63</v>
      </c>
      <c r="L151" s="291"/>
      <c r="M151" s="294" t="s">
        <v>311</v>
      </c>
    </row>
    <row r="152" spans="1:28">
      <c r="A152" s="295" t="s">
        <v>312</v>
      </c>
      <c r="B152" s="349">
        <v>-3.3702228609999998</v>
      </c>
      <c r="C152" s="299"/>
      <c r="D152" s="288">
        <v>0.57115657899345496</v>
      </c>
      <c r="E152" s="289">
        <v>7</v>
      </c>
      <c r="F152" s="289">
        <v>177</v>
      </c>
      <c r="G152" s="290">
        <v>3.17</v>
      </c>
      <c r="H152" s="291">
        <f t="shared" si="2"/>
        <v>-4.1899999999999995</v>
      </c>
      <c r="I152" s="321" t="s">
        <v>133</v>
      </c>
      <c r="J152" s="302">
        <v>881</v>
      </c>
      <c r="K152" s="304"/>
      <c r="L152" s="291"/>
      <c r="M152" s="294" t="s">
        <v>313</v>
      </c>
    </row>
    <row r="153" spans="1:28">
      <c r="A153" s="285" t="s">
        <v>314</v>
      </c>
      <c r="B153" s="349">
        <v>-6.0624627860000002</v>
      </c>
      <c r="C153" s="299"/>
      <c r="D153" s="288">
        <v>0.55807775121880299</v>
      </c>
      <c r="E153" s="289">
        <v>6</v>
      </c>
      <c r="F153" s="289">
        <v>145</v>
      </c>
      <c r="G153" s="290">
        <v>6.08</v>
      </c>
      <c r="H153" s="291">
        <f t="shared" si="2"/>
        <v>-6.78</v>
      </c>
      <c r="I153" s="321" t="s">
        <v>136</v>
      </c>
      <c r="J153" s="302">
        <v>164</v>
      </c>
      <c r="K153" s="304"/>
      <c r="M153" s="294" t="s">
        <v>315</v>
      </c>
    </row>
    <row r="154" spans="1:28">
      <c r="A154" s="285" t="s">
        <v>316</v>
      </c>
      <c r="B154" s="349">
        <v>-4.9424230659999999</v>
      </c>
      <c r="C154" s="299"/>
      <c r="D154" s="288">
        <v>0.66417698790166102</v>
      </c>
      <c r="E154" s="289">
        <v>3</v>
      </c>
      <c r="F154" s="309">
        <v>175.8</v>
      </c>
      <c r="G154" s="290">
        <v>4.62</v>
      </c>
      <c r="H154" s="291">
        <f t="shared" si="2"/>
        <v>-5.6280000000000001</v>
      </c>
      <c r="I154" s="321" t="s">
        <v>139</v>
      </c>
      <c r="J154" s="322">
        <f>COUNTA(A129:A160)</f>
        <v>32</v>
      </c>
      <c r="K154" s="304"/>
      <c r="M154" s="294" t="s">
        <v>317</v>
      </c>
    </row>
    <row r="155" spans="1:28">
      <c r="A155" s="295" t="s">
        <v>318</v>
      </c>
      <c r="B155" s="349">
        <v>-5.3580686970000002</v>
      </c>
      <c r="C155" s="299"/>
      <c r="D155" s="288">
        <v>0.57716593661781801</v>
      </c>
      <c r="E155" s="289">
        <v>3</v>
      </c>
      <c r="F155" s="289">
        <v>349.84</v>
      </c>
      <c r="G155" s="290">
        <v>3.09</v>
      </c>
      <c r="H155" s="291">
        <f t="shared" si="2"/>
        <v>-5.8384</v>
      </c>
      <c r="M155" s="294" t="s">
        <v>319</v>
      </c>
    </row>
    <row r="156" spans="1:28">
      <c r="A156" s="305" t="s">
        <v>320</v>
      </c>
      <c r="B156" s="349">
        <v>-3.5046393849999999</v>
      </c>
      <c r="C156" s="299"/>
      <c r="D156" s="288">
        <v>0.70324590282883903</v>
      </c>
      <c r="E156" s="289">
        <v>3</v>
      </c>
      <c r="F156" s="289">
        <v>204</v>
      </c>
      <c r="G156" s="290">
        <v>0.88</v>
      </c>
      <c r="H156" s="291">
        <f t="shared" si="2"/>
        <v>-2.17</v>
      </c>
      <c r="I156" s="324" t="s">
        <v>144</v>
      </c>
      <c r="J156" s="307"/>
      <c r="K156" s="307"/>
      <c r="L156" s="308"/>
      <c r="M156" s="294" t="s">
        <v>321</v>
      </c>
    </row>
    <row r="157" spans="1:28">
      <c r="A157" s="295" t="s">
        <v>322</v>
      </c>
      <c r="B157" s="349">
        <v>-5.4246374199999998</v>
      </c>
      <c r="C157" s="299"/>
      <c r="D157" s="288">
        <v>0.72379035887947596</v>
      </c>
      <c r="E157" s="289">
        <v>7</v>
      </c>
      <c r="F157" s="289">
        <v>97.8</v>
      </c>
      <c r="G157" s="290">
        <v>6</v>
      </c>
      <c r="H157" s="291">
        <f t="shared" si="2"/>
        <v>-6.2279999999999998</v>
      </c>
      <c r="I157" s="310" t="s">
        <v>748</v>
      </c>
      <c r="J157" s="311"/>
      <c r="K157" s="311"/>
      <c r="L157" s="312"/>
      <c r="M157" s="294" t="s">
        <v>323</v>
      </c>
    </row>
    <row r="158" spans="1:28">
      <c r="A158" s="295" t="s">
        <v>324</v>
      </c>
      <c r="B158" s="349">
        <v>-6.9329169840000002</v>
      </c>
      <c r="C158" s="299"/>
      <c r="D158" s="288">
        <v>0.84033450922624497</v>
      </c>
      <c r="E158" s="289">
        <v>5</v>
      </c>
      <c r="F158" s="289">
        <v>262</v>
      </c>
      <c r="G158" s="290">
        <v>7.26</v>
      </c>
      <c r="H158" s="291">
        <f t="shared" si="2"/>
        <v>-9.129999999999999</v>
      </c>
      <c r="I158" s="313" t="s">
        <v>749</v>
      </c>
      <c r="J158" s="314"/>
      <c r="K158" s="314"/>
      <c r="L158" s="316"/>
      <c r="M158" s="294" t="s">
        <v>325</v>
      </c>
    </row>
    <row r="159" spans="1:28">
      <c r="A159" s="295" t="s">
        <v>326</v>
      </c>
      <c r="B159" s="349">
        <v>-6.4347020710000002</v>
      </c>
      <c r="C159" s="299"/>
      <c r="D159" s="288">
        <v>0.70969645885144095</v>
      </c>
      <c r="E159" s="289">
        <v>11</v>
      </c>
      <c r="F159" s="289">
        <v>149.6</v>
      </c>
      <c r="G159" s="290">
        <v>6.45</v>
      </c>
      <c r="H159" s="291">
        <f t="shared" si="2"/>
        <v>-7.1959999999999997</v>
      </c>
      <c r="I159" s="313"/>
      <c r="J159" s="314"/>
      <c r="K159" s="314"/>
      <c r="L159" s="316"/>
      <c r="M159" s="294" t="s">
        <v>327</v>
      </c>
    </row>
    <row r="160" spans="1:28" s="334" customFormat="1">
      <c r="A160" s="285" t="s">
        <v>328</v>
      </c>
      <c r="B160" s="349">
        <v>-3.3464074799999999</v>
      </c>
      <c r="C160" s="299"/>
      <c r="D160" s="288">
        <v>0.49644864464459898</v>
      </c>
      <c r="E160" s="289">
        <v>4</v>
      </c>
      <c r="F160" s="289">
        <v>304.5</v>
      </c>
      <c r="G160" s="290">
        <v>2.69</v>
      </c>
      <c r="H160" s="291">
        <f t="shared" si="2"/>
        <v>-4.9849999999999994</v>
      </c>
      <c r="I160" s="313"/>
      <c r="J160" s="314"/>
      <c r="K160" s="314"/>
      <c r="L160" s="316"/>
      <c r="M160" s="294" t="s">
        <v>329</v>
      </c>
      <c r="N160" s="241"/>
      <c r="O160" s="241"/>
      <c r="P160" s="241"/>
      <c r="Q160" s="241"/>
      <c r="R160" s="241"/>
      <c r="S160" s="241"/>
      <c r="T160" s="241"/>
      <c r="U160" s="241"/>
      <c r="V160" s="241"/>
      <c r="W160" s="241"/>
      <c r="X160" s="241"/>
      <c r="Y160" s="241"/>
      <c r="Z160" s="241"/>
      <c r="AA160" s="241"/>
      <c r="AB160" s="241"/>
    </row>
    <row r="161" spans="1:28">
      <c r="A161" s="334"/>
      <c r="B161" s="334"/>
      <c r="C161" s="326" t="s">
        <v>261</v>
      </c>
      <c r="D161" s="327">
        <f>AVERAGE(D129:D160)</f>
        <v>0.61629001144944584</v>
      </c>
      <c r="E161" s="334"/>
      <c r="F161" s="334"/>
      <c r="G161" s="334"/>
      <c r="H161" s="330" t="s">
        <v>262</v>
      </c>
      <c r="I161" s="313"/>
      <c r="J161" s="314"/>
      <c r="K161" s="314"/>
      <c r="L161" s="316"/>
      <c r="M161" s="272"/>
      <c r="N161" s="334"/>
      <c r="O161" s="334"/>
      <c r="P161" s="334"/>
      <c r="Q161" s="334"/>
      <c r="R161" s="334"/>
      <c r="S161" s="334"/>
      <c r="T161" s="334"/>
      <c r="U161" s="334"/>
      <c r="V161" s="334"/>
      <c r="W161" s="334"/>
      <c r="X161" s="334"/>
      <c r="Y161" s="334"/>
      <c r="Z161" s="334"/>
      <c r="AA161" s="334"/>
      <c r="AB161" s="334"/>
    </row>
    <row r="162" spans="1:28">
      <c r="A162" s="294"/>
      <c r="C162" s="326" t="s">
        <v>263</v>
      </c>
      <c r="D162" s="327">
        <f>MIN(D129:D160)</f>
        <v>0.49644864464459898</v>
      </c>
      <c r="E162" s="328"/>
      <c r="F162" s="329"/>
      <c r="G162" s="329"/>
      <c r="H162" s="330" t="s">
        <v>330</v>
      </c>
      <c r="I162" s="313"/>
      <c r="J162" s="314"/>
      <c r="K162" s="314"/>
      <c r="L162" s="316"/>
      <c r="M162" s="294"/>
    </row>
    <row r="163" spans="1:28">
      <c r="A163" s="294"/>
      <c r="C163" s="326" t="s">
        <v>265</v>
      </c>
      <c r="D163" s="327">
        <f>MAX(D129:D160)</f>
        <v>0.92735432696895004</v>
      </c>
      <c r="E163" s="328"/>
      <c r="F163" s="329"/>
      <c r="G163" s="329"/>
      <c r="H163" s="330"/>
      <c r="I163" s="325"/>
      <c r="J163" s="319"/>
      <c r="K163" s="319"/>
      <c r="L163" s="320"/>
      <c r="M163" s="294"/>
    </row>
    <row r="165" spans="1:28">
      <c r="A165" s="241" t="s">
        <v>711</v>
      </c>
    </row>
    <row r="166" spans="1:28">
      <c r="A166" s="241" t="s">
        <v>332</v>
      </c>
    </row>
    <row r="168" spans="1:28">
      <c r="A168" s="241" t="s">
        <v>333</v>
      </c>
    </row>
    <row r="169" spans="1:28">
      <c r="A169" s="241" t="s">
        <v>712</v>
      </c>
    </row>
    <row r="170" spans="1:28" ht="15.75" customHeight="1"/>
    <row r="171" spans="1:28" s="244" customFormat="1" ht="19">
      <c r="A171" s="336" t="s">
        <v>335</v>
      </c>
    </row>
    <row r="172" spans="1:28" s="244" customFormat="1" ht="18">
      <c r="A172" s="337" t="s">
        <v>713</v>
      </c>
    </row>
    <row r="173" spans="1:28" s="244" customFormat="1" ht="16">
      <c r="A173" s="337" t="s">
        <v>714</v>
      </c>
    </row>
    <row r="174" spans="1:28" s="244" customFormat="1">
      <c r="A174" s="338" t="s">
        <v>715</v>
      </c>
    </row>
    <row r="175" spans="1:28" s="244" customFormat="1">
      <c r="A175" s="339" t="s">
        <v>716</v>
      </c>
    </row>
    <row r="176" spans="1:28" s="244" customFormat="1">
      <c r="A176" s="340" t="s">
        <v>717</v>
      </c>
    </row>
    <row r="177" spans="1:1" s="244" customFormat="1">
      <c r="A177" s="244" t="s">
        <v>718</v>
      </c>
    </row>
    <row r="178" spans="1:1" s="244" customFormat="1">
      <c r="A178" s="341" t="s">
        <v>719</v>
      </c>
    </row>
    <row r="179" spans="1:1" s="244" customFormat="1">
      <c r="A179" s="244" t="s">
        <v>720</v>
      </c>
    </row>
    <row r="180" spans="1:1" s="244" customFormat="1">
      <c r="A180" s="340" t="s">
        <v>721</v>
      </c>
    </row>
    <row r="181" spans="1:1" s="244" customFormat="1">
      <c r="A181" s="244" t="s">
        <v>722</v>
      </c>
    </row>
    <row r="182" spans="1:1" s="244" customFormat="1">
      <c r="A182" s="244" t="s">
        <v>723</v>
      </c>
    </row>
    <row r="183" spans="1:1" s="244" customFormat="1">
      <c r="A183" s="338" t="s">
        <v>724</v>
      </c>
    </row>
    <row r="184" spans="1:1" s="244" customFormat="1">
      <c r="A184" s="338" t="s">
        <v>725</v>
      </c>
    </row>
    <row r="185" spans="1:1" s="244" customFormat="1">
      <c r="A185" s="244" t="s">
        <v>726</v>
      </c>
    </row>
    <row r="186" spans="1:1" s="244" customFormat="1">
      <c r="A186" s="244" t="s">
        <v>727</v>
      </c>
    </row>
    <row r="187" spans="1:1" s="244" customFormat="1">
      <c r="A187" s="341" t="s">
        <v>728</v>
      </c>
    </row>
    <row r="188" spans="1:1" s="244" customFormat="1">
      <c r="A188" s="341" t="s">
        <v>729</v>
      </c>
    </row>
    <row r="189" spans="1:1" s="244" customFormat="1">
      <c r="A189" s="340" t="s">
        <v>730</v>
      </c>
    </row>
    <row r="190" spans="1:1" s="244" customFormat="1">
      <c r="A190" s="341" t="s">
        <v>750</v>
      </c>
    </row>
    <row r="191" spans="1:1" s="244" customFormat="1">
      <c r="A191" s="244" t="s">
        <v>751</v>
      </c>
    </row>
    <row r="192" spans="1:1" s="244" customFormat="1"/>
    <row r="193" spans="1:24">
      <c r="A193" s="342" t="s">
        <v>733</v>
      </c>
    </row>
    <row r="194" spans="1:24">
      <c r="A194" s="356" t="s">
        <v>752</v>
      </c>
      <c r="B194" s="357"/>
      <c r="C194" s="357"/>
      <c r="D194" s="357"/>
      <c r="E194" s="357"/>
      <c r="F194" s="357"/>
      <c r="G194" s="357"/>
      <c r="H194" s="357"/>
      <c r="I194" s="357"/>
      <c r="J194" s="357"/>
      <c r="K194" s="357"/>
      <c r="L194" s="357"/>
      <c r="M194" s="358"/>
      <c r="N194" s="357"/>
      <c r="O194" s="357"/>
      <c r="P194" s="357"/>
      <c r="Q194" s="357"/>
      <c r="R194" s="357"/>
      <c r="S194" s="357"/>
      <c r="T194" s="357"/>
      <c r="U194" s="357"/>
      <c r="V194" s="357"/>
      <c r="W194" s="357"/>
      <c r="X194" s="359"/>
    </row>
    <row r="195" spans="1:24">
      <c r="A195" s="317" t="s">
        <v>753</v>
      </c>
      <c r="B195" s="256"/>
      <c r="C195" s="256"/>
      <c r="D195" s="256"/>
      <c r="E195" s="256"/>
      <c r="F195" s="256"/>
      <c r="G195" s="256"/>
      <c r="H195" s="256"/>
      <c r="I195" s="256"/>
      <c r="J195" s="256"/>
      <c r="K195" s="256"/>
      <c r="L195" s="256"/>
      <c r="M195" s="257"/>
      <c r="N195" s="256"/>
      <c r="O195" s="256"/>
      <c r="P195" s="256"/>
      <c r="Q195" s="256"/>
      <c r="R195" s="256"/>
      <c r="S195" s="256"/>
      <c r="T195" s="256"/>
      <c r="U195" s="256"/>
      <c r="V195" s="256"/>
      <c r="W195" s="256"/>
      <c r="X195" s="258"/>
    </row>
    <row r="196" spans="1:24">
      <c r="A196" s="317" t="s">
        <v>754</v>
      </c>
      <c r="B196" s="256"/>
      <c r="C196" s="256"/>
      <c r="D196" s="256"/>
      <c r="E196" s="256"/>
      <c r="F196" s="256"/>
      <c r="G196" s="256"/>
      <c r="H196" s="256"/>
      <c r="I196" s="256"/>
      <c r="J196" s="256"/>
      <c r="K196" s="256"/>
      <c r="L196" s="256"/>
      <c r="M196" s="257"/>
      <c r="N196" s="256"/>
      <c r="O196" s="256"/>
      <c r="P196" s="256"/>
      <c r="Q196" s="256"/>
      <c r="R196" s="256"/>
      <c r="S196" s="256"/>
      <c r="T196" s="256"/>
      <c r="U196" s="256"/>
      <c r="V196" s="256"/>
      <c r="W196" s="256"/>
      <c r="X196" s="258"/>
    </row>
    <row r="197" spans="1:24">
      <c r="A197" s="317" t="s">
        <v>755</v>
      </c>
      <c r="B197" s="256"/>
      <c r="C197" s="256"/>
      <c r="D197" s="256"/>
      <c r="E197" s="256"/>
      <c r="F197" s="256"/>
      <c r="G197" s="256"/>
      <c r="H197" s="256"/>
      <c r="I197" s="256"/>
      <c r="J197" s="256"/>
      <c r="K197" s="256"/>
      <c r="L197" s="256"/>
      <c r="M197" s="257"/>
      <c r="N197" s="256"/>
      <c r="O197" s="256"/>
      <c r="P197" s="256"/>
      <c r="Q197" s="256"/>
      <c r="R197" s="256"/>
      <c r="S197" s="256"/>
      <c r="T197" s="256"/>
      <c r="U197" s="256"/>
      <c r="V197" s="256"/>
      <c r="W197" s="256"/>
      <c r="X197" s="258"/>
    </row>
    <row r="198" spans="1:24">
      <c r="A198" s="317" t="s">
        <v>756</v>
      </c>
      <c r="B198" s="256"/>
      <c r="C198" s="256"/>
      <c r="D198" s="256"/>
      <c r="E198" s="256"/>
      <c r="F198" s="256"/>
      <c r="G198" s="256"/>
      <c r="H198" s="256"/>
      <c r="I198" s="256"/>
      <c r="J198" s="256"/>
      <c r="K198" s="256"/>
      <c r="L198" s="256"/>
      <c r="M198" s="257"/>
      <c r="N198" s="256"/>
      <c r="O198" s="256"/>
      <c r="P198" s="256"/>
      <c r="Q198" s="256"/>
      <c r="R198" s="256"/>
      <c r="S198" s="256"/>
      <c r="T198" s="256"/>
      <c r="U198" s="256"/>
      <c r="V198" s="256"/>
      <c r="W198" s="256"/>
      <c r="X198" s="258"/>
    </row>
    <row r="199" spans="1:24">
      <c r="A199" s="317" t="s">
        <v>757</v>
      </c>
      <c r="B199" s="256"/>
      <c r="C199" s="256"/>
      <c r="D199" s="256"/>
      <c r="E199" s="256"/>
      <c r="F199" s="256"/>
      <c r="G199" s="256"/>
      <c r="H199" s="256"/>
      <c r="I199" s="256"/>
      <c r="J199" s="256"/>
      <c r="K199" s="256"/>
      <c r="L199" s="256"/>
      <c r="M199" s="257"/>
      <c r="N199" s="256"/>
      <c r="O199" s="256"/>
      <c r="P199" s="256"/>
      <c r="Q199" s="256"/>
      <c r="R199" s="256"/>
      <c r="S199" s="256"/>
      <c r="T199" s="256"/>
      <c r="U199" s="256"/>
      <c r="V199" s="256"/>
      <c r="W199" s="256"/>
      <c r="X199" s="258"/>
    </row>
    <row r="200" spans="1:24">
      <c r="A200" s="317" t="s">
        <v>758</v>
      </c>
      <c r="B200" s="256"/>
      <c r="C200" s="256"/>
      <c r="D200" s="256"/>
      <c r="E200" s="256"/>
      <c r="F200" s="256"/>
      <c r="G200" s="256"/>
      <c r="H200" s="256"/>
      <c r="I200" s="256"/>
      <c r="J200" s="256"/>
      <c r="K200" s="256"/>
      <c r="L200" s="256"/>
      <c r="M200" s="257"/>
      <c r="N200" s="256"/>
      <c r="O200" s="256"/>
      <c r="P200" s="256"/>
      <c r="Q200" s="256"/>
      <c r="R200" s="256"/>
      <c r="S200" s="256"/>
      <c r="T200" s="256"/>
      <c r="U200" s="256"/>
      <c r="V200" s="256"/>
      <c r="W200" s="256"/>
      <c r="X200" s="258"/>
    </row>
    <row r="201" spans="1:24">
      <c r="A201" s="317" t="s">
        <v>759</v>
      </c>
      <c r="B201" s="256"/>
      <c r="C201" s="256"/>
      <c r="D201" s="256"/>
      <c r="E201" s="256"/>
      <c r="F201" s="256"/>
      <c r="G201" s="256"/>
      <c r="H201" s="256"/>
      <c r="I201" s="256"/>
      <c r="J201" s="256"/>
      <c r="K201" s="256"/>
      <c r="L201" s="256"/>
      <c r="M201" s="257"/>
      <c r="N201" s="256"/>
      <c r="O201" s="256"/>
      <c r="P201" s="256"/>
      <c r="Q201" s="256"/>
      <c r="R201" s="256"/>
      <c r="S201" s="256"/>
      <c r="T201" s="256"/>
      <c r="U201" s="256"/>
      <c r="V201" s="256"/>
      <c r="W201" s="256"/>
      <c r="X201" s="258"/>
    </row>
    <row r="202" spans="1:24">
      <c r="A202" s="317" t="s">
        <v>760</v>
      </c>
      <c r="B202" s="256"/>
      <c r="C202" s="256"/>
      <c r="D202" s="256"/>
      <c r="E202" s="256"/>
      <c r="F202" s="256"/>
      <c r="G202" s="256"/>
      <c r="H202" s="256"/>
      <c r="I202" s="256"/>
      <c r="J202" s="256"/>
      <c r="K202" s="256"/>
      <c r="L202" s="256"/>
      <c r="M202" s="257"/>
      <c r="N202" s="256"/>
      <c r="O202" s="256"/>
      <c r="P202" s="256"/>
      <c r="Q202" s="256"/>
      <c r="R202" s="256"/>
      <c r="S202" s="256"/>
      <c r="T202" s="256"/>
      <c r="U202" s="256"/>
      <c r="V202" s="256"/>
      <c r="W202" s="256"/>
      <c r="X202" s="258"/>
    </row>
    <row r="203" spans="1:24">
      <c r="A203" s="317" t="s">
        <v>761</v>
      </c>
      <c r="B203" s="256"/>
      <c r="C203" s="256"/>
      <c r="D203" s="256"/>
      <c r="E203" s="256"/>
      <c r="F203" s="256"/>
      <c r="G203" s="256"/>
      <c r="H203" s="256"/>
      <c r="I203" s="256"/>
      <c r="J203" s="256"/>
      <c r="K203" s="256"/>
      <c r="L203" s="256"/>
      <c r="M203" s="257"/>
      <c r="N203" s="256"/>
      <c r="O203" s="256"/>
      <c r="P203" s="256"/>
      <c r="Q203" s="256"/>
      <c r="R203" s="256"/>
      <c r="S203" s="256"/>
      <c r="T203" s="256"/>
      <c r="U203" s="256"/>
      <c r="V203" s="256"/>
      <c r="W203" s="256"/>
      <c r="X203" s="258"/>
    </row>
    <row r="204" spans="1:24">
      <c r="A204" s="317" t="s">
        <v>762</v>
      </c>
      <c r="B204" s="256"/>
      <c r="C204" s="256"/>
      <c r="D204" s="256"/>
      <c r="E204" s="256"/>
      <c r="F204" s="256"/>
      <c r="G204" s="256"/>
      <c r="H204" s="256"/>
      <c r="I204" s="256"/>
      <c r="J204" s="256"/>
      <c r="K204" s="256"/>
      <c r="L204" s="256"/>
      <c r="M204" s="257"/>
      <c r="N204" s="256"/>
      <c r="O204" s="256"/>
      <c r="P204" s="256"/>
      <c r="Q204" s="256"/>
      <c r="R204" s="256"/>
      <c r="S204" s="256"/>
      <c r="T204" s="256"/>
      <c r="U204" s="256"/>
      <c r="V204" s="256"/>
      <c r="W204" s="256"/>
      <c r="X204" s="258"/>
    </row>
    <row r="205" spans="1:24">
      <c r="A205" s="317" t="s">
        <v>763</v>
      </c>
      <c r="B205" s="256"/>
      <c r="C205" s="256"/>
      <c r="D205" s="256"/>
      <c r="E205" s="256"/>
      <c r="F205" s="256"/>
      <c r="G205" s="256"/>
      <c r="H205" s="256"/>
      <c r="I205" s="256"/>
      <c r="J205" s="256"/>
      <c r="K205" s="256"/>
      <c r="L205" s="256"/>
      <c r="M205" s="257"/>
      <c r="N205" s="256"/>
      <c r="O205" s="256"/>
      <c r="P205" s="256"/>
      <c r="Q205" s="256"/>
      <c r="R205" s="256"/>
      <c r="S205" s="256"/>
      <c r="T205" s="256"/>
      <c r="U205" s="256"/>
      <c r="V205" s="256"/>
      <c r="W205" s="256"/>
      <c r="X205" s="258"/>
    </row>
    <row r="206" spans="1:24">
      <c r="A206" s="317" t="s">
        <v>764</v>
      </c>
      <c r="B206" s="256"/>
      <c r="C206" s="256"/>
      <c r="D206" s="256"/>
      <c r="E206" s="256"/>
      <c r="F206" s="256"/>
      <c r="G206" s="256"/>
      <c r="H206" s="256"/>
      <c r="I206" s="256"/>
      <c r="J206" s="256"/>
      <c r="K206" s="256"/>
      <c r="L206" s="256"/>
      <c r="M206" s="257"/>
      <c r="N206" s="256"/>
      <c r="O206" s="256"/>
      <c r="P206" s="256"/>
      <c r="Q206" s="256"/>
      <c r="R206" s="256"/>
      <c r="S206" s="256"/>
      <c r="T206" s="256"/>
      <c r="U206" s="256"/>
      <c r="V206" s="256"/>
      <c r="W206" s="256"/>
      <c r="X206" s="258"/>
    </row>
    <row r="207" spans="1:24">
      <c r="A207" s="317" t="s">
        <v>765</v>
      </c>
      <c r="B207" s="256"/>
      <c r="C207" s="256"/>
      <c r="D207" s="256"/>
      <c r="E207" s="256"/>
      <c r="F207" s="256"/>
      <c r="G207" s="256"/>
      <c r="H207" s="256"/>
      <c r="I207" s="256"/>
      <c r="J207" s="256"/>
      <c r="K207" s="256"/>
      <c r="L207" s="256"/>
      <c r="M207" s="257"/>
      <c r="N207" s="256"/>
      <c r="O207" s="256"/>
      <c r="P207" s="256"/>
      <c r="Q207" s="256"/>
      <c r="R207" s="256"/>
      <c r="S207" s="256"/>
      <c r="T207" s="256"/>
      <c r="U207" s="256"/>
      <c r="V207" s="256"/>
      <c r="W207" s="256"/>
      <c r="X207" s="258"/>
    </row>
    <row r="208" spans="1:24">
      <c r="A208" s="261" t="s">
        <v>766</v>
      </c>
      <c r="B208" s="263"/>
      <c r="C208" s="263"/>
      <c r="D208" s="263"/>
      <c r="E208" s="263"/>
      <c r="F208" s="263"/>
      <c r="G208" s="263"/>
      <c r="H208" s="263"/>
      <c r="I208" s="263"/>
      <c r="J208" s="263"/>
      <c r="K208" s="263"/>
      <c r="L208" s="263"/>
      <c r="M208" s="264"/>
      <c r="N208" s="263"/>
      <c r="O208" s="263"/>
      <c r="P208" s="263"/>
      <c r="Q208" s="263"/>
      <c r="R208" s="263"/>
      <c r="S208" s="263"/>
      <c r="T208" s="263"/>
      <c r="U208" s="263"/>
      <c r="V208" s="263"/>
      <c r="W208" s="263"/>
      <c r="X208" s="265"/>
    </row>
  </sheetData>
  <pageMargins left="0" right="0" top="0" bottom="0" header="0.51180555555555496" footer="0.51180555555555496"/>
  <pageSetup scale="54" firstPageNumber="0" orientation="landscape"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CBDEF-9A33-4099-A272-6B8DAC99F823}">
  <dimension ref="A1:AB208"/>
  <sheetViews>
    <sheetView topLeftCell="A2" zoomScale="130" zoomScaleNormal="130" workbookViewId="0">
      <selection activeCell="B4" sqref="B4:B9"/>
    </sheetView>
  </sheetViews>
  <sheetFormatPr baseColWidth="10" defaultColWidth="8.83203125" defaultRowHeight="15"/>
  <cols>
    <col min="1" max="1" width="18.83203125" style="241" customWidth="1"/>
    <col min="2" max="3" width="11.33203125" style="241" customWidth="1"/>
    <col min="4" max="4" width="7.6640625" style="241" customWidth="1"/>
    <col min="5" max="5" width="7.83203125" style="241" customWidth="1"/>
    <col min="6" max="6" width="10.1640625" style="241" customWidth="1"/>
    <col min="7" max="7" width="8.83203125" style="241"/>
    <col min="8" max="8" width="9.1640625" style="241" customWidth="1"/>
    <col min="9" max="9" width="17.5" style="241" customWidth="1"/>
    <col min="10" max="10" width="8.33203125" style="241" customWidth="1"/>
    <col min="11" max="12" width="9.1640625" style="241" customWidth="1"/>
    <col min="13" max="13" width="9" style="244" customWidth="1"/>
    <col min="14" max="1025" width="9.1640625" style="241" customWidth="1"/>
    <col min="1026" max="16384" width="8.83203125" style="241"/>
  </cols>
  <sheetData>
    <row r="1" spans="1:25" ht="34">
      <c r="B1" s="242" t="s">
        <v>0</v>
      </c>
      <c r="C1" s="243"/>
      <c r="Y1" s="360"/>
    </row>
    <row r="2" spans="1:25" s="244" customFormat="1" ht="21">
      <c r="B2" s="361" t="s">
        <v>1</v>
      </c>
      <c r="C2" s="247"/>
      <c r="Y2" s="248"/>
    </row>
    <row r="3" spans="1:25" s="244" customFormat="1" ht="19">
      <c r="B3" s="362" t="s">
        <v>2</v>
      </c>
      <c r="C3" s="247"/>
      <c r="Y3" s="363"/>
    </row>
    <row r="4" spans="1:25">
      <c r="A4" s="251" t="s">
        <v>3</v>
      </c>
      <c r="B4" s="252"/>
      <c r="C4" s="253"/>
      <c r="D4" s="253"/>
      <c r="E4" s="253"/>
      <c r="F4" s="253"/>
      <c r="G4" s="253"/>
      <c r="H4" s="253"/>
      <c r="I4" s="253"/>
      <c r="J4" s="253"/>
      <c r="K4" s="253"/>
      <c r="L4" s="253"/>
      <c r="M4" s="254"/>
      <c r="N4" s="253"/>
      <c r="O4" s="253"/>
      <c r="P4" s="253"/>
      <c r="Q4" s="253"/>
      <c r="R4" s="255"/>
    </row>
    <row r="5" spans="1:25">
      <c r="A5" s="251" t="s">
        <v>4</v>
      </c>
      <c r="B5" s="256"/>
      <c r="C5" s="256"/>
      <c r="D5" s="256"/>
      <c r="E5" s="256"/>
      <c r="F5" s="256"/>
      <c r="G5" s="256"/>
      <c r="H5" s="256"/>
      <c r="I5" s="256"/>
      <c r="J5" s="256"/>
      <c r="K5" s="256"/>
      <c r="L5" s="256"/>
      <c r="M5" s="257"/>
      <c r="N5" s="256"/>
      <c r="O5" s="256"/>
      <c r="P5" s="256"/>
      <c r="Q5" s="256"/>
      <c r="R5" s="258"/>
    </row>
    <row r="6" spans="1:25">
      <c r="A6" s="259" t="s">
        <v>5</v>
      </c>
      <c r="B6" s="252"/>
      <c r="C6" s="253"/>
      <c r="D6" s="253"/>
      <c r="E6" s="253"/>
      <c r="F6" s="253"/>
      <c r="G6" s="253"/>
      <c r="H6" s="253"/>
      <c r="I6" s="253"/>
      <c r="J6" s="253"/>
      <c r="K6" s="253"/>
      <c r="L6" s="253"/>
      <c r="M6" s="254"/>
      <c r="N6" s="253"/>
      <c r="O6" s="253"/>
      <c r="P6" s="253"/>
      <c r="Q6" s="253"/>
      <c r="R6" s="255"/>
    </row>
    <row r="7" spans="1:25">
      <c r="A7" s="260"/>
      <c r="B7" s="261"/>
      <c r="C7" s="256"/>
      <c r="D7" s="256"/>
      <c r="E7" s="256"/>
      <c r="F7" s="256"/>
      <c r="G7" s="256"/>
      <c r="H7" s="256"/>
      <c r="I7" s="256"/>
      <c r="J7" s="256"/>
      <c r="K7" s="256"/>
      <c r="L7" s="256"/>
      <c r="M7" s="257"/>
      <c r="N7" s="256"/>
      <c r="O7" s="256"/>
      <c r="P7" s="256"/>
      <c r="Q7" s="256"/>
      <c r="R7" s="258"/>
    </row>
    <row r="8" spans="1:25">
      <c r="A8" s="259" t="s">
        <v>6</v>
      </c>
      <c r="B8" s="252"/>
      <c r="C8" s="253"/>
      <c r="D8" s="253"/>
      <c r="E8" s="253"/>
      <c r="F8" s="253"/>
      <c r="G8" s="253"/>
      <c r="H8" s="253"/>
      <c r="I8" s="253"/>
      <c r="J8" s="253"/>
      <c r="K8" s="253"/>
      <c r="L8" s="253"/>
      <c r="M8" s="254"/>
      <c r="N8" s="253"/>
      <c r="O8" s="253"/>
      <c r="P8" s="253"/>
      <c r="Q8" s="253"/>
      <c r="R8" s="255"/>
    </row>
    <row r="9" spans="1:25">
      <c r="A9" s="262" t="s">
        <v>7</v>
      </c>
      <c r="B9" s="348"/>
      <c r="C9" s="263"/>
      <c r="D9" s="263"/>
      <c r="E9" s="263"/>
      <c r="F9" s="263"/>
      <c r="G9" s="263"/>
      <c r="H9" s="263"/>
      <c r="I9" s="263"/>
      <c r="J9" s="263"/>
      <c r="K9" s="263"/>
      <c r="L9" s="263"/>
      <c r="M9" s="264"/>
      <c r="N9" s="263"/>
      <c r="O9" s="263"/>
      <c r="P9" s="263"/>
      <c r="Q9" s="263"/>
      <c r="R9" s="265"/>
    </row>
    <row r="10" spans="1:25">
      <c r="A10" s="266"/>
    </row>
    <row r="11" spans="1:25" s="267" customFormat="1" ht="26">
      <c r="A11" s="267" t="s">
        <v>689</v>
      </c>
    </row>
    <row r="12" spans="1:25">
      <c r="B12" s="268" t="s">
        <v>690</v>
      </c>
    </row>
    <row r="13" spans="1:25" s="270" customFormat="1">
      <c r="A13" s="269" t="s">
        <v>691</v>
      </c>
    </row>
    <row r="14" spans="1:25">
      <c r="B14" s="271" t="s">
        <v>32</v>
      </c>
      <c r="C14" s="241" t="s">
        <v>11</v>
      </c>
    </row>
    <row r="15" spans="1:25" s="270" customFormat="1">
      <c r="A15" s="269" t="s">
        <v>12</v>
      </c>
    </row>
    <row r="16" spans="1:25">
      <c r="B16" s="271"/>
      <c r="C16" s="241" t="s">
        <v>11</v>
      </c>
    </row>
    <row r="17" spans="1:28" s="270" customFormat="1">
      <c r="A17" s="269" t="s">
        <v>13</v>
      </c>
    </row>
    <row r="18" spans="1:28">
      <c r="B18" s="252"/>
      <c r="C18" s="253"/>
      <c r="D18" s="253"/>
      <c r="E18" s="253"/>
      <c r="F18" s="253"/>
      <c r="G18" s="253"/>
      <c r="H18" s="253"/>
      <c r="I18" s="253"/>
      <c r="J18" s="253"/>
      <c r="K18" s="253"/>
      <c r="L18" s="253"/>
      <c r="M18" s="254"/>
      <c r="N18" s="253"/>
      <c r="O18" s="253"/>
      <c r="P18" s="253"/>
      <c r="Q18" s="253"/>
      <c r="R18" s="255"/>
      <c r="S18" s="241" t="s">
        <v>15</v>
      </c>
    </row>
    <row r="20" spans="1:28" s="272" customFormat="1">
      <c r="A20" s="272" t="s">
        <v>693</v>
      </c>
    </row>
    <row r="21" spans="1:28" s="276" customFormat="1" ht="35" thickBot="1">
      <c r="A21" s="273" t="s">
        <v>694</v>
      </c>
      <c r="B21" s="274"/>
      <c r="C21" s="274"/>
      <c r="D21" s="274"/>
      <c r="E21" s="274"/>
      <c r="F21" s="274"/>
      <c r="G21" s="274"/>
      <c r="H21" s="274"/>
      <c r="I21" s="274"/>
      <c r="J21" s="274"/>
      <c r="K21" s="274"/>
      <c r="L21" s="274"/>
      <c r="M21" s="275"/>
      <c r="N21" s="244"/>
      <c r="O21" s="244"/>
      <c r="P21" s="244"/>
      <c r="Q21" s="244"/>
      <c r="R21" s="244"/>
      <c r="S21" s="244"/>
      <c r="T21" s="244"/>
      <c r="U21" s="244"/>
      <c r="V21" s="244"/>
      <c r="W21" s="244"/>
      <c r="X21" s="244"/>
      <c r="Y21" s="244"/>
      <c r="Z21" s="244"/>
      <c r="AA21" s="244"/>
      <c r="AB21" s="244"/>
    </row>
    <row r="22" spans="1:28" ht="41.25" customHeight="1" thickBot="1">
      <c r="A22" s="277" t="s">
        <v>18</v>
      </c>
      <c r="B22" s="278" t="s">
        <v>695</v>
      </c>
      <c r="C22" s="278" t="s">
        <v>696</v>
      </c>
      <c r="D22" s="278" t="s">
        <v>21</v>
      </c>
      <c r="E22" s="278" t="s">
        <v>22</v>
      </c>
      <c r="F22" s="278" t="s">
        <v>23</v>
      </c>
      <c r="G22" s="279" t="s">
        <v>697</v>
      </c>
      <c r="H22" s="279" t="s">
        <v>698</v>
      </c>
      <c r="I22" s="280"/>
      <c r="J22" s="281" t="s">
        <v>27</v>
      </c>
      <c r="K22" s="281"/>
      <c r="L22" s="281"/>
      <c r="M22" s="282" t="s">
        <v>28</v>
      </c>
      <c r="N22" s="283"/>
      <c r="O22" s="283"/>
      <c r="P22" s="283"/>
      <c r="Q22" s="283"/>
      <c r="R22" s="283"/>
      <c r="S22" s="283"/>
      <c r="T22" s="284"/>
      <c r="U22" s="276"/>
      <c r="V22" s="276"/>
      <c r="W22" s="276"/>
      <c r="X22" s="276"/>
      <c r="Y22" s="276"/>
      <c r="Z22" s="276"/>
      <c r="AA22" s="276"/>
      <c r="AB22" s="276"/>
    </row>
    <row r="23" spans="1:28">
      <c r="A23" s="285" t="s">
        <v>29</v>
      </c>
      <c r="B23" s="349">
        <v>-2.3786840917791499</v>
      </c>
      <c r="C23" s="287" t="s">
        <v>30</v>
      </c>
      <c r="D23" s="288">
        <v>0.17592262140645501</v>
      </c>
      <c r="E23" s="289">
        <v>11</v>
      </c>
      <c r="F23" s="289">
        <v>258.5</v>
      </c>
      <c r="G23" s="290">
        <v>-0.86</v>
      </c>
      <c r="H23" s="291">
        <f t="shared" ref="H23:H86" si="0">0.5-G23-0.01*(F23-25)</f>
        <v>-0.97500000000000009</v>
      </c>
      <c r="I23" s="292" t="s">
        <v>31</v>
      </c>
      <c r="J23" s="293"/>
      <c r="K23" s="291"/>
      <c r="L23" s="291"/>
      <c r="M23" s="294" t="s">
        <v>33</v>
      </c>
    </row>
    <row r="24" spans="1:28">
      <c r="A24" s="295" t="s">
        <v>35</v>
      </c>
      <c r="B24" s="349">
        <v>-1.9100120439556501</v>
      </c>
      <c r="C24" s="287" t="s">
        <v>36</v>
      </c>
      <c r="D24" s="288">
        <v>0.14701293131372201</v>
      </c>
      <c r="E24" s="289">
        <v>16</v>
      </c>
      <c r="F24" s="289">
        <v>142.4</v>
      </c>
      <c r="G24" s="290">
        <v>1.31</v>
      </c>
      <c r="H24" s="291">
        <f t="shared" si="0"/>
        <v>-1.9840000000000002</v>
      </c>
      <c r="I24" s="292" t="s">
        <v>37</v>
      </c>
      <c r="J24" s="293"/>
      <c r="K24" s="291"/>
      <c r="L24" s="291"/>
      <c r="M24" s="294" t="s">
        <v>38</v>
      </c>
    </row>
    <row r="25" spans="1:28">
      <c r="A25" s="285" t="s">
        <v>40</v>
      </c>
      <c r="B25" s="349">
        <v>-3.0937373402598798</v>
      </c>
      <c r="C25" s="287" t="s">
        <v>41</v>
      </c>
      <c r="D25" s="288">
        <v>0.15746026945991601</v>
      </c>
      <c r="E25" s="289">
        <v>4</v>
      </c>
      <c r="F25" s="289">
        <v>92</v>
      </c>
      <c r="G25" s="290">
        <v>2.5299999999999998</v>
      </c>
      <c r="H25" s="291">
        <f t="shared" si="0"/>
        <v>-2.6999999999999997</v>
      </c>
      <c r="I25" s="292" t="s">
        <v>42</v>
      </c>
      <c r="J25" s="293"/>
      <c r="K25" s="291"/>
      <c r="L25" s="291"/>
      <c r="M25" s="294" t="s">
        <v>43</v>
      </c>
    </row>
    <row r="26" spans="1:28">
      <c r="A26" s="295" t="s">
        <v>45</v>
      </c>
      <c r="B26" s="349">
        <v>-3.6231532997118698</v>
      </c>
      <c r="C26" s="287" t="s">
        <v>46</v>
      </c>
      <c r="D26" s="288">
        <v>0.169992225074696</v>
      </c>
      <c r="E26" s="289">
        <v>3</v>
      </c>
      <c r="F26" s="289">
        <v>234</v>
      </c>
      <c r="G26" s="290">
        <v>3.19</v>
      </c>
      <c r="H26" s="291">
        <f t="shared" si="0"/>
        <v>-4.7799999999999994</v>
      </c>
      <c r="I26" s="297" t="s">
        <v>47</v>
      </c>
      <c r="J26" s="298"/>
      <c r="K26" s="291"/>
      <c r="L26" s="291"/>
      <c r="M26" s="294" t="s">
        <v>48</v>
      </c>
    </row>
    <row r="27" spans="1:28">
      <c r="A27" s="295" t="s">
        <v>50</v>
      </c>
      <c r="B27" s="349">
        <v>-5.9001274898799601</v>
      </c>
      <c r="C27" s="287" t="s">
        <v>51</v>
      </c>
      <c r="D27" s="288">
        <v>0.21168830858587201</v>
      </c>
      <c r="E27" s="289">
        <v>3</v>
      </c>
      <c r="F27" s="289">
        <v>139.25</v>
      </c>
      <c r="G27" s="290">
        <v>4.8600000000000003</v>
      </c>
      <c r="H27" s="291">
        <f t="shared" si="0"/>
        <v>-5.5025000000000004</v>
      </c>
      <c r="I27" s="297" t="s">
        <v>52</v>
      </c>
      <c r="J27" s="298"/>
      <c r="K27" s="291"/>
      <c r="L27" s="291"/>
      <c r="M27" s="294" t="s">
        <v>53</v>
      </c>
    </row>
    <row r="28" spans="1:28">
      <c r="A28" s="285" t="s">
        <v>55</v>
      </c>
      <c r="B28" s="349">
        <v>-5.4791882977051802</v>
      </c>
      <c r="C28" s="299"/>
      <c r="D28" s="288">
        <v>0.18412396392404201</v>
      </c>
      <c r="E28" s="289">
        <v>3</v>
      </c>
      <c r="F28" s="289">
        <v>224</v>
      </c>
      <c r="G28" s="290">
        <v>5.51</v>
      </c>
      <c r="H28" s="291">
        <f t="shared" si="0"/>
        <v>-7</v>
      </c>
      <c r="I28" s="297" t="s">
        <v>56</v>
      </c>
      <c r="J28" s="298"/>
      <c r="K28" s="291"/>
      <c r="L28" s="291"/>
      <c r="M28" s="294" t="s">
        <v>57</v>
      </c>
    </row>
    <row r="29" spans="1:28">
      <c r="A29" s="285" t="s">
        <v>59</v>
      </c>
      <c r="B29" s="349">
        <v>-3.5067079772862702</v>
      </c>
      <c r="C29" s="299"/>
      <c r="D29" s="288">
        <v>0.149337338745232</v>
      </c>
      <c r="E29" s="289">
        <v>6</v>
      </c>
      <c r="F29" s="289">
        <v>172.5</v>
      </c>
      <c r="G29" s="290">
        <v>1.78</v>
      </c>
      <c r="H29" s="291">
        <f t="shared" si="0"/>
        <v>-2.7549999999999999</v>
      </c>
      <c r="I29" s="297" t="s">
        <v>60</v>
      </c>
      <c r="J29" s="300"/>
      <c r="K29" s="291"/>
      <c r="L29" s="291"/>
      <c r="M29" s="294" t="s">
        <v>61</v>
      </c>
    </row>
    <row r="30" spans="1:28">
      <c r="A30" s="285" t="s">
        <v>63</v>
      </c>
      <c r="B30" s="349">
        <v>-1.9627253229693</v>
      </c>
      <c r="C30" s="299"/>
      <c r="D30" s="288">
        <v>0.14842266063120099</v>
      </c>
      <c r="E30" s="289">
        <v>4</v>
      </c>
      <c r="F30" s="289">
        <v>207.5</v>
      </c>
      <c r="G30" s="290">
        <v>1.86</v>
      </c>
      <c r="H30" s="291">
        <f t="shared" si="0"/>
        <v>-3.1850000000000001</v>
      </c>
      <c r="I30" s="301" t="s">
        <v>64</v>
      </c>
      <c r="J30" s="302" t="s">
        <v>767</v>
      </c>
      <c r="K30" s="303"/>
      <c r="L30" s="304"/>
      <c r="M30" s="294" t="s">
        <v>65</v>
      </c>
    </row>
    <row r="31" spans="1:28">
      <c r="A31" s="305" t="s">
        <v>66</v>
      </c>
      <c r="B31" s="349">
        <v>-1.95076601949953</v>
      </c>
      <c r="C31" s="299"/>
      <c r="D31" s="288">
        <v>0.16179731069006001</v>
      </c>
      <c r="E31" s="289">
        <v>10</v>
      </c>
      <c r="F31" s="289">
        <v>166.5</v>
      </c>
      <c r="G31" s="290">
        <v>0.79</v>
      </c>
      <c r="H31" s="291">
        <f t="shared" si="0"/>
        <v>-1.7050000000000001</v>
      </c>
      <c r="J31" s="291"/>
      <c r="K31" s="291"/>
      <c r="L31" s="291"/>
      <c r="M31" s="294" t="s">
        <v>67</v>
      </c>
    </row>
    <row r="32" spans="1:28">
      <c r="A32" s="295" t="s">
        <v>68</v>
      </c>
      <c r="B32" s="349">
        <v>-4.25028929143516</v>
      </c>
      <c r="C32" s="299"/>
      <c r="D32" s="288">
        <v>0.21543706061278201</v>
      </c>
      <c r="E32" s="289">
        <v>6</v>
      </c>
      <c r="F32" s="289">
        <v>231.5</v>
      </c>
      <c r="G32" s="290">
        <v>2.4300000000000002</v>
      </c>
      <c r="H32" s="291">
        <f t="shared" si="0"/>
        <v>-3.9950000000000001</v>
      </c>
      <c r="I32" s="306" t="s">
        <v>69</v>
      </c>
      <c r="J32" s="307"/>
      <c r="K32" s="307"/>
      <c r="L32" s="308"/>
      <c r="M32" s="294" t="s">
        <v>70</v>
      </c>
    </row>
    <row r="33" spans="1:13">
      <c r="A33" s="295" t="s">
        <v>71</v>
      </c>
      <c r="B33" s="349">
        <v>-3.97210698404426</v>
      </c>
      <c r="C33" s="299"/>
      <c r="D33" s="288">
        <v>0.129125206050696</v>
      </c>
      <c r="E33" s="289">
        <v>3</v>
      </c>
      <c r="F33" s="309">
        <v>192.7</v>
      </c>
      <c r="G33" s="290">
        <v>2.63</v>
      </c>
      <c r="H33" s="291">
        <f t="shared" si="0"/>
        <v>-3.8069999999999995</v>
      </c>
      <c r="I33" s="350" t="s">
        <v>736</v>
      </c>
      <c r="J33" s="311"/>
      <c r="K33" s="311"/>
      <c r="L33" s="312"/>
      <c r="M33" s="294" t="s">
        <v>72</v>
      </c>
    </row>
    <row r="34" spans="1:13">
      <c r="A34" s="285" t="s">
        <v>74</v>
      </c>
      <c r="B34" s="349">
        <v>-6.76199047270826</v>
      </c>
      <c r="C34" s="299"/>
      <c r="D34" s="288">
        <v>0.14911462098310899</v>
      </c>
      <c r="E34" s="289">
        <v>6</v>
      </c>
      <c r="F34" s="289">
        <v>167</v>
      </c>
      <c r="G34" s="290">
        <v>6.32</v>
      </c>
      <c r="H34" s="291">
        <f t="shared" si="0"/>
        <v>-7.24</v>
      </c>
      <c r="I34" s="351" t="s">
        <v>737</v>
      </c>
      <c r="J34" s="314"/>
      <c r="K34" s="314"/>
      <c r="L34" s="316"/>
      <c r="M34" s="294" t="s">
        <v>75</v>
      </c>
    </row>
    <row r="35" spans="1:13">
      <c r="A35" s="295" t="s">
        <v>77</v>
      </c>
      <c r="B35" s="349">
        <v>-3.8535854475043001</v>
      </c>
      <c r="C35" s="299"/>
      <c r="D35" s="288">
        <v>0.15809078703524701</v>
      </c>
      <c r="E35" s="289">
        <v>15</v>
      </c>
      <c r="F35" s="289">
        <v>191.5</v>
      </c>
      <c r="G35" s="290">
        <v>3.39</v>
      </c>
      <c r="H35" s="291">
        <f t="shared" si="0"/>
        <v>-4.5549999999999997</v>
      </c>
      <c r="I35" s="351" t="s">
        <v>738</v>
      </c>
      <c r="J35" s="314"/>
      <c r="K35" s="314"/>
      <c r="L35" s="316"/>
      <c r="M35" s="294" t="s">
        <v>78</v>
      </c>
    </row>
    <row r="36" spans="1:13">
      <c r="A36" s="305" t="s">
        <v>80</v>
      </c>
      <c r="B36" s="349">
        <v>-3.66208194191909</v>
      </c>
      <c r="C36" s="299"/>
      <c r="D36" s="288">
        <v>0.191150308906822</v>
      </c>
      <c r="E36" s="289">
        <v>3</v>
      </c>
      <c r="F36" s="289">
        <v>246.2</v>
      </c>
      <c r="G36" s="290">
        <v>3.32</v>
      </c>
      <c r="H36" s="291">
        <f t="shared" si="0"/>
        <v>-5.032</v>
      </c>
      <c r="I36" s="352" t="s">
        <v>739</v>
      </c>
      <c r="J36" s="314"/>
      <c r="K36" s="314"/>
      <c r="L36" s="316"/>
      <c r="M36" s="294" t="s">
        <v>81</v>
      </c>
    </row>
    <row r="37" spans="1:13">
      <c r="A37" s="305" t="s">
        <v>73</v>
      </c>
      <c r="B37" s="349">
        <v>-2.8420425666578901</v>
      </c>
      <c r="C37" s="299"/>
      <c r="D37" s="288">
        <v>0.19050575600734301</v>
      </c>
      <c r="E37" s="289">
        <v>4</v>
      </c>
      <c r="F37" s="289">
        <v>304</v>
      </c>
      <c r="G37" s="290">
        <v>1.74</v>
      </c>
      <c r="H37" s="291">
        <f t="shared" si="0"/>
        <v>-4.03</v>
      </c>
      <c r="I37" s="353" t="s">
        <v>740</v>
      </c>
      <c r="J37" s="314"/>
      <c r="K37" s="314"/>
      <c r="L37" s="316"/>
      <c r="M37" s="294" t="s">
        <v>83</v>
      </c>
    </row>
    <row r="38" spans="1:13">
      <c r="A38" s="285" t="s">
        <v>76</v>
      </c>
      <c r="B38" s="349">
        <v>-2.6584350201756699</v>
      </c>
      <c r="C38" s="299"/>
      <c r="D38" s="288">
        <v>0.13682393527498099</v>
      </c>
      <c r="E38" s="289">
        <v>7</v>
      </c>
      <c r="F38" s="289">
        <v>187</v>
      </c>
      <c r="G38" s="290">
        <v>-0.87</v>
      </c>
      <c r="H38" s="291">
        <f t="shared" si="0"/>
        <v>-0.25</v>
      </c>
      <c r="I38" s="353" t="s">
        <v>741</v>
      </c>
      <c r="J38" s="314"/>
      <c r="K38" s="314"/>
      <c r="L38" s="316"/>
      <c r="M38" s="318" t="s">
        <v>85</v>
      </c>
    </row>
    <row r="39" spans="1:13">
      <c r="A39" s="285" t="s">
        <v>87</v>
      </c>
      <c r="B39" s="349">
        <v>-2.4179747819308401</v>
      </c>
      <c r="C39" s="299"/>
      <c r="D39" s="288">
        <v>0.20462356367491999</v>
      </c>
      <c r="E39" s="289">
        <v>4</v>
      </c>
      <c r="F39" s="289">
        <v>221.5</v>
      </c>
      <c r="G39" s="290">
        <v>0.71</v>
      </c>
      <c r="H39" s="291">
        <f t="shared" si="0"/>
        <v>-2.1749999999999998</v>
      </c>
      <c r="I39" s="353" t="s">
        <v>742</v>
      </c>
      <c r="J39" s="314"/>
      <c r="K39" s="314"/>
      <c r="L39" s="316"/>
      <c r="M39" s="294" t="s">
        <v>88</v>
      </c>
    </row>
    <row r="40" spans="1:13">
      <c r="A40" s="285" t="s">
        <v>90</v>
      </c>
      <c r="B40" s="349">
        <v>-5.57999998538389</v>
      </c>
      <c r="C40" s="299"/>
      <c r="D40" s="288">
        <v>0.182746025644656</v>
      </c>
      <c r="E40" s="289">
        <v>6</v>
      </c>
      <c r="F40" s="289">
        <v>157.833333333333</v>
      </c>
      <c r="G40" s="290">
        <v>3.51</v>
      </c>
      <c r="H40" s="291">
        <f t="shared" si="0"/>
        <v>-4.3383333333333294</v>
      </c>
      <c r="I40" s="353" t="s">
        <v>743</v>
      </c>
      <c r="J40" s="256"/>
      <c r="K40" s="256"/>
      <c r="L40" s="258"/>
      <c r="M40" s="294" t="s">
        <v>91</v>
      </c>
    </row>
    <row r="41" spans="1:13">
      <c r="A41" s="295" t="s">
        <v>93</v>
      </c>
      <c r="B41" s="349">
        <v>-2.0503244973628401</v>
      </c>
      <c r="C41" s="299"/>
      <c r="D41" s="288">
        <v>0.12610247911779701</v>
      </c>
      <c r="E41" s="289">
        <v>8</v>
      </c>
      <c r="F41" s="289">
        <v>140</v>
      </c>
      <c r="G41" s="290">
        <v>0.35</v>
      </c>
      <c r="H41" s="291">
        <f t="shared" si="0"/>
        <v>-1</v>
      </c>
      <c r="I41" s="353" t="s">
        <v>744</v>
      </c>
      <c r="J41" s="256"/>
      <c r="K41" s="256"/>
      <c r="L41" s="258"/>
      <c r="M41" s="294" t="s">
        <v>94</v>
      </c>
    </row>
    <row r="42" spans="1:13">
      <c r="A42" s="295" t="s">
        <v>96</v>
      </c>
      <c r="B42" s="349">
        <v>-3.3026583463184802</v>
      </c>
      <c r="C42" s="299"/>
      <c r="D42" s="288">
        <v>0.14493441954544001</v>
      </c>
      <c r="E42" s="289">
        <v>7</v>
      </c>
      <c r="F42" s="289">
        <v>127.933333333333</v>
      </c>
      <c r="G42" s="290">
        <v>1.74</v>
      </c>
      <c r="H42" s="291">
        <f t="shared" si="0"/>
        <v>-2.2693333333333299</v>
      </c>
      <c r="I42" s="354" t="s">
        <v>745</v>
      </c>
      <c r="J42" s="256"/>
      <c r="K42" s="256"/>
      <c r="L42" s="258"/>
      <c r="M42" s="294" t="s">
        <v>97</v>
      </c>
    </row>
    <row r="43" spans="1:13">
      <c r="A43" s="295" t="s">
        <v>79</v>
      </c>
      <c r="B43" s="349">
        <v>-5.6319509237177297</v>
      </c>
      <c r="C43" s="299"/>
      <c r="D43" s="288">
        <v>0.148613886268708</v>
      </c>
      <c r="E43" s="289">
        <v>7</v>
      </c>
      <c r="F43" s="289">
        <v>176</v>
      </c>
      <c r="G43" s="290">
        <v>4.4800000000000004</v>
      </c>
      <c r="H43" s="291">
        <f t="shared" si="0"/>
        <v>-5.49</v>
      </c>
      <c r="I43" s="354" t="s">
        <v>746</v>
      </c>
      <c r="J43" s="256"/>
      <c r="K43" s="256"/>
      <c r="L43" s="258"/>
      <c r="M43" s="294" t="s">
        <v>99</v>
      </c>
    </row>
    <row r="44" spans="1:13">
      <c r="A44" s="285" t="s">
        <v>101</v>
      </c>
      <c r="B44" s="349">
        <v>-4.4433927008452301</v>
      </c>
      <c r="C44" s="299"/>
      <c r="D44" s="288">
        <v>0.12807114954002</v>
      </c>
      <c r="E44" s="289">
        <v>3</v>
      </c>
      <c r="F44" s="289">
        <v>159.69999999999999</v>
      </c>
      <c r="G44" s="290">
        <v>3.46</v>
      </c>
      <c r="H44" s="291">
        <f t="shared" si="0"/>
        <v>-4.3070000000000004</v>
      </c>
      <c r="I44" s="355" t="s">
        <v>747</v>
      </c>
      <c r="J44" s="263"/>
      <c r="K44" s="263"/>
      <c r="L44" s="265"/>
      <c r="M44" s="294" t="s">
        <v>102</v>
      </c>
    </row>
    <row r="45" spans="1:13">
      <c r="A45" s="295" t="s">
        <v>104</v>
      </c>
      <c r="B45" s="349">
        <v>-1.6281170105579901</v>
      </c>
      <c r="C45" s="299"/>
      <c r="D45" s="288">
        <v>0.21683500301481101</v>
      </c>
      <c r="E45" s="289">
        <v>8</v>
      </c>
      <c r="F45" s="289">
        <v>142</v>
      </c>
      <c r="G45" s="290">
        <v>0.6</v>
      </c>
      <c r="H45" s="291">
        <f t="shared" si="0"/>
        <v>-1.27</v>
      </c>
      <c r="J45" s="291"/>
      <c r="K45" s="291"/>
      <c r="L45" s="291"/>
      <c r="M45" s="294" t="s">
        <v>105</v>
      </c>
    </row>
    <row r="46" spans="1:13">
      <c r="A46" s="295" t="s">
        <v>107</v>
      </c>
      <c r="B46" s="349">
        <v>-3.2731301406517699</v>
      </c>
      <c r="C46" s="299"/>
      <c r="D46" s="288">
        <v>0.18255878892749899</v>
      </c>
      <c r="E46" s="289">
        <v>20</v>
      </c>
      <c r="F46" s="289">
        <v>267</v>
      </c>
      <c r="G46" s="290">
        <v>1.58</v>
      </c>
      <c r="H46" s="291">
        <f t="shared" si="0"/>
        <v>-3.5</v>
      </c>
      <c r="I46" s="321" t="s">
        <v>133</v>
      </c>
      <c r="J46" s="322">
        <v>881</v>
      </c>
      <c r="K46" s="304"/>
      <c r="L46" s="291"/>
      <c r="M46" s="294" t="s">
        <v>108</v>
      </c>
    </row>
    <row r="47" spans="1:13">
      <c r="A47" s="285" t="s">
        <v>110</v>
      </c>
      <c r="B47" s="349">
        <v>-4.1593677692551498</v>
      </c>
      <c r="C47" s="299"/>
      <c r="D47" s="288">
        <v>0.16704647063532599</v>
      </c>
      <c r="E47" s="289">
        <v>6</v>
      </c>
      <c r="F47" s="289">
        <v>110</v>
      </c>
      <c r="G47" s="290">
        <v>3.36</v>
      </c>
      <c r="H47" s="291">
        <f t="shared" si="0"/>
        <v>-3.71</v>
      </c>
      <c r="I47" s="321" t="s">
        <v>136</v>
      </c>
      <c r="J47" s="322">
        <v>164</v>
      </c>
      <c r="K47" s="304"/>
      <c r="L47" s="291"/>
      <c r="M47" s="294" t="s">
        <v>111</v>
      </c>
    </row>
    <row r="48" spans="1:13">
      <c r="A48" s="295" t="s">
        <v>82</v>
      </c>
      <c r="B48" s="349">
        <v>-3.5406511724212502</v>
      </c>
      <c r="C48" s="299"/>
      <c r="D48" s="288">
        <v>0.1716450131236</v>
      </c>
      <c r="E48" s="289">
        <v>7</v>
      </c>
      <c r="F48" s="289">
        <v>182</v>
      </c>
      <c r="G48" s="290">
        <v>2.67</v>
      </c>
      <c r="H48" s="291">
        <f t="shared" si="0"/>
        <v>-3.74</v>
      </c>
      <c r="I48" s="321" t="s">
        <v>139</v>
      </c>
      <c r="J48" s="322">
        <f>COUNTA(A23:A122)</f>
        <v>100</v>
      </c>
      <c r="K48" s="304"/>
      <c r="L48" s="291"/>
      <c r="M48" s="294" t="s">
        <v>113</v>
      </c>
    </row>
    <row r="49" spans="1:13">
      <c r="A49" s="295" t="s">
        <v>115</v>
      </c>
      <c r="B49" s="349">
        <v>-3.6799650608615999</v>
      </c>
      <c r="C49" s="299"/>
      <c r="D49" s="288">
        <v>0.12558353028546099</v>
      </c>
      <c r="E49" s="289">
        <v>4</v>
      </c>
      <c r="F49" s="289">
        <v>222</v>
      </c>
      <c r="G49" s="290">
        <v>2.56</v>
      </c>
      <c r="H49" s="291">
        <f t="shared" si="0"/>
        <v>-4.03</v>
      </c>
      <c r="I49" s="291"/>
      <c r="J49" s="291"/>
      <c r="K49" s="291"/>
      <c r="L49" s="291"/>
      <c r="M49" s="294" t="s">
        <v>116</v>
      </c>
    </row>
    <row r="50" spans="1:13">
      <c r="A50" s="295" t="s">
        <v>118</v>
      </c>
      <c r="B50" s="349">
        <v>-5.7707246625447901</v>
      </c>
      <c r="C50" s="299"/>
      <c r="D50" s="288">
        <v>0.15681339906647901</v>
      </c>
      <c r="E50" s="289">
        <v>6</v>
      </c>
      <c r="F50" s="289">
        <v>151</v>
      </c>
      <c r="G50" s="290">
        <v>3.27</v>
      </c>
      <c r="H50" s="291">
        <f t="shared" si="0"/>
        <v>-4.03</v>
      </c>
      <c r="I50" s="324" t="s">
        <v>144</v>
      </c>
      <c r="J50" s="307"/>
      <c r="K50" s="307"/>
      <c r="L50" s="308"/>
      <c r="M50" s="294" t="s">
        <v>119</v>
      </c>
    </row>
    <row r="51" spans="1:13">
      <c r="A51" s="285" t="s">
        <v>84</v>
      </c>
      <c r="B51" s="349">
        <v>-4.1124704240330496</v>
      </c>
      <c r="C51" s="299"/>
      <c r="D51" s="288">
        <v>0.12789394574374299</v>
      </c>
      <c r="E51" s="289">
        <v>5</v>
      </c>
      <c r="F51" s="289">
        <v>330</v>
      </c>
      <c r="G51" s="290">
        <v>2.87</v>
      </c>
      <c r="H51" s="291">
        <f t="shared" si="0"/>
        <v>-5.42</v>
      </c>
      <c r="I51" s="310" t="s">
        <v>768</v>
      </c>
      <c r="J51" s="311"/>
      <c r="K51" s="311"/>
      <c r="L51" s="312"/>
      <c r="M51" s="294" t="s">
        <v>120</v>
      </c>
    </row>
    <row r="52" spans="1:13">
      <c r="A52" s="295" t="s">
        <v>121</v>
      </c>
      <c r="B52" s="349">
        <v>-4.0860194735084097</v>
      </c>
      <c r="C52" s="299"/>
      <c r="D52" s="288">
        <v>0.18012800124370401</v>
      </c>
      <c r="E52" s="289">
        <v>3</v>
      </c>
      <c r="F52" s="289">
        <v>100</v>
      </c>
      <c r="G52" s="290">
        <v>3.53</v>
      </c>
      <c r="H52" s="291">
        <f t="shared" si="0"/>
        <v>-3.78</v>
      </c>
      <c r="I52" s="313" t="s">
        <v>749</v>
      </c>
      <c r="J52" s="314"/>
      <c r="K52" s="314"/>
      <c r="L52" s="316"/>
      <c r="M52" s="294" t="s">
        <v>122</v>
      </c>
    </row>
    <row r="53" spans="1:13">
      <c r="A53" s="285" t="s">
        <v>123</v>
      </c>
      <c r="B53" s="349">
        <v>-4.0499666457086896</v>
      </c>
      <c r="C53" s="299"/>
      <c r="D53" s="288">
        <v>0.180621047507217</v>
      </c>
      <c r="E53" s="289">
        <v>16</v>
      </c>
      <c r="F53" s="289">
        <v>262.5</v>
      </c>
      <c r="G53" s="290">
        <v>1.9</v>
      </c>
      <c r="H53" s="291">
        <f t="shared" si="0"/>
        <v>-3.7749999999999999</v>
      </c>
      <c r="I53" s="313"/>
      <c r="J53" s="314"/>
      <c r="K53" s="314"/>
      <c r="L53" s="316"/>
      <c r="M53" s="294" t="s">
        <v>124</v>
      </c>
    </row>
    <row r="54" spans="1:13">
      <c r="A54" s="295" t="s">
        <v>125</v>
      </c>
      <c r="B54" s="349">
        <v>-3.2712123997093299</v>
      </c>
      <c r="C54" s="299"/>
      <c r="D54" s="288">
        <v>0.2215624426866</v>
      </c>
      <c r="E54" s="289">
        <v>4</v>
      </c>
      <c r="F54" s="289">
        <v>328.85</v>
      </c>
      <c r="G54" s="290">
        <v>1.87</v>
      </c>
      <c r="H54" s="291">
        <f t="shared" si="0"/>
        <v>-4.4085000000000001</v>
      </c>
      <c r="I54" s="313"/>
      <c r="J54" s="314"/>
      <c r="K54" s="314"/>
      <c r="L54" s="316"/>
      <c r="M54" s="294" t="s">
        <v>126</v>
      </c>
    </row>
    <row r="55" spans="1:13">
      <c r="A55" s="295" t="s">
        <v>127</v>
      </c>
      <c r="B55" s="349">
        <v>-5.1053342907690897</v>
      </c>
      <c r="C55" s="299"/>
      <c r="D55" s="288">
        <v>0.184508117807134</v>
      </c>
      <c r="E55" s="289">
        <v>33</v>
      </c>
      <c r="F55" s="289">
        <v>167.5</v>
      </c>
      <c r="G55" s="290">
        <v>4.3600000000000003</v>
      </c>
      <c r="H55" s="291">
        <f t="shared" si="0"/>
        <v>-5.2850000000000001</v>
      </c>
      <c r="I55" s="313"/>
      <c r="J55" s="314"/>
      <c r="K55" s="314"/>
      <c r="L55" s="316"/>
      <c r="M55" s="294" t="s">
        <v>128</v>
      </c>
    </row>
    <row r="56" spans="1:13">
      <c r="A56" s="295" t="s">
        <v>86</v>
      </c>
      <c r="B56" s="349">
        <v>-4.6615776830226396</v>
      </c>
      <c r="C56" s="299"/>
      <c r="D56" s="288">
        <v>0.15609203233531499</v>
      </c>
      <c r="E56" s="289">
        <v>3</v>
      </c>
      <c r="F56" s="289">
        <v>223</v>
      </c>
      <c r="G56" s="290">
        <v>2.99</v>
      </c>
      <c r="H56" s="291">
        <f t="shared" si="0"/>
        <v>-4.4700000000000006</v>
      </c>
      <c r="I56" s="313"/>
      <c r="J56" s="314"/>
      <c r="K56" s="314"/>
      <c r="L56" s="316"/>
      <c r="M56" s="294" t="s">
        <v>129</v>
      </c>
    </row>
    <row r="57" spans="1:13">
      <c r="A57" s="295" t="s">
        <v>89</v>
      </c>
      <c r="B57" s="349">
        <v>-4.0991596512893702</v>
      </c>
      <c r="C57" s="299"/>
      <c r="D57" s="288">
        <v>0.20872343532408</v>
      </c>
      <c r="E57" s="289">
        <v>3</v>
      </c>
      <c r="F57" s="289">
        <v>210.5</v>
      </c>
      <c r="G57" s="290">
        <v>2.72</v>
      </c>
      <c r="H57" s="291">
        <f t="shared" si="0"/>
        <v>-4.0750000000000002</v>
      </c>
      <c r="I57" s="313"/>
      <c r="J57" s="314"/>
      <c r="K57" s="314"/>
      <c r="L57" s="316"/>
      <c r="M57" s="294" t="s">
        <v>130</v>
      </c>
    </row>
    <row r="58" spans="1:13">
      <c r="A58" s="295" t="s">
        <v>131</v>
      </c>
      <c r="B58" s="349">
        <v>-4.4449003016459097</v>
      </c>
      <c r="C58" s="299"/>
      <c r="D58" s="288">
        <v>0.12973190134165599</v>
      </c>
      <c r="E58" s="289">
        <v>3</v>
      </c>
      <c r="F58" s="289">
        <v>209.75</v>
      </c>
      <c r="G58" s="290">
        <v>3.37</v>
      </c>
      <c r="H58" s="291">
        <f t="shared" si="0"/>
        <v>-4.7175000000000002</v>
      </c>
      <c r="I58" s="313"/>
      <c r="J58" s="314"/>
      <c r="K58" s="314"/>
      <c r="L58" s="316"/>
      <c r="M58" s="294" t="s">
        <v>132</v>
      </c>
    </row>
    <row r="59" spans="1:13">
      <c r="A59" s="285" t="s">
        <v>92</v>
      </c>
      <c r="B59" s="349">
        <v>-3.3587431603193001</v>
      </c>
      <c r="C59" s="299"/>
      <c r="D59" s="288">
        <v>0.14124198841117799</v>
      </c>
      <c r="E59" s="289">
        <v>3</v>
      </c>
      <c r="F59" s="289">
        <v>53.5</v>
      </c>
      <c r="G59" s="290">
        <v>3.43</v>
      </c>
      <c r="H59" s="291">
        <f t="shared" si="0"/>
        <v>-3.2150000000000003</v>
      </c>
      <c r="I59" s="313"/>
      <c r="J59" s="314"/>
      <c r="K59" s="314"/>
      <c r="L59" s="316"/>
      <c r="M59" s="294" t="s">
        <v>134</v>
      </c>
    </row>
    <row r="60" spans="1:13">
      <c r="A60" s="285" t="s">
        <v>135</v>
      </c>
      <c r="B60" s="349">
        <v>-1.6004945425672299</v>
      </c>
      <c r="C60" s="299"/>
      <c r="D60" s="288">
        <v>0.170692818664089</v>
      </c>
      <c r="E60" s="289">
        <v>6</v>
      </c>
      <c r="F60" s="289">
        <v>270</v>
      </c>
      <c r="G60" s="290">
        <v>0.05</v>
      </c>
      <c r="H60" s="291">
        <f t="shared" si="0"/>
        <v>-2</v>
      </c>
      <c r="I60" s="313"/>
      <c r="J60" s="314"/>
      <c r="K60" s="314"/>
      <c r="L60" s="316"/>
      <c r="M60" s="294" t="s">
        <v>137</v>
      </c>
    </row>
    <row r="61" spans="1:13">
      <c r="A61" s="295" t="s">
        <v>138</v>
      </c>
      <c r="B61" s="349">
        <v>-2.48109622025363</v>
      </c>
      <c r="C61" s="299"/>
      <c r="D61" s="288">
        <v>0.206147596831632</v>
      </c>
      <c r="E61" s="289">
        <v>3</v>
      </c>
      <c r="F61" s="289">
        <v>143.75</v>
      </c>
      <c r="G61" s="290">
        <v>1.6</v>
      </c>
      <c r="H61" s="291">
        <f t="shared" si="0"/>
        <v>-2.2875000000000001</v>
      </c>
      <c r="I61" s="313"/>
      <c r="J61" s="314"/>
      <c r="K61" s="314"/>
      <c r="L61" s="316"/>
      <c r="M61" s="294" t="s">
        <v>140</v>
      </c>
    </row>
    <row r="62" spans="1:13">
      <c r="A62" s="285" t="s">
        <v>141</v>
      </c>
      <c r="B62" s="349">
        <v>-4.2021174112699704</v>
      </c>
      <c r="C62" s="299"/>
      <c r="D62" s="288">
        <v>0.180214226227635</v>
      </c>
      <c r="E62" s="289">
        <v>5</v>
      </c>
      <c r="F62" s="289">
        <v>214.5</v>
      </c>
      <c r="G62" s="290">
        <v>3.61</v>
      </c>
      <c r="H62" s="291">
        <f t="shared" si="0"/>
        <v>-5.0049999999999999</v>
      </c>
      <c r="I62" s="313"/>
      <c r="J62" s="314"/>
      <c r="K62" s="314"/>
      <c r="L62" s="316"/>
      <c r="M62" s="294" t="s">
        <v>142</v>
      </c>
    </row>
    <row r="63" spans="1:13">
      <c r="A63" s="295" t="s">
        <v>143</v>
      </c>
      <c r="B63" s="349">
        <v>-4.2785686261018103</v>
      </c>
      <c r="C63" s="299"/>
      <c r="D63" s="288">
        <v>0.19225415374507401</v>
      </c>
      <c r="E63" s="289">
        <v>8</v>
      </c>
      <c r="F63" s="289">
        <v>255.3</v>
      </c>
      <c r="G63" s="290">
        <v>3.82</v>
      </c>
      <c r="H63" s="291">
        <f t="shared" si="0"/>
        <v>-5.6230000000000002</v>
      </c>
      <c r="I63" s="313"/>
      <c r="J63" s="314"/>
      <c r="K63" s="314"/>
      <c r="L63" s="316"/>
      <c r="M63" s="294" t="s">
        <v>145</v>
      </c>
    </row>
    <row r="64" spans="1:13">
      <c r="A64" s="295" t="s">
        <v>146</v>
      </c>
      <c r="B64" s="349">
        <v>-3.4307778488283001</v>
      </c>
      <c r="C64" s="299"/>
      <c r="D64" s="288">
        <v>0.17</v>
      </c>
      <c r="E64" s="289">
        <v>3</v>
      </c>
      <c r="F64" s="289">
        <v>189</v>
      </c>
      <c r="G64" s="290">
        <v>1.34</v>
      </c>
      <c r="H64" s="291">
        <f t="shared" si="0"/>
        <v>-2.4800000000000004</v>
      </c>
      <c r="I64" s="313"/>
      <c r="J64" s="314"/>
      <c r="K64" s="314"/>
      <c r="L64" s="316"/>
      <c r="M64" s="294" t="s">
        <v>148</v>
      </c>
    </row>
    <row r="65" spans="1:13">
      <c r="A65" s="295" t="s">
        <v>149</v>
      </c>
      <c r="B65" s="349">
        <v>-2.9355882384405199</v>
      </c>
      <c r="C65" s="299"/>
      <c r="D65" s="288">
        <v>0.19794493160510701</v>
      </c>
      <c r="E65" s="289">
        <v>4</v>
      </c>
      <c r="F65" s="289">
        <v>243.5</v>
      </c>
      <c r="G65" s="290">
        <v>1.34</v>
      </c>
      <c r="H65" s="291">
        <f t="shared" si="0"/>
        <v>-3.0250000000000004</v>
      </c>
      <c r="I65" s="313"/>
      <c r="J65" s="314"/>
      <c r="K65" s="314"/>
      <c r="L65" s="316"/>
      <c r="M65" s="294" t="s">
        <v>151</v>
      </c>
    </row>
    <row r="66" spans="1:13">
      <c r="A66" s="285" t="s">
        <v>95</v>
      </c>
      <c r="B66" s="349">
        <v>-1.9835193457773701</v>
      </c>
      <c r="C66" s="299"/>
      <c r="D66" s="288">
        <v>0.210560990742934</v>
      </c>
      <c r="E66" s="289">
        <v>3</v>
      </c>
      <c r="F66" s="289">
        <v>36.5</v>
      </c>
      <c r="G66" s="290">
        <v>2.74</v>
      </c>
      <c r="H66" s="291">
        <f t="shared" si="0"/>
        <v>-2.3550000000000004</v>
      </c>
      <c r="I66" s="313"/>
      <c r="J66" s="314"/>
      <c r="K66" s="314"/>
      <c r="L66" s="316"/>
      <c r="M66" s="294" t="s">
        <v>152</v>
      </c>
    </row>
    <row r="67" spans="1:13">
      <c r="A67" s="305" t="s">
        <v>153</v>
      </c>
      <c r="B67" s="349">
        <v>-4.1857083293796302</v>
      </c>
      <c r="C67" s="299"/>
      <c r="D67" s="288">
        <v>0.21092434073951899</v>
      </c>
      <c r="E67" s="289">
        <v>10</v>
      </c>
      <c r="F67" s="289">
        <v>186</v>
      </c>
      <c r="G67" s="290">
        <v>3.4</v>
      </c>
      <c r="H67" s="291">
        <f t="shared" si="0"/>
        <v>-4.51</v>
      </c>
      <c r="I67" s="313"/>
      <c r="J67" s="314"/>
      <c r="K67" s="314"/>
      <c r="L67" s="316"/>
      <c r="M67" s="294" t="s">
        <v>154</v>
      </c>
    </row>
    <row r="68" spans="1:13">
      <c r="A68" s="285" t="s">
        <v>98</v>
      </c>
      <c r="B68" s="349">
        <v>-3.2940082034671798</v>
      </c>
      <c r="C68" s="299"/>
      <c r="D68" s="288">
        <v>0.18695478693957199</v>
      </c>
      <c r="E68" s="289">
        <v>3</v>
      </c>
      <c r="F68" s="289">
        <v>253</v>
      </c>
      <c r="G68" s="290">
        <v>2.35</v>
      </c>
      <c r="H68" s="291">
        <f t="shared" si="0"/>
        <v>-4.1300000000000008</v>
      </c>
      <c r="I68" s="313"/>
      <c r="J68" s="314"/>
      <c r="K68" s="314"/>
      <c r="L68" s="316"/>
      <c r="M68" s="294" t="s">
        <v>155</v>
      </c>
    </row>
    <row r="69" spans="1:13">
      <c r="A69" s="305" t="s">
        <v>156</v>
      </c>
      <c r="B69" s="349">
        <v>-3.95357943367345</v>
      </c>
      <c r="C69" s="299"/>
      <c r="D69" s="288">
        <v>0.20491085989689101</v>
      </c>
      <c r="E69" s="289">
        <v>23</v>
      </c>
      <c r="F69" s="289">
        <v>111</v>
      </c>
      <c r="G69" s="290">
        <v>3.68</v>
      </c>
      <c r="H69" s="291">
        <f t="shared" si="0"/>
        <v>-4.04</v>
      </c>
      <c r="I69" s="313"/>
      <c r="J69" s="314"/>
      <c r="K69" s="314"/>
      <c r="L69" s="316"/>
      <c r="M69" s="294" t="s">
        <v>157</v>
      </c>
    </row>
    <row r="70" spans="1:13">
      <c r="A70" s="285" t="s">
        <v>158</v>
      </c>
      <c r="B70" s="349">
        <v>-3.5723718837841498</v>
      </c>
      <c r="C70" s="299"/>
      <c r="D70" s="288">
        <v>0.15545016183846899</v>
      </c>
      <c r="E70" s="289">
        <v>6</v>
      </c>
      <c r="F70" s="289">
        <v>250</v>
      </c>
      <c r="G70" s="290">
        <v>-0.04</v>
      </c>
      <c r="H70" s="291">
        <f t="shared" si="0"/>
        <v>-1.71</v>
      </c>
      <c r="I70" s="313"/>
      <c r="J70" s="314"/>
      <c r="K70" s="314"/>
      <c r="L70" s="316"/>
      <c r="M70" s="294" t="s">
        <v>159</v>
      </c>
    </row>
    <row r="71" spans="1:13">
      <c r="A71" s="295" t="s">
        <v>160</v>
      </c>
      <c r="B71" s="349">
        <v>-1.8222929702772901</v>
      </c>
      <c r="C71" s="299"/>
      <c r="D71" s="288">
        <v>0.13261436390895101</v>
      </c>
      <c r="E71" s="289">
        <v>3</v>
      </c>
      <c r="F71" s="289">
        <v>250</v>
      </c>
      <c r="G71" s="290">
        <v>-1.97</v>
      </c>
      <c r="H71" s="291">
        <f t="shared" si="0"/>
        <v>0.21999999999999975</v>
      </c>
      <c r="I71" s="313"/>
      <c r="J71" s="314"/>
      <c r="K71" s="314"/>
      <c r="L71" s="316"/>
      <c r="M71" s="294" t="s">
        <v>161</v>
      </c>
    </row>
    <row r="72" spans="1:13">
      <c r="A72" s="295" t="s">
        <v>162</v>
      </c>
      <c r="B72" s="349">
        <v>-3.6955750411908701</v>
      </c>
      <c r="C72" s="299"/>
      <c r="D72" s="288">
        <v>0.21159815676624999</v>
      </c>
      <c r="E72" s="289">
        <v>9</v>
      </c>
      <c r="F72" s="289">
        <v>208.5</v>
      </c>
      <c r="G72" s="290">
        <v>2.08</v>
      </c>
      <c r="H72" s="291">
        <f t="shared" si="0"/>
        <v>-3.415</v>
      </c>
      <c r="I72" s="313"/>
      <c r="J72" s="314"/>
      <c r="K72" s="314"/>
      <c r="L72" s="316"/>
      <c r="M72" s="294" t="s">
        <v>163</v>
      </c>
    </row>
    <row r="73" spans="1:13">
      <c r="A73" s="295" t="s">
        <v>164</v>
      </c>
      <c r="B73" s="349">
        <v>-3.4858245787033999</v>
      </c>
      <c r="C73" s="299"/>
      <c r="D73" s="288">
        <v>0.19001512437058701</v>
      </c>
      <c r="E73" s="289">
        <v>15</v>
      </c>
      <c r="F73" s="289">
        <v>220</v>
      </c>
      <c r="G73" s="290">
        <v>2.69</v>
      </c>
      <c r="H73" s="291">
        <f t="shared" si="0"/>
        <v>-4.1399999999999997</v>
      </c>
      <c r="I73" s="313"/>
      <c r="J73" s="314"/>
      <c r="K73" s="314"/>
      <c r="L73" s="316"/>
      <c r="M73" s="294" t="s">
        <v>165</v>
      </c>
    </row>
    <row r="74" spans="1:13">
      <c r="A74" s="295" t="s">
        <v>166</v>
      </c>
      <c r="B74" s="349">
        <v>-4.5181815714228799</v>
      </c>
      <c r="C74" s="299"/>
      <c r="D74" s="288">
        <v>0.169781830230266</v>
      </c>
      <c r="E74" s="289">
        <v>10</v>
      </c>
      <c r="F74" s="289">
        <v>151</v>
      </c>
      <c r="G74" s="290">
        <v>4.43</v>
      </c>
      <c r="H74" s="291">
        <f t="shared" si="0"/>
        <v>-5.1899999999999995</v>
      </c>
      <c r="I74" s="313"/>
      <c r="J74" s="314"/>
      <c r="K74" s="314"/>
      <c r="L74" s="316"/>
      <c r="M74" s="294" t="s">
        <v>167</v>
      </c>
    </row>
    <row r="75" spans="1:13">
      <c r="A75" s="305" t="s">
        <v>100</v>
      </c>
      <c r="B75" s="349">
        <v>-5.2080824677946902</v>
      </c>
      <c r="C75" s="299"/>
      <c r="D75" s="288">
        <v>0.19416214604145601</v>
      </c>
      <c r="E75" s="289">
        <v>7</v>
      </c>
      <c r="F75" s="289">
        <v>154.5</v>
      </c>
      <c r="G75" s="290">
        <v>4.22</v>
      </c>
      <c r="H75" s="291">
        <f t="shared" si="0"/>
        <v>-5.0149999999999997</v>
      </c>
      <c r="I75" s="313"/>
      <c r="J75" s="314"/>
      <c r="K75" s="314"/>
      <c r="L75" s="316"/>
      <c r="M75" s="294" t="s">
        <v>168</v>
      </c>
    </row>
    <row r="76" spans="1:13">
      <c r="A76" s="295" t="s">
        <v>169</v>
      </c>
      <c r="B76" s="349">
        <v>-4.6471575126585796</v>
      </c>
      <c r="C76" s="299"/>
      <c r="D76" s="288">
        <v>0.16048013551961601</v>
      </c>
      <c r="E76" s="289">
        <v>5</v>
      </c>
      <c r="F76" s="289">
        <v>167.75</v>
      </c>
      <c r="G76" s="290">
        <v>2.87</v>
      </c>
      <c r="H76" s="291">
        <f t="shared" si="0"/>
        <v>-3.7975000000000003</v>
      </c>
      <c r="I76" s="313"/>
      <c r="J76" s="314"/>
      <c r="K76" s="314"/>
      <c r="L76" s="316"/>
      <c r="M76" s="294" t="s">
        <v>170</v>
      </c>
    </row>
    <row r="77" spans="1:13">
      <c r="A77" s="295" t="s">
        <v>171</v>
      </c>
      <c r="B77" s="349">
        <v>-4.5481750660473699</v>
      </c>
      <c r="C77" s="299"/>
      <c r="D77" s="288">
        <v>0.22239504833634899</v>
      </c>
      <c r="E77" s="289">
        <v>21</v>
      </c>
      <c r="F77" s="289">
        <v>159</v>
      </c>
      <c r="G77" s="290">
        <v>3.93</v>
      </c>
      <c r="H77" s="291">
        <f t="shared" si="0"/>
        <v>-4.7700000000000005</v>
      </c>
      <c r="I77" s="313"/>
      <c r="J77" s="314"/>
      <c r="K77" s="314"/>
      <c r="L77" s="316"/>
      <c r="M77" s="294" t="s">
        <v>172</v>
      </c>
    </row>
    <row r="78" spans="1:13">
      <c r="A78" s="295" t="s">
        <v>173</v>
      </c>
      <c r="B78" s="349">
        <v>-3.7042577743094598</v>
      </c>
      <c r="C78" s="299"/>
      <c r="D78" s="288">
        <v>0.21209434799218399</v>
      </c>
      <c r="E78" s="289">
        <v>5</v>
      </c>
      <c r="F78" s="289">
        <v>213.5</v>
      </c>
      <c r="G78" s="290">
        <v>3.04</v>
      </c>
      <c r="H78" s="291">
        <f t="shared" si="0"/>
        <v>-4.4249999999999998</v>
      </c>
      <c r="I78" s="313"/>
      <c r="J78" s="314"/>
      <c r="K78" s="314"/>
      <c r="L78" s="316"/>
      <c r="M78" s="294" t="s">
        <v>174</v>
      </c>
    </row>
    <row r="79" spans="1:13">
      <c r="A79" s="295" t="s">
        <v>175</v>
      </c>
      <c r="B79" s="349">
        <v>-5.2908439130920302</v>
      </c>
      <c r="C79" s="299"/>
      <c r="D79" s="288">
        <v>0.14072241564069299</v>
      </c>
      <c r="E79" s="289">
        <v>11</v>
      </c>
      <c r="F79" s="289">
        <v>146</v>
      </c>
      <c r="G79" s="290">
        <v>4.21</v>
      </c>
      <c r="H79" s="291">
        <f t="shared" si="0"/>
        <v>-4.92</v>
      </c>
      <c r="I79" s="313"/>
      <c r="J79" s="314"/>
      <c r="K79" s="314"/>
      <c r="L79" s="316"/>
      <c r="M79" s="294" t="s">
        <v>176</v>
      </c>
    </row>
    <row r="80" spans="1:13">
      <c r="A80" s="295" t="s">
        <v>177</v>
      </c>
      <c r="B80" s="349">
        <v>-4.2126688160596997</v>
      </c>
      <c r="C80" s="299"/>
      <c r="D80" s="288">
        <v>0.21748916450754399</v>
      </c>
      <c r="E80" s="289">
        <v>5</v>
      </c>
      <c r="F80" s="289">
        <v>92.3333333333333</v>
      </c>
      <c r="G80" s="290">
        <v>4.21</v>
      </c>
      <c r="H80" s="291">
        <f t="shared" si="0"/>
        <v>-4.3833333333333329</v>
      </c>
      <c r="I80" s="313"/>
      <c r="J80" s="314"/>
      <c r="K80" s="314"/>
      <c r="L80" s="316"/>
      <c r="M80" s="294" t="s">
        <v>178</v>
      </c>
    </row>
    <row r="81" spans="1:13">
      <c r="A81" s="285" t="s">
        <v>179</v>
      </c>
      <c r="B81" s="349">
        <v>-4.1238453669994897</v>
      </c>
      <c r="C81" s="299"/>
      <c r="D81" s="288">
        <v>0.20531013145176399</v>
      </c>
      <c r="E81" s="289">
        <v>8</v>
      </c>
      <c r="F81" s="289">
        <v>256</v>
      </c>
      <c r="G81" s="290">
        <v>2.71</v>
      </c>
      <c r="H81" s="291">
        <f t="shared" si="0"/>
        <v>-4.5199999999999996</v>
      </c>
      <c r="I81" s="313"/>
      <c r="J81" s="314"/>
      <c r="K81" s="314"/>
      <c r="L81" s="316"/>
      <c r="M81" s="294" t="s">
        <v>180</v>
      </c>
    </row>
    <row r="82" spans="1:13">
      <c r="A82" s="285" t="s">
        <v>181</v>
      </c>
      <c r="B82" s="349">
        <v>-3.47582607000738</v>
      </c>
      <c r="C82" s="299"/>
      <c r="D82" s="288">
        <v>0.211767851422238</v>
      </c>
      <c r="E82" s="289">
        <v>3</v>
      </c>
      <c r="F82" s="289">
        <v>80</v>
      </c>
      <c r="G82" s="290">
        <v>3.37</v>
      </c>
      <c r="H82" s="291">
        <f t="shared" si="0"/>
        <v>-3.42</v>
      </c>
      <c r="I82" s="313"/>
      <c r="J82" s="314"/>
      <c r="K82" s="314"/>
      <c r="L82" s="316"/>
      <c r="M82" s="294" t="s">
        <v>182</v>
      </c>
    </row>
    <row r="83" spans="1:13">
      <c r="A83" s="285" t="s">
        <v>183</v>
      </c>
      <c r="B83" s="349">
        <v>-3.4842756224203901</v>
      </c>
      <c r="C83" s="299"/>
      <c r="D83" s="288">
        <v>0.16217657762412199</v>
      </c>
      <c r="E83" s="289">
        <v>17</v>
      </c>
      <c r="F83" s="289">
        <v>153</v>
      </c>
      <c r="G83" s="290">
        <v>3.04</v>
      </c>
      <c r="H83" s="291">
        <f t="shared" si="0"/>
        <v>-3.8200000000000003</v>
      </c>
      <c r="I83" s="313"/>
      <c r="J83" s="314"/>
      <c r="K83" s="314"/>
      <c r="L83" s="316"/>
      <c r="M83" s="294" t="s">
        <v>184</v>
      </c>
    </row>
    <row r="84" spans="1:13">
      <c r="A84" s="295" t="s">
        <v>185</v>
      </c>
      <c r="B84" s="349">
        <v>-5.6986786826448697</v>
      </c>
      <c r="C84" s="299"/>
      <c r="D84" s="288">
        <v>0.204488274966239</v>
      </c>
      <c r="E84" s="289">
        <v>3</v>
      </c>
      <c r="F84" s="289">
        <v>349.84</v>
      </c>
      <c r="G84" s="290">
        <v>4.75</v>
      </c>
      <c r="H84" s="291">
        <f t="shared" si="0"/>
        <v>-7.4984000000000002</v>
      </c>
      <c r="I84" s="313"/>
      <c r="J84" s="314"/>
      <c r="K84" s="314"/>
      <c r="L84" s="316"/>
      <c r="M84" s="294" t="s">
        <v>186</v>
      </c>
    </row>
    <row r="85" spans="1:13">
      <c r="A85" s="295" t="s">
        <v>187</v>
      </c>
      <c r="B85" s="349">
        <v>-3.8095210541790601</v>
      </c>
      <c r="C85" s="299"/>
      <c r="D85" s="288">
        <v>0.14358294446577699</v>
      </c>
      <c r="E85" s="289">
        <v>6</v>
      </c>
      <c r="F85" s="289">
        <v>248</v>
      </c>
      <c r="G85" s="290">
        <v>2.65</v>
      </c>
      <c r="H85" s="291">
        <f t="shared" si="0"/>
        <v>-4.38</v>
      </c>
      <c r="I85" s="313"/>
      <c r="J85" s="314"/>
      <c r="K85" s="314"/>
      <c r="L85" s="316"/>
      <c r="M85" s="294" t="s">
        <v>188</v>
      </c>
    </row>
    <row r="86" spans="1:13">
      <c r="A86" s="295" t="s">
        <v>189</v>
      </c>
      <c r="B86" s="349">
        <v>-3.2424267989925002</v>
      </c>
      <c r="C86" s="299"/>
      <c r="D86" s="288">
        <v>0.153840969889913</v>
      </c>
      <c r="E86" s="289">
        <v>11</v>
      </c>
      <c r="F86" s="289">
        <v>173</v>
      </c>
      <c r="G86" s="290">
        <v>2.1800000000000002</v>
      </c>
      <c r="H86" s="291">
        <f t="shared" si="0"/>
        <v>-3.16</v>
      </c>
      <c r="I86" s="313"/>
      <c r="J86" s="314"/>
      <c r="K86" s="314"/>
      <c r="L86" s="316"/>
      <c r="M86" s="294" t="s">
        <v>190</v>
      </c>
    </row>
    <row r="87" spans="1:13">
      <c r="A87" s="295" t="s">
        <v>191</v>
      </c>
      <c r="B87" s="349">
        <v>-3.7891145071060102</v>
      </c>
      <c r="C87" s="299"/>
      <c r="D87" s="288">
        <v>0.14176528631434901</v>
      </c>
      <c r="E87" s="289">
        <v>5</v>
      </c>
      <c r="F87" s="289">
        <v>143.75</v>
      </c>
      <c r="G87" s="290">
        <v>2.76</v>
      </c>
      <c r="H87" s="291">
        <f t="shared" ref="H87:H122" si="1">0.5-G87-0.01*(F87-25)</f>
        <v>-3.4474999999999998</v>
      </c>
      <c r="I87" s="313"/>
      <c r="J87" s="314"/>
      <c r="K87" s="314"/>
      <c r="L87" s="316"/>
      <c r="M87" s="294" t="s">
        <v>192</v>
      </c>
    </row>
    <row r="88" spans="1:13">
      <c r="A88" s="295" t="s">
        <v>193</v>
      </c>
      <c r="B88" s="349">
        <v>-2.4164375137250298</v>
      </c>
      <c r="C88" s="299"/>
      <c r="D88" s="288">
        <v>0.16213928191469301</v>
      </c>
      <c r="E88" s="289">
        <v>19</v>
      </c>
      <c r="F88" s="289">
        <v>220.5</v>
      </c>
      <c r="G88" s="290">
        <v>1.27</v>
      </c>
      <c r="H88" s="291">
        <f t="shared" si="1"/>
        <v>-2.7250000000000001</v>
      </c>
      <c r="I88" s="313"/>
      <c r="J88" s="314"/>
      <c r="K88" s="314"/>
      <c r="L88" s="316"/>
      <c r="M88" s="294" t="s">
        <v>194</v>
      </c>
    </row>
    <row r="89" spans="1:13">
      <c r="A89" s="295" t="s">
        <v>195</v>
      </c>
      <c r="B89" s="349">
        <v>-4.2401376497738701</v>
      </c>
      <c r="C89" s="299"/>
      <c r="D89" s="288">
        <v>0.16127920198135701</v>
      </c>
      <c r="E89" s="289">
        <v>5</v>
      </c>
      <c r="F89" s="289">
        <v>214</v>
      </c>
      <c r="G89" s="290">
        <v>3.83</v>
      </c>
      <c r="H89" s="291">
        <f t="shared" si="1"/>
        <v>-5.2200000000000006</v>
      </c>
      <c r="I89" s="313"/>
      <c r="J89" s="314"/>
      <c r="K89" s="314"/>
      <c r="L89" s="316"/>
      <c r="M89" s="294" t="s">
        <v>196</v>
      </c>
    </row>
    <row r="90" spans="1:13">
      <c r="A90" s="305" t="s">
        <v>197</v>
      </c>
      <c r="B90" s="349">
        <v>-3.7918247983979398</v>
      </c>
      <c r="C90" s="299"/>
      <c r="D90" s="288">
        <v>0.13869006117838001</v>
      </c>
      <c r="E90" s="289">
        <v>3</v>
      </c>
      <c r="F90" s="289">
        <v>176</v>
      </c>
      <c r="G90" s="290">
        <v>2.88</v>
      </c>
      <c r="H90" s="291">
        <f t="shared" si="1"/>
        <v>-3.8899999999999997</v>
      </c>
      <c r="I90" s="313"/>
      <c r="J90" s="314"/>
      <c r="K90" s="314"/>
      <c r="L90" s="316"/>
      <c r="M90" s="294" t="s">
        <v>198</v>
      </c>
    </row>
    <row r="91" spans="1:13">
      <c r="A91" s="285" t="s">
        <v>199</v>
      </c>
      <c r="B91" s="349">
        <v>-2.90406333526529</v>
      </c>
      <c r="C91" s="299"/>
      <c r="D91" s="288">
        <v>0.12598340861886001</v>
      </c>
      <c r="E91" s="289">
        <v>14</v>
      </c>
      <c r="F91" s="289">
        <v>253.5</v>
      </c>
      <c r="G91" s="290">
        <v>1.54</v>
      </c>
      <c r="H91" s="291">
        <f t="shared" si="1"/>
        <v>-3.3250000000000002</v>
      </c>
      <c r="I91" s="313"/>
      <c r="J91" s="314"/>
      <c r="K91" s="314"/>
      <c r="L91" s="316"/>
      <c r="M91" s="294" t="s">
        <v>200</v>
      </c>
    </row>
    <row r="92" spans="1:13">
      <c r="A92" s="295" t="s">
        <v>201</v>
      </c>
      <c r="B92" s="349">
        <v>-3.8131036405830101</v>
      </c>
      <c r="C92" s="299"/>
      <c r="D92" s="288">
        <v>0.16504944177542499</v>
      </c>
      <c r="E92" s="289">
        <v>5</v>
      </c>
      <c r="F92" s="289">
        <v>205.5</v>
      </c>
      <c r="G92" s="290">
        <v>2.4500000000000002</v>
      </c>
      <c r="H92" s="291">
        <f t="shared" si="1"/>
        <v>-3.7549999999999999</v>
      </c>
      <c r="I92" s="313"/>
      <c r="J92" s="314"/>
      <c r="K92" s="314"/>
      <c r="L92" s="316"/>
      <c r="M92" s="294" t="s">
        <v>202</v>
      </c>
    </row>
    <row r="93" spans="1:13">
      <c r="A93" s="305" t="s">
        <v>203</v>
      </c>
      <c r="B93" s="349">
        <v>-3.7966701303720498</v>
      </c>
      <c r="C93" s="299"/>
      <c r="D93" s="288">
        <v>0.19426266518058299</v>
      </c>
      <c r="E93" s="289">
        <v>3</v>
      </c>
      <c r="F93" s="289">
        <v>96</v>
      </c>
      <c r="G93" s="290">
        <v>3.49</v>
      </c>
      <c r="H93" s="291">
        <f t="shared" si="1"/>
        <v>-3.7</v>
      </c>
      <c r="I93" s="313"/>
      <c r="J93" s="314"/>
      <c r="K93" s="314"/>
      <c r="L93" s="316"/>
      <c r="M93" s="294" t="s">
        <v>204</v>
      </c>
    </row>
    <row r="94" spans="1:13">
      <c r="A94" s="295" t="s">
        <v>205</v>
      </c>
      <c r="B94" s="349">
        <v>-4.1504024618810096</v>
      </c>
      <c r="C94" s="299"/>
      <c r="D94" s="288">
        <v>0.188943371497371</v>
      </c>
      <c r="E94" s="289">
        <v>12</v>
      </c>
      <c r="F94" s="289">
        <v>147.25</v>
      </c>
      <c r="G94" s="290">
        <v>3.86</v>
      </c>
      <c r="H94" s="291">
        <f t="shared" si="1"/>
        <v>-4.5824999999999996</v>
      </c>
      <c r="I94" s="313"/>
      <c r="J94" s="314"/>
      <c r="K94" s="314"/>
      <c r="L94" s="316"/>
      <c r="M94" s="294" t="s">
        <v>206</v>
      </c>
    </row>
    <row r="95" spans="1:13">
      <c r="A95" s="295" t="s">
        <v>207</v>
      </c>
      <c r="B95" s="349">
        <v>-4.2760768114085597</v>
      </c>
      <c r="C95" s="299"/>
      <c r="D95" s="288">
        <v>0.17391407185160301</v>
      </c>
      <c r="E95" s="289">
        <v>6</v>
      </c>
      <c r="F95" s="289">
        <v>97</v>
      </c>
      <c r="G95" s="290">
        <v>3.94</v>
      </c>
      <c r="H95" s="291">
        <f t="shared" si="1"/>
        <v>-4.16</v>
      </c>
      <c r="I95" s="313"/>
      <c r="J95" s="314"/>
      <c r="K95" s="314"/>
      <c r="L95" s="316"/>
      <c r="M95" s="294" t="s">
        <v>208</v>
      </c>
    </row>
    <row r="96" spans="1:13">
      <c r="A96" s="285" t="s">
        <v>209</v>
      </c>
      <c r="B96" s="349">
        <v>-1.8414461225090899</v>
      </c>
      <c r="C96" s="299"/>
      <c r="D96" s="288">
        <v>0.13764369691033701</v>
      </c>
      <c r="E96" s="289">
        <v>10</v>
      </c>
      <c r="F96" s="289">
        <v>134.5</v>
      </c>
      <c r="G96" s="290">
        <v>2.04</v>
      </c>
      <c r="H96" s="291">
        <f t="shared" si="1"/>
        <v>-2.6349999999999998</v>
      </c>
      <c r="I96" s="313"/>
      <c r="J96" s="314"/>
      <c r="K96" s="314"/>
      <c r="L96" s="316"/>
      <c r="M96" s="294" t="s">
        <v>210</v>
      </c>
    </row>
    <row r="97" spans="1:13">
      <c r="A97" s="295" t="s">
        <v>211</v>
      </c>
      <c r="B97" s="349">
        <v>-3.5682474024162398</v>
      </c>
      <c r="C97" s="299"/>
      <c r="D97" s="288">
        <v>0.162457468885915</v>
      </c>
      <c r="E97" s="289">
        <v>7</v>
      </c>
      <c r="F97" s="289">
        <v>139</v>
      </c>
      <c r="G97" s="290">
        <v>2.66</v>
      </c>
      <c r="H97" s="291">
        <f t="shared" si="1"/>
        <v>-3.3000000000000003</v>
      </c>
      <c r="I97" s="313"/>
      <c r="J97" s="314"/>
      <c r="K97" s="314"/>
      <c r="L97" s="316"/>
      <c r="M97" s="294" t="s">
        <v>212</v>
      </c>
    </row>
    <row r="98" spans="1:13">
      <c r="A98" s="295" t="s">
        <v>213</v>
      </c>
      <c r="B98" s="349">
        <v>-2.7972273400369398</v>
      </c>
      <c r="C98" s="299"/>
      <c r="D98" s="288">
        <v>0.15322122505052199</v>
      </c>
      <c r="E98" s="289">
        <v>9</v>
      </c>
      <c r="F98" s="289">
        <v>170</v>
      </c>
      <c r="G98" s="290">
        <v>1.91</v>
      </c>
      <c r="H98" s="291">
        <f t="shared" si="1"/>
        <v>-2.86</v>
      </c>
      <c r="I98" s="313"/>
      <c r="J98" s="314"/>
      <c r="K98" s="314"/>
      <c r="L98" s="316"/>
      <c r="M98" s="294" t="s">
        <v>214</v>
      </c>
    </row>
    <row r="99" spans="1:13">
      <c r="A99" s="285" t="s">
        <v>215</v>
      </c>
      <c r="B99" s="349">
        <v>-2.96833681724166</v>
      </c>
      <c r="C99" s="299"/>
      <c r="D99" s="288">
        <v>0.15273607916541099</v>
      </c>
      <c r="E99" s="289">
        <v>10</v>
      </c>
      <c r="F99" s="289">
        <v>326</v>
      </c>
      <c r="G99" s="290">
        <v>2.44</v>
      </c>
      <c r="H99" s="291">
        <f t="shared" si="1"/>
        <v>-4.95</v>
      </c>
      <c r="I99" s="313"/>
      <c r="J99" s="314"/>
      <c r="K99" s="314"/>
      <c r="L99" s="316"/>
      <c r="M99" s="294" t="s">
        <v>216</v>
      </c>
    </row>
    <row r="100" spans="1:13">
      <c r="A100" s="295" t="s">
        <v>217</v>
      </c>
      <c r="B100" s="349">
        <v>-3.5653156294547301</v>
      </c>
      <c r="C100" s="299"/>
      <c r="D100" s="288">
        <v>0.184047015121025</v>
      </c>
      <c r="E100" s="289">
        <v>5</v>
      </c>
      <c r="F100" s="289">
        <v>232.5</v>
      </c>
      <c r="G100" s="290">
        <v>1.8</v>
      </c>
      <c r="H100" s="291">
        <f t="shared" si="1"/>
        <v>-3.375</v>
      </c>
      <c r="I100" s="313"/>
      <c r="J100" s="314"/>
      <c r="K100" s="314"/>
      <c r="L100" s="316"/>
      <c r="M100" s="294" t="s">
        <v>218</v>
      </c>
    </row>
    <row r="101" spans="1:13">
      <c r="A101" s="295" t="s">
        <v>219</v>
      </c>
      <c r="B101" s="349">
        <v>-2.0741258453549301</v>
      </c>
      <c r="C101" s="299"/>
      <c r="D101" s="288">
        <v>0.13604063752604401</v>
      </c>
      <c r="E101" s="289">
        <v>4</v>
      </c>
      <c r="F101" s="289">
        <v>281.5</v>
      </c>
      <c r="G101" s="290">
        <v>0.54</v>
      </c>
      <c r="H101" s="291">
        <f t="shared" si="1"/>
        <v>-2.605</v>
      </c>
      <c r="I101" s="313"/>
      <c r="J101" s="314"/>
      <c r="K101" s="314"/>
      <c r="L101" s="316"/>
      <c r="M101" s="294" t="s">
        <v>220</v>
      </c>
    </row>
    <row r="102" spans="1:13">
      <c r="A102" s="295" t="s">
        <v>221</v>
      </c>
      <c r="B102" s="349">
        <v>-3.6381888157903202</v>
      </c>
      <c r="C102" s="299"/>
      <c r="D102" s="288">
        <v>0.19798964803022501</v>
      </c>
      <c r="E102" s="289">
        <v>4</v>
      </c>
      <c r="F102" s="289">
        <v>197.1</v>
      </c>
      <c r="G102" s="290">
        <v>2.2000000000000002</v>
      </c>
      <c r="H102" s="291">
        <f t="shared" si="1"/>
        <v>-3.4210000000000003</v>
      </c>
      <c r="I102" s="313"/>
      <c r="J102" s="314"/>
      <c r="K102" s="314"/>
      <c r="L102" s="316"/>
      <c r="M102" s="294" t="s">
        <v>222</v>
      </c>
    </row>
    <row r="103" spans="1:13">
      <c r="A103" s="305" t="s">
        <v>223</v>
      </c>
      <c r="B103" s="349">
        <v>-3.9960997325019298</v>
      </c>
      <c r="C103" s="299"/>
      <c r="D103" s="288">
        <v>0.13486720020739101</v>
      </c>
      <c r="E103" s="289">
        <v>4</v>
      </c>
      <c r="F103" s="289">
        <v>33</v>
      </c>
      <c r="G103" s="290">
        <v>4.24</v>
      </c>
      <c r="H103" s="291">
        <f t="shared" si="1"/>
        <v>-3.8200000000000003</v>
      </c>
      <c r="I103" s="313"/>
      <c r="J103" s="314"/>
      <c r="K103" s="314"/>
      <c r="L103" s="316"/>
      <c r="M103" s="294" t="s">
        <v>224</v>
      </c>
    </row>
    <row r="104" spans="1:13">
      <c r="A104" s="295" t="s">
        <v>225</v>
      </c>
      <c r="B104" s="349">
        <v>-4.2446047131864697</v>
      </c>
      <c r="C104" s="299"/>
      <c r="D104" s="288">
        <v>0.188012747606043</v>
      </c>
      <c r="E104" s="289">
        <v>11</v>
      </c>
      <c r="F104" s="289">
        <v>60</v>
      </c>
      <c r="G104" s="290">
        <v>4.24</v>
      </c>
      <c r="H104" s="291">
        <f t="shared" si="1"/>
        <v>-4.09</v>
      </c>
      <c r="I104" s="313"/>
      <c r="J104" s="314"/>
      <c r="K104" s="314"/>
      <c r="L104" s="316"/>
      <c r="M104" s="294" t="s">
        <v>226</v>
      </c>
    </row>
    <row r="105" spans="1:13">
      <c r="A105" s="295" t="s">
        <v>227</v>
      </c>
      <c r="B105" s="349">
        <v>-4.4484153335933403</v>
      </c>
      <c r="C105" s="299"/>
      <c r="D105" s="288">
        <v>0.16640140742242099</v>
      </c>
      <c r="E105" s="289">
        <v>4</v>
      </c>
      <c r="F105" s="289">
        <v>130.5</v>
      </c>
      <c r="G105" s="290">
        <v>5.22</v>
      </c>
      <c r="H105" s="291">
        <f t="shared" si="1"/>
        <v>-5.7749999999999995</v>
      </c>
      <c r="I105" s="313"/>
      <c r="J105" s="314"/>
      <c r="K105" s="314"/>
      <c r="L105" s="316"/>
      <c r="M105" s="294" t="s">
        <v>228</v>
      </c>
    </row>
    <row r="106" spans="1:13">
      <c r="A106" s="305" t="s">
        <v>103</v>
      </c>
      <c r="B106" s="349">
        <v>-3.3823229616187298</v>
      </c>
      <c r="C106" s="299"/>
      <c r="D106" s="288">
        <v>0.17506472136099999</v>
      </c>
      <c r="E106" s="289">
        <v>7</v>
      </c>
      <c r="F106" s="289">
        <v>254</v>
      </c>
      <c r="G106" s="290">
        <v>2.97</v>
      </c>
      <c r="H106" s="291">
        <f t="shared" si="1"/>
        <v>-4.76</v>
      </c>
      <c r="I106" s="313"/>
      <c r="J106" s="314"/>
      <c r="K106" s="314"/>
      <c r="L106" s="316"/>
      <c r="M106" s="294" t="s">
        <v>229</v>
      </c>
    </row>
    <row r="107" spans="1:13">
      <c r="A107" s="305" t="s">
        <v>230</v>
      </c>
      <c r="B107" s="349">
        <v>-5.3119220579692401</v>
      </c>
      <c r="C107" s="299"/>
      <c r="D107" s="288">
        <v>0.160541646006926</v>
      </c>
      <c r="E107" s="289">
        <v>5</v>
      </c>
      <c r="F107" s="289">
        <v>121</v>
      </c>
      <c r="G107" s="290">
        <v>5.91</v>
      </c>
      <c r="H107" s="291">
        <f t="shared" si="1"/>
        <v>-6.37</v>
      </c>
      <c r="I107" s="313"/>
      <c r="J107" s="314"/>
      <c r="K107" s="314"/>
      <c r="L107" s="316"/>
      <c r="M107" s="294" t="s">
        <v>231</v>
      </c>
    </row>
    <row r="108" spans="1:13">
      <c r="A108" s="295" t="s">
        <v>232</v>
      </c>
      <c r="B108" s="349">
        <v>-4.0829136406634898</v>
      </c>
      <c r="C108" s="299"/>
      <c r="D108" s="288">
        <v>0.15756984748208799</v>
      </c>
      <c r="E108" s="289">
        <v>5</v>
      </c>
      <c r="F108" s="289">
        <v>207</v>
      </c>
      <c r="G108" s="290">
        <v>2.56</v>
      </c>
      <c r="H108" s="291">
        <f t="shared" si="1"/>
        <v>-3.88</v>
      </c>
      <c r="I108" s="313"/>
      <c r="J108" s="314"/>
      <c r="K108" s="314"/>
      <c r="L108" s="316"/>
      <c r="M108" s="294" t="s">
        <v>233</v>
      </c>
    </row>
    <row r="109" spans="1:13">
      <c r="A109" s="285" t="s">
        <v>234</v>
      </c>
      <c r="B109" s="349">
        <v>-5.0209698871450597</v>
      </c>
      <c r="C109" s="299"/>
      <c r="D109" s="288">
        <v>0.161603623531796</v>
      </c>
      <c r="E109" s="289">
        <v>6</v>
      </c>
      <c r="F109" s="289">
        <v>134.5</v>
      </c>
      <c r="G109" s="290">
        <v>4.8499999999999996</v>
      </c>
      <c r="H109" s="291">
        <f t="shared" si="1"/>
        <v>-5.4449999999999994</v>
      </c>
      <c r="I109" s="325"/>
      <c r="J109" s="319"/>
      <c r="K109" s="319"/>
      <c r="L109" s="320"/>
      <c r="M109" s="294" t="s">
        <v>235</v>
      </c>
    </row>
    <row r="110" spans="1:13">
      <c r="A110" s="285" t="s">
        <v>236</v>
      </c>
      <c r="B110" s="349">
        <v>-3.27761408250523</v>
      </c>
      <c r="C110" s="299"/>
      <c r="D110" s="288">
        <v>0.18685765827674</v>
      </c>
      <c r="E110" s="289">
        <v>6</v>
      </c>
      <c r="F110" s="289">
        <v>275</v>
      </c>
      <c r="G110" s="290">
        <v>2.09</v>
      </c>
      <c r="H110" s="291">
        <f t="shared" si="1"/>
        <v>-4.09</v>
      </c>
      <c r="M110" s="294" t="s">
        <v>237</v>
      </c>
    </row>
    <row r="111" spans="1:13">
      <c r="A111" s="295" t="s">
        <v>238</v>
      </c>
      <c r="B111" s="349">
        <v>-4.97321092346911</v>
      </c>
      <c r="C111" s="299"/>
      <c r="D111" s="288">
        <v>0.13950112944748699</v>
      </c>
      <c r="E111" s="289">
        <v>9</v>
      </c>
      <c r="F111" s="289">
        <v>220</v>
      </c>
      <c r="G111" s="290">
        <v>1.8</v>
      </c>
      <c r="H111" s="291">
        <f t="shared" si="1"/>
        <v>-3.25</v>
      </c>
      <c r="M111" s="294" t="s">
        <v>239</v>
      </c>
    </row>
    <row r="112" spans="1:13">
      <c r="A112" s="285" t="s">
        <v>240</v>
      </c>
      <c r="B112" s="349">
        <v>-3.1894993081086098</v>
      </c>
      <c r="C112" s="299"/>
      <c r="D112" s="288">
        <v>0.22014005046870999</v>
      </c>
      <c r="E112" s="289">
        <v>9</v>
      </c>
      <c r="F112" s="289">
        <v>202</v>
      </c>
      <c r="G112" s="290">
        <v>1.53</v>
      </c>
      <c r="H112" s="291">
        <f t="shared" si="1"/>
        <v>-2.8</v>
      </c>
      <c r="M112" s="294" t="s">
        <v>241</v>
      </c>
    </row>
    <row r="113" spans="1:28">
      <c r="A113" s="295" t="s">
        <v>242</v>
      </c>
      <c r="B113" s="349">
        <v>-3.0274844198718398</v>
      </c>
      <c r="C113" s="299"/>
      <c r="D113" s="288">
        <v>0.140140838794855</v>
      </c>
      <c r="E113" s="289">
        <v>3</v>
      </c>
      <c r="F113" s="289">
        <v>243</v>
      </c>
      <c r="G113" s="290">
        <v>1.48</v>
      </c>
      <c r="H113" s="291">
        <f t="shared" si="1"/>
        <v>-3.16</v>
      </c>
      <c r="M113" s="294" t="s">
        <v>243</v>
      </c>
    </row>
    <row r="114" spans="1:28">
      <c r="A114" s="305" t="s">
        <v>244</v>
      </c>
      <c r="B114" s="349">
        <v>-2.8670108332880901</v>
      </c>
      <c r="C114" s="299"/>
      <c r="D114" s="288">
        <v>0.13726989684758001</v>
      </c>
      <c r="E114" s="289">
        <v>3</v>
      </c>
      <c r="F114" s="289">
        <v>191</v>
      </c>
      <c r="G114" s="290">
        <v>1.67</v>
      </c>
      <c r="H114" s="291">
        <f t="shared" si="1"/>
        <v>-2.83</v>
      </c>
      <c r="M114" s="294" t="s">
        <v>245</v>
      </c>
    </row>
    <row r="115" spans="1:28">
      <c r="A115" s="295" t="s">
        <v>246</v>
      </c>
      <c r="B115" s="349">
        <v>-4.6039495484455699</v>
      </c>
      <c r="C115" s="299"/>
      <c r="D115" s="288">
        <v>0.21357402153711499</v>
      </c>
      <c r="E115" s="289">
        <v>7</v>
      </c>
      <c r="F115" s="289">
        <v>183.5</v>
      </c>
      <c r="G115" s="290">
        <v>4.37</v>
      </c>
      <c r="H115" s="291">
        <f t="shared" si="1"/>
        <v>-5.4550000000000001</v>
      </c>
      <c r="M115" s="294" t="s">
        <v>247</v>
      </c>
    </row>
    <row r="116" spans="1:28">
      <c r="A116" s="295" t="s">
        <v>248</v>
      </c>
      <c r="B116" s="349">
        <v>-3.2265725335491999</v>
      </c>
      <c r="C116" s="299"/>
      <c r="D116" s="288">
        <v>0.105644111777479</v>
      </c>
      <c r="E116" s="289">
        <v>3</v>
      </c>
      <c r="F116" s="289">
        <v>149</v>
      </c>
      <c r="G116" s="290">
        <v>2.62</v>
      </c>
      <c r="H116" s="291">
        <f t="shared" si="1"/>
        <v>-3.3600000000000003</v>
      </c>
      <c r="M116" s="294" t="s">
        <v>249</v>
      </c>
    </row>
    <row r="117" spans="1:28">
      <c r="A117" s="285" t="s">
        <v>250</v>
      </c>
      <c r="B117" s="349">
        <v>-2.8793566748291499</v>
      </c>
      <c r="C117" s="299"/>
      <c r="D117" s="288">
        <v>0.14623917640453399</v>
      </c>
      <c r="E117" s="289">
        <v>8</v>
      </c>
      <c r="F117" s="289">
        <v>165</v>
      </c>
      <c r="G117" s="290">
        <v>-0.37</v>
      </c>
      <c r="H117" s="291">
        <f t="shared" si="1"/>
        <v>-0.53000000000000014</v>
      </c>
      <c r="M117" s="294" t="s">
        <v>251</v>
      </c>
    </row>
    <row r="118" spans="1:28">
      <c r="A118" s="295" t="s">
        <v>252</v>
      </c>
      <c r="B118" s="349">
        <v>-2.2417956894105102</v>
      </c>
      <c r="C118" s="299"/>
      <c r="D118" s="288">
        <v>0.16291639539032499</v>
      </c>
      <c r="E118" s="289">
        <v>10</v>
      </c>
      <c r="F118" s="289">
        <v>225</v>
      </c>
      <c r="G118" s="290">
        <v>0.81</v>
      </c>
      <c r="H118" s="291">
        <f t="shared" si="1"/>
        <v>-2.31</v>
      </c>
      <c r="M118" s="294" t="s">
        <v>253</v>
      </c>
    </row>
    <row r="119" spans="1:28">
      <c r="A119" s="295" t="s">
        <v>254</v>
      </c>
      <c r="B119" s="349">
        <v>-3.18946720869448</v>
      </c>
      <c r="C119" s="299"/>
      <c r="D119" s="288">
        <v>0.211666473574778</v>
      </c>
      <c r="E119" s="289">
        <v>5</v>
      </c>
      <c r="F119" s="289">
        <v>270</v>
      </c>
      <c r="G119" s="290">
        <v>0.62</v>
      </c>
      <c r="H119" s="291">
        <f t="shared" si="1"/>
        <v>-2.5700000000000003</v>
      </c>
      <c r="M119" s="294" t="s">
        <v>255</v>
      </c>
    </row>
    <row r="120" spans="1:28">
      <c r="A120" s="285" t="s">
        <v>256</v>
      </c>
      <c r="B120" s="349">
        <v>-3.4658463488310698</v>
      </c>
      <c r="C120" s="299"/>
      <c r="D120" s="288">
        <v>0.14175650298978701</v>
      </c>
      <c r="E120" s="289">
        <v>9</v>
      </c>
      <c r="F120" s="289">
        <v>312.66666666666703</v>
      </c>
      <c r="G120" s="290">
        <v>0.83</v>
      </c>
      <c r="H120" s="291">
        <f t="shared" si="1"/>
        <v>-3.2066666666666706</v>
      </c>
      <c r="M120" s="294" t="s">
        <v>257</v>
      </c>
    </row>
    <row r="121" spans="1:28">
      <c r="A121" s="295" t="s">
        <v>258</v>
      </c>
      <c r="B121" s="349">
        <v>-4.1828839200313199</v>
      </c>
      <c r="C121" s="299"/>
      <c r="D121" s="288">
        <v>0.20346886353462401</v>
      </c>
      <c r="E121" s="289">
        <v>11</v>
      </c>
      <c r="F121" s="289">
        <v>161</v>
      </c>
      <c r="G121" s="290">
        <v>3.61</v>
      </c>
      <c r="H121" s="291">
        <f t="shared" si="1"/>
        <v>-4.47</v>
      </c>
      <c r="M121" s="294" t="s">
        <v>259</v>
      </c>
    </row>
    <row r="122" spans="1:28">
      <c r="A122" s="285" t="s">
        <v>109</v>
      </c>
      <c r="B122" s="349">
        <v>-2.9509595101452399</v>
      </c>
      <c r="C122" s="299"/>
      <c r="D122" s="288">
        <v>0.20579636821699801</v>
      </c>
      <c r="E122" s="289">
        <v>3</v>
      </c>
      <c r="F122" s="289">
        <v>300</v>
      </c>
      <c r="G122" s="290">
        <v>-1.06</v>
      </c>
      <c r="H122" s="291">
        <f t="shared" si="1"/>
        <v>-1.19</v>
      </c>
      <c r="M122" s="294" t="s">
        <v>260</v>
      </c>
    </row>
    <row r="123" spans="1:28">
      <c r="A123" s="294"/>
      <c r="C123" s="326" t="s">
        <v>261</v>
      </c>
      <c r="D123" s="327">
        <f>AVERAGE(D23:D122)</f>
        <v>0.17115851538193169</v>
      </c>
      <c r="E123" s="328"/>
      <c r="F123" s="329"/>
      <c r="G123" s="329"/>
      <c r="H123" s="330" t="s">
        <v>262</v>
      </c>
      <c r="I123" s="329"/>
      <c r="J123" s="290"/>
      <c r="K123" s="290"/>
      <c r="L123" s="290"/>
      <c r="M123" s="294"/>
    </row>
    <row r="124" spans="1:28">
      <c r="A124" s="294"/>
      <c r="C124" s="326" t="s">
        <v>263</v>
      </c>
      <c r="D124" s="327">
        <f>MIN(D23:D122)</f>
        <v>0.105644111777479</v>
      </c>
      <c r="E124" s="328"/>
      <c r="F124" s="329"/>
      <c r="G124" s="329"/>
      <c r="H124" s="330" t="s">
        <v>264</v>
      </c>
      <c r="I124" s="329"/>
      <c r="J124" s="290"/>
      <c r="K124" s="290"/>
      <c r="L124" s="290"/>
      <c r="M124" s="294"/>
    </row>
    <row r="125" spans="1:28">
      <c r="A125" s="294"/>
      <c r="C125" s="326" t="s">
        <v>265</v>
      </c>
      <c r="D125" s="327">
        <f>MAX(D23:D122)</f>
        <v>0.22239504833634899</v>
      </c>
      <c r="E125" s="328"/>
      <c r="F125" s="329"/>
      <c r="G125" s="329"/>
      <c r="H125" s="330"/>
      <c r="I125" s="329"/>
      <c r="J125" s="290"/>
      <c r="K125" s="290"/>
      <c r="L125" s="290"/>
      <c r="M125" s="294"/>
    </row>
    <row r="126" spans="1:28" s="244" customFormat="1">
      <c r="A126" s="331"/>
      <c r="B126" s="290"/>
      <c r="C126" s="290"/>
      <c r="D126" s="332"/>
      <c r="E126" s="290"/>
      <c r="F126" s="290"/>
      <c r="G126" s="290"/>
      <c r="H126" s="290"/>
      <c r="I126" s="290"/>
      <c r="J126" s="290"/>
      <c r="K126" s="290"/>
      <c r="L126" s="290"/>
      <c r="M126" s="294"/>
      <c r="N126" s="241"/>
      <c r="O126" s="241"/>
      <c r="P126" s="241"/>
      <c r="Q126" s="241"/>
      <c r="R126" s="241"/>
      <c r="S126" s="241"/>
      <c r="T126" s="241"/>
      <c r="U126" s="241"/>
      <c r="V126" s="241"/>
      <c r="W126" s="241"/>
      <c r="X126" s="241"/>
      <c r="Y126" s="241"/>
      <c r="Z126" s="241"/>
      <c r="AA126" s="241"/>
      <c r="AB126" s="241"/>
    </row>
    <row r="127" spans="1:28" s="276" customFormat="1" ht="32.25" customHeight="1" thickBot="1">
      <c r="A127" s="273" t="s">
        <v>708</v>
      </c>
      <c r="B127" s="332"/>
      <c r="C127" s="332"/>
      <c r="D127" s="332"/>
      <c r="E127" s="332"/>
      <c r="F127" s="332"/>
      <c r="G127" s="332"/>
      <c r="H127" s="332"/>
      <c r="I127" s="332"/>
      <c r="J127" s="332"/>
      <c r="K127" s="332"/>
      <c r="L127" s="332"/>
      <c r="M127" s="294"/>
      <c r="N127" s="244"/>
      <c r="O127" s="244"/>
      <c r="P127" s="244"/>
      <c r="Q127" s="244"/>
      <c r="R127" s="244"/>
      <c r="S127" s="244"/>
      <c r="T127" s="244"/>
      <c r="U127" s="244"/>
      <c r="V127" s="244"/>
      <c r="W127" s="244"/>
      <c r="X127" s="244"/>
      <c r="Y127" s="244"/>
      <c r="Z127" s="244"/>
      <c r="AA127" s="244"/>
      <c r="AB127" s="244"/>
    </row>
    <row r="128" spans="1:28" ht="43.5" customHeight="1" thickBot="1">
      <c r="A128" s="277" t="s">
        <v>18</v>
      </c>
      <c r="B128" s="278" t="s">
        <v>709</v>
      </c>
      <c r="C128" s="278" t="s">
        <v>696</v>
      </c>
      <c r="D128" s="278" t="s">
        <v>21</v>
      </c>
      <c r="E128" s="278" t="s">
        <v>22</v>
      </c>
      <c r="F128" s="278" t="s">
        <v>23</v>
      </c>
      <c r="G128" s="279" t="s">
        <v>697</v>
      </c>
      <c r="H128" s="279" t="s">
        <v>698</v>
      </c>
      <c r="I128" s="280"/>
      <c r="J128" s="281" t="s">
        <v>27</v>
      </c>
      <c r="K128" s="281"/>
      <c r="L128" s="281"/>
      <c r="M128" s="282" t="s">
        <v>28</v>
      </c>
      <c r="N128" s="283"/>
      <c r="O128" s="283"/>
      <c r="P128" s="283"/>
      <c r="Q128" s="283"/>
      <c r="R128" s="283"/>
      <c r="S128" s="283"/>
      <c r="T128" s="283"/>
      <c r="U128" s="283"/>
      <c r="V128" s="284"/>
      <c r="W128" s="276"/>
      <c r="X128" s="276"/>
      <c r="Y128" s="276"/>
      <c r="Z128" s="276"/>
      <c r="AA128" s="276"/>
      <c r="AB128" s="276"/>
    </row>
    <row r="129" spans="1:13">
      <c r="A129" s="295" t="s">
        <v>268</v>
      </c>
      <c r="B129" s="349">
        <v>-1.4586121910819501</v>
      </c>
      <c r="C129" s="287" t="s">
        <v>30</v>
      </c>
      <c r="D129" s="288">
        <v>0.50033555401430196</v>
      </c>
      <c r="E129" s="289">
        <v>3</v>
      </c>
      <c r="F129" s="289">
        <v>180</v>
      </c>
      <c r="G129" s="290">
        <v>1.91</v>
      </c>
      <c r="H129" s="291">
        <f t="shared" ref="H129:H160" si="2">0.5-G129-0.01*(F129-25)</f>
        <v>-2.96</v>
      </c>
      <c r="I129" s="292" t="s">
        <v>31</v>
      </c>
      <c r="J129" s="293"/>
      <c r="K129" s="291"/>
      <c r="L129" s="291"/>
      <c r="M129" s="294" t="s">
        <v>269</v>
      </c>
    </row>
    <row r="130" spans="1:13">
      <c r="A130" s="295" t="s">
        <v>270</v>
      </c>
      <c r="B130" s="349">
        <v>-5.8688247538783598</v>
      </c>
      <c r="C130" s="287" t="s">
        <v>36</v>
      </c>
      <c r="D130" s="288">
        <v>0.5</v>
      </c>
      <c r="E130" s="290">
        <v>5</v>
      </c>
      <c r="F130" s="289">
        <v>156</v>
      </c>
      <c r="G130" s="290">
        <v>6.94</v>
      </c>
      <c r="H130" s="291">
        <f t="shared" si="2"/>
        <v>-7.75</v>
      </c>
      <c r="I130" s="292" t="s">
        <v>37</v>
      </c>
      <c r="J130" s="293"/>
      <c r="K130" s="291"/>
      <c r="L130" s="291"/>
      <c r="M130" s="294" t="s">
        <v>271</v>
      </c>
    </row>
    <row r="131" spans="1:13">
      <c r="A131" s="305" t="s">
        <v>272</v>
      </c>
      <c r="B131" s="349">
        <v>-4.8378978377198196</v>
      </c>
      <c r="C131" s="287" t="s">
        <v>41</v>
      </c>
      <c r="D131" s="288">
        <v>0.65309579002601004</v>
      </c>
      <c r="E131" s="289">
        <v>3</v>
      </c>
      <c r="F131" s="289">
        <v>208</v>
      </c>
      <c r="G131" s="290">
        <v>5.18</v>
      </c>
      <c r="H131" s="291">
        <f t="shared" si="2"/>
        <v>-6.51</v>
      </c>
      <c r="I131" s="292" t="s">
        <v>42</v>
      </c>
      <c r="J131" s="293"/>
      <c r="K131" s="291"/>
      <c r="L131" s="291"/>
      <c r="M131" s="294" t="s">
        <v>273</v>
      </c>
    </row>
    <row r="132" spans="1:13">
      <c r="A132" s="295" t="s">
        <v>274</v>
      </c>
      <c r="B132" s="349">
        <v>-2.33817121483087</v>
      </c>
      <c r="C132" s="287" t="s">
        <v>46</v>
      </c>
      <c r="D132" s="288">
        <v>0.59285217963150305</v>
      </c>
      <c r="E132" s="289">
        <v>3</v>
      </c>
      <c r="F132" s="289">
        <v>100</v>
      </c>
      <c r="G132" s="290">
        <v>2.37</v>
      </c>
      <c r="H132" s="291">
        <f t="shared" si="2"/>
        <v>-2.62</v>
      </c>
      <c r="I132" s="297" t="s">
        <v>47</v>
      </c>
      <c r="J132" s="298"/>
      <c r="K132" s="291"/>
      <c r="L132" s="291"/>
      <c r="M132" s="294" t="s">
        <v>275</v>
      </c>
    </row>
    <row r="133" spans="1:13">
      <c r="A133" s="295" t="s">
        <v>276</v>
      </c>
      <c r="B133" s="349">
        <v>-5.95298631372901</v>
      </c>
      <c r="C133" s="287" t="s">
        <v>51</v>
      </c>
      <c r="D133" s="288">
        <v>0.51067901383936598</v>
      </c>
      <c r="E133" s="289">
        <v>5</v>
      </c>
      <c r="F133" s="289">
        <v>217</v>
      </c>
      <c r="G133" s="290">
        <v>3.19</v>
      </c>
      <c r="H133" s="291">
        <f t="shared" si="2"/>
        <v>-4.6099999999999994</v>
      </c>
      <c r="I133" s="297" t="s">
        <v>52</v>
      </c>
      <c r="J133" s="298"/>
      <c r="K133" s="291"/>
      <c r="L133" s="291"/>
      <c r="M133" s="294" t="s">
        <v>277</v>
      </c>
    </row>
    <row r="134" spans="1:13">
      <c r="A134" s="295" t="s">
        <v>278</v>
      </c>
      <c r="B134" s="349">
        <v>-4.8226058529960003</v>
      </c>
      <c r="C134" s="299"/>
      <c r="D134" s="288">
        <v>0.83065522865171404</v>
      </c>
      <c r="E134" s="289">
        <v>3</v>
      </c>
      <c r="F134" s="289">
        <v>209.5</v>
      </c>
      <c r="G134" s="290">
        <v>4.41</v>
      </c>
      <c r="H134" s="291">
        <f t="shared" si="2"/>
        <v>-5.7549999999999999</v>
      </c>
      <c r="I134" s="297" t="s">
        <v>56</v>
      </c>
      <c r="J134" s="298"/>
      <c r="K134" s="291"/>
      <c r="L134" s="291"/>
      <c r="M134" s="294" t="s">
        <v>279</v>
      </c>
    </row>
    <row r="135" spans="1:13">
      <c r="A135" s="295" t="s">
        <v>280</v>
      </c>
      <c r="B135" s="349">
        <v>-5.1105899254157601</v>
      </c>
      <c r="C135" s="299"/>
      <c r="D135" s="288">
        <v>0.51097181417141702</v>
      </c>
      <c r="E135" s="289">
        <v>6</v>
      </c>
      <c r="F135" s="289">
        <v>97.5</v>
      </c>
      <c r="G135" s="290">
        <v>5.19</v>
      </c>
      <c r="H135" s="291">
        <f t="shared" si="2"/>
        <v>-5.415</v>
      </c>
      <c r="I135" s="297" t="s">
        <v>60</v>
      </c>
      <c r="J135" s="300"/>
      <c r="K135" s="291"/>
      <c r="L135" s="291"/>
      <c r="M135" s="294" t="s">
        <v>281</v>
      </c>
    </row>
    <row r="136" spans="1:13">
      <c r="A136" s="285" t="s">
        <v>282</v>
      </c>
      <c r="B136" s="349">
        <v>-5.6991066031962498</v>
      </c>
      <c r="C136" s="299"/>
      <c r="D136" s="288">
        <v>0.92735432696895004</v>
      </c>
      <c r="E136" s="289">
        <v>5</v>
      </c>
      <c r="F136" s="289">
        <v>211</v>
      </c>
      <c r="G136" s="290">
        <v>7.49</v>
      </c>
      <c r="H136" s="291">
        <f t="shared" si="2"/>
        <v>-8.85</v>
      </c>
      <c r="I136" s="301" t="s">
        <v>64</v>
      </c>
      <c r="J136" s="302" t="s">
        <v>767</v>
      </c>
      <c r="K136" s="303"/>
      <c r="L136" s="304"/>
      <c r="M136" s="294" t="s">
        <v>283</v>
      </c>
    </row>
    <row r="137" spans="1:13">
      <c r="A137" s="295" t="s">
        <v>112</v>
      </c>
      <c r="B137" s="349">
        <v>-4.1120852111097204</v>
      </c>
      <c r="C137" s="299"/>
      <c r="D137" s="288">
        <v>0.68239272333923895</v>
      </c>
      <c r="E137" s="289">
        <v>3</v>
      </c>
      <c r="F137" s="289">
        <v>177</v>
      </c>
      <c r="G137" s="290">
        <v>3.37</v>
      </c>
      <c r="H137" s="291">
        <f t="shared" si="2"/>
        <v>-4.3900000000000006</v>
      </c>
      <c r="J137" s="291"/>
      <c r="K137" s="291"/>
      <c r="L137" s="291"/>
      <c r="M137" s="294" t="s">
        <v>284</v>
      </c>
    </row>
    <row r="138" spans="1:13">
      <c r="A138" s="295" t="s">
        <v>285</v>
      </c>
      <c r="B138" s="349">
        <v>-5.3874081747499201</v>
      </c>
      <c r="C138" s="299"/>
      <c r="D138" s="288">
        <v>0.520951861602862</v>
      </c>
      <c r="E138" s="289">
        <v>10</v>
      </c>
      <c r="F138" s="289">
        <v>228.6</v>
      </c>
      <c r="G138" s="290">
        <v>4.22</v>
      </c>
      <c r="H138" s="291">
        <f t="shared" si="2"/>
        <v>-5.7560000000000002</v>
      </c>
      <c r="I138" s="306" t="s">
        <v>286</v>
      </c>
      <c r="J138" s="307"/>
      <c r="K138" s="307"/>
      <c r="L138" s="308"/>
      <c r="M138" s="294" t="s">
        <v>287</v>
      </c>
    </row>
    <row r="139" spans="1:13">
      <c r="A139" s="285" t="s">
        <v>288</v>
      </c>
      <c r="B139" s="349">
        <v>-1.7805869211174601</v>
      </c>
      <c r="C139" s="299"/>
      <c r="D139" s="288">
        <v>0.53906642829149898</v>
      </c>
      <c r="E139" s="289">
        <v>3</v>
      </c>
      <c r="F139" s="289">
        <v>161.5</v>
      </c>
      <c r="G139" s="290">
        <v>-0.21</v>
      </c>
      <c r="H139" s="291">
        <f t="shared" si="2"/>
        <v>-0.65500000000000003</v>
      </c>
      <c r="I139" s="350" t="s">
        <v>736</v>
      </c>
      <c r="J139" s="311"/>
      <c r="K139" s="311"/>
      <c r="L139" s="312"/>
      <c r="M139" s="294" t="s">
        <v>289</v>
      </c>
    </row>
    <row r="140" spans="1:13">
      <c r="A140" s="285" t="s">
        <v>290</v>
      </c>
      <c r="B140" s="349">
        <v>-4.5085591258642497</v>
      </c>
      <c r="C140" s="299"/>
      <c r="D140" s="288">
        <v>0.56233984781338697</v>
      </c>
      <c r="E140" s="289">
        <v>11</v>
      </c>
      <c r="F140" s="289">
        <v>213.5</v>
      </c>
      <c r="G140" s="290">
        <v>3.04</v>
      </c>
      <c r="H140" s="291">
        <f t="shared" si="2"/>
        <v>-4.4249999999999998</v>
      </c>
      <c r="I140" s="351" t="s">
        <v>737</v>
      </c>
      <c r="J140" s="314"/>
      <c r="K140" s="314"/>
      <c r="L140" s="316"/>
      <c r="M140" s="294" t="s">
        <v>291</v>
      </c>
    </row>
    <row r="141" spans="1:13">
      <c r="A141" s="305" t="s">
        <v>292</v>
      </c>
      <c r="B141" s="349">
        <v>-3.60464585876317</v>
      </c>
      <c r="C141" s="299"/>
      <c r="D141" s="288">
        <v>0.54710381306524802</v>
      </c>
      <c r="E141" s="289">
        <v>4</v>
      </c>
      <c r="F141" s="289">
        <v>168.5</v>
      </c>
      <c r="G141" s="290">
        <v>3.35</v>
      </c>
      <c r="H141" s="291">
        <f t="shared" si="2"/>
        <v>-4.2850000000000001</v>
      </c>
      <c r="I141" s="351" t="s">
        <v>738</v>
      </c>
      <c r="J141" s="314"/>
      <c r="K141" s="314"/>
      <c r="L141" s="316"/>
      <c r="M141" s="294" t="s">
        <v>293</v>
      </c>
    </row>
    <row r="142" spans="1:13">
      <c r="A142" s="285" t="s">
        <v>114</v>
      </c>
      <c r="B142" s="349">
        <v>-3.1907490377837102</v>
      </c>
      <c r="C142" s="299"/>
      <c r="D142" s="288">
        <v>0.54612637818466903</v>
      </c>
      <c r="E142" s="289">
        <v>3</v>
      </c>
      <c r="F142" s="309">
        <v>124.1</v>
      </c>
      <c r="G142" s="290">
        <v>2.81</v>
      </c>
      <c r="H142" s="291">
        <f t="shared" si="2"/>
        <v>-3.3010000000000002</v>
      </c>
      <c r="I142" s="352" t="s">
        <v>739</v>
      </c>
      <c r="J142" s="314"/>
      <c r="K142" s="314"/>
      <c r="L142" s="316"/>
      <c r="M142" s="294" t="s">
        <v>294</v>
      </c>
    </row>
    <row r="143" spans="1:13">
      <c r="A143" s="285" t="s">
        <v>295</v>
      </c>
      <c r="B143" s="349">
        <v>-5.2124130812696698</v>
      </c>
      <c r="C143" s="299"/>
      <c r="D143" s="288">
        <v>0.51160213896594597</v>
      </c>
      <c r="E143" s="289">
        <v>4</v>
      </c>
      <c r="F143" s="289">
        <v>165</v>
      </c>
      <c r="G143" s="290">
        <v>4.8899999999999997</v>
      </c>
      <c r="H143" s="291">
        <f t="shared" si="2"/>
        <v>-5.79</v>
      </c>
      <c r="I143" s="353" t="s">
        <v>740</v>
      </c>
      <c r="J143" s="314"/>
      <c r="K143" s="314"/>
      <c r="L143" s="316"/>
      <c r="M143" s="294" t="s">
        <v>296</v>
      </c>
    </row>
    <row r="144" spans="1:13">
      <c r="A144" s="285" t="s">
        <v>117</v>
      </c>
      <c r="B144" s="349">
        <v>-5.5423595582327696</v>
      </c>
      <c r="C144" s="299"/>
      <c r="D144" s="288">
        <v>0.65141515533308303</v>
      </c>
      <c r="E144" s="289">
        <v>4</v>
      </c>
      <c r="F144" s="289">
        <v>161.1</v>
      </c>
      <c r="G144" s="290">
        <v>4.76</v>
      </c>
      <c r="H144" s="291">
        <f t="shared" si="2"/>
        <v>-5.6209999999999996</v>
      </c>
      <c r="I144" s="353" t="s">
        <v>741</v>
      </c>
      <c r="J144" s="314"/>
      <c r="K144" s="314"/>
      <c r="L144" s="316"/>
      <c r="M144" s="294" t="s">
        <v>297</v>
      </c>
    </row>
    <row r="145" spans="1:28">
      <c r="A145" s="305" t="s">
        <v>298</v>
      </c>
      <c r="B145" s="349">
        <v>-4.68835682836934</v>
      </c>
      <c r="C145" s="299"/>
      <c r="D145" s="288">
        <v>0.65883215509381898</v>
      </c>
      <c r="E145" s="289">
        <v>3</v>
      </c>
      <c r="F145" s="289">
        <v>155</v>
      </c>
      <c r="G145" s="290">
        <v>3.74</v>
      </c>
      <c r="H145" s="291">
        <f t="shared" si="2"/>
        <v>-4.54</v>
      </c>
      <c r="I145" s="353" t="s">
        <v>742</v>
      </c>
      <c r="J145" s="314"/>
      <c r="K145" s="314"/>
      <c r="L145" s="316"/>
      <c r="M145" s="294" t="s">
        <v>299</v>
      </c>
    </row>
    <row r="146" spans="1:28">
      <c r="A146" s="295" t="s">
        <v>300</v>
      </c>
      <c r="B146" s="349">
        <v>-6.7976064345387801</v>
      </c>
      <c r="C146" s="299"/>
      <c r="D146" s="288">
        <v>0.61400477095750305</v>
      </c>
      <c r="E146" s="289">
        <v>3</v>
      </c>
      <c r="F146" s="289">
        <v>165.4</v>
      </c>
      <c r="G146" s="290">
        <v>5.58</v>
      </c>
      <c r="H146" s="291">
        <f t="shared" si="2"/>
        <v>-6.484</v>
      </c>
      <c r="I146" s="353" t="s">
        <v>743</v>
      </c>
      <c r="J146" s="314"/>
      <c r="K146" s="314"/>
      <c r="L146" s="316"/>
      <c r="M146" s="294" t="s">
        <v>301</v>
      </c>
    </row>
    <row r="147" spans="1:28">
      <c r="A147" s="295" t="s">
        <v>302</v>
      </c>
      <c r="B147" s="349">
        <v>-5.3770833473068196</v>
      </c>
      <c r="C147" s="299"/>
      <c r="D147" s="288">
        <v>0.50406532001413296</v>
      </c>
      <c r="E147" s="289">
        <v>6</v>
      </c>
      <c r="F147" s="289">
        <v>161</v>
      </c>
      <c r="G147" s="290">
        <v>6.45</v>
      </c>
      <c r="H147" s="291">
        <f t="shared" si="2"/>
        <v>-7.3100000000000005</v>
      </c>
      <c r="I147" s="353" t="s">
        <v>744</v>
      </c>
      <c r="J147" s="314"/>
      <c r="K147" s="314"/>
      <c r="L147" s="316"/>
      <c r="M147" s="294" t="s">
        <v>303</v>
      </c>
    </row>
    <row r="148" spans="1:28">
      <c r="A148" s="295" t="s">
        <v>304</v>
      </c>
      <c r="B148" s="349">
        <v>-5.5622709333183202</v>
      </c>
      <c r="C148" s="299"/>
      <c r="D148" s="288">
        <v>0.75493366325441702</v>
      </c>
      <c r="E148" s="289">
        <v>4</v>
      </c>
      <c r="F148" s="289">
        <v>193.5</v>
      </c>
      <c r="G148" s="290">
        <v>5.41</v>
      </c>
      <c r="H148" s="291">
        <f t="shared" si="2"/>
        <v>-6.5950000000000006</v>
      </c>
      <c r="I148" s="354" t="s">
        <v>745</v>
      </c>
      <c r="J148" s="314"/>
      <c r="K148" s="314"/>
      <c r="L148" s="316"/>
      <c r="M148" s="294" t="s">
        <v>305</v>
      </c>
    </row>
    <row r="149" spans="1:28">
      <c r="A149" s="295" t="s">
        <v>306</v>
      </c>
      <c r="B149" s="349">
        <v>-3.9542116660472901</v>
      </c>
      <c r="C149" s="299"/>
      <c r="D149" s="288">
        <v>0.500893580585972</v>
      </c>
      <c r="E149" s="289">
        <v>3</v>
      </c>
      <c r="F149" s="289">
        <v>156</v>
      </c>
      <c r="G149" s="290">
        <v>2.9</v>
      </c>
      <c r="H149" s="291">
        <f t="shared" si="2"/>
        <v>-3.71</v>
      </c>
      <c r="I149" s="354" t="s">
        <v>746</v>
      </c>
      <c r="J149" s="314"/>
      <c r="K149" s="314"/>
      <c r="L149" s="316"/>
      <c r="M149" s="294" t="s">
        <v>307</v>
      </c>
    </row>
    <row r="150" spans="1:28">
      <c r="A150" s="305" t="s">
        <v>308</v>
      </c>
      <c r="B150" s="349">
        <v>-3.98305431452882</v>
      </c>
      <c r="C150" s="299"/>
      <c r="D150" s="288">
        <v>0.65879843298663399</v>
      </c>
      <c r="E150" s="289">
        <v>4</v>
      </c>
      <c r="F150" s="289">
        <v>183.5</v>
      </c>
      <c r="G150" s="290">
        <v>3.16</v>
      </c>
      <c r="H150" s="291">
        <f t="shared" si="2"/>
        <v>-4.2450000000000001</v>
      </c>
      <c r="I150" s="355" t="s">
        <v>747</v>
      </c>
      <c r="J150" s="319"/>
      <c r="K150" s="319"/>
      <c r="L150" s="320"/>
      <c r="M150" s="294" t="s">
        <v>309</v>
      </c>
    </row>
    <row r="151" spans="1:28">
      <c r="A151" s="305" t="s">
        <v>310</v>
      </c>
      <c r="B151" s="349">
        <v>-2.3483420592102702</v>
      </c>
      <c r="C151" s="299"/>
      <c r="D151" s="288">
        <v>0.59871706042825701</v>
      </c>
      <c r="E151" s="289">
        <v>3</v>
      </c>
      <c r="F151" s="289">
        <v>61</v>
      </c>
      <c r="G151" s="290">
        <v>1.77</v>
      </c>
      <c r="H151" s="291">
        <f t="shared" si="2"/>
        <v>-1.63</v>
      </c>
      <c r="L151" s="291"/>
      <c r="M151" s="294" t="s">
        <v>311</v>
      </c>
    </row>
    <row r="152" spans="1:28">
      <c r="A152" s="295" t="s">
        <v>312</v>
      </c>
      <c r="B152" s="349">
        <v>-3.3890564315923699</v>
      </c>
      <c r="C152" s="299"/>
      <c r="D152" s="288">
        <v>0.57115657899345496</v>
      </c>
      <c r="E152" s="289">
        <v>7</v>
      </c>
      <c r="F152" s="289">
        <v>177</v>
      </c>
      <c r="G152" s="290">
        <v>3.17</v>
      </c>
      <c r="H152" s="291">
        <f t="shared" si="2"/>
        <v>-4.1899999999999995</v>
      </c>
      <c r="I152" s="321" t="s">
        <v>133</v>
      </c>
      <c r="J152" s="322">
        <v>881</v>
      </c>
      <c r="K152" s="304"/>
      <c r="L152" s="291"/>
      <c r="M152" s="294" t="s">
        <v>313</v>
      </c>
    </row>
    <row r="153" spans="1:28">
      <c r="A153" s="285" t="s">
        <v>314</v>
      </c>
      <c r="B153" s="349">
        <v>-5.9305265139345504</v>
      </c>
      <c r="C153" s="299"/>
      <c r="D153" s="288">
        <v>0.55807775121880299</v>
      </c>
      <c r="E153" s="289">
        <v>6</v>
      </c>
      <c r="F153" s="289">
        <v>145</v>
      </c>
      <c r="G153" s="290">
        <v>6.08</v>
      </c>
      <c r="H153" s="291">
        <f t="shared" si="2"/>
        <v>-6.78</v>
      </c>
      <c r="I153" s="321" t="s">
        <v>136</v>
      </c>
      <c r="J153" s="322">
        <v>164</v>
      </c>
      <c r="K153" s="304"/>
      <c r="M153" s="294" t="s">
        <v>315</v>
      </c>
    </row>
    <row r="154" spans="1:28">
      <c r="A154" s="285" t="s">
        <v>316</v>
      </c>
      <c r="B154" s="349">
        <v>-5.1119953122776298</v>
      </c>
      <c r="C154" s="299"/>
      <c r="D154" s="288">
        <v>0.66417698790166102</v>
      </c>
      <c r="E154" s="289">
        <v>3</v>
      </c>
      <c r="F154" s="309">
        <v>175.8</v>
      </c>
      <c r="G154" s="290">
        <v>4.62</v>
      </c>
      <c r="H154" s="291">
        <f t="shared" si="2"/>
        <v>-5.6280000000000001</v>
      </c>
      <c r="I154" s="321" t="s">
        <v>139</v>
      </c>
      <c r="J154" s="322">
        <f>COUNTA(A129:A160)</f>
        <v>32</v>
      </c>
      <c r="K154" s="304"/>
      <c r="M154" s="294" t="s">
        <v>317</v>
      </c>
    </row>
    <row r="155" spans="1:28">
      <c r="A155" s="295" t="s">
        <v>318</v>
      </c>
      <c r="B155" s="349">
        <v>-5.4946579700749298</v>
      </c>
      <c r="C155" s="299"/>
      <c r="D155" s="288">
        <v>0.57716593661781801</v>
      </c>
      <c r="E155" s="289">
        <v>3</v>
      </c>
      <c r="F155" s="289">
        <v>349.84</v>
      </c>
      <c r="G155" s="290">
        <v>3.09</v>
      </c>
      <c r="H155" s="291">
        <f t="shared" si="2"/>
        <v>-5.8384</v>
      </c>
      <c r="M155" s="294" t="s">
        <v>319</v>
      </c>
    </row>
    <row r="156" spans="1:28">
      <c r="A156" s="305" t="s">
        <v>320</v>
      </c>
      <c r="B156" s="349">
        <v>-3.5417903453429198</v>
      </c>
      <c r="C156" s="299"/>
      <c r="D156" s="288">
        <v>0.70324590282883903</v>
      </c>
      <c r="E156" s="289">
        <v>3</v>
      </c>
      <c r="F156" s="289">
        <v>204</v>
      </c>
      <c r="G156" s="290">
        <v>0.88</v>
      </c>
      <c r="H156" s="291">
        <f t="shared" si="2"/>
        <v>-2.17</v>
      </c>
      <c r="I156" s="324" t="s">
        <v>144</v>
      </c>
      <c r="J156" s="307"/>
      <c r="K156" s="307"/>
      <c r="L156" s="308"/>
      <c r="M156" s="294" t="s">
        <v>321</v>
      </c>
    </row>
    <row r="157" spans="1:28">
      <c r="A157" s="295" t="s">
        <v>322</v>
      </c>
      <c r="B157" s="349">
        <v>-5.3767066983189098</v>
      </c>
      <c r="C157" s="299"/>
      <c r="D157" s="288">
        <v>0.72379035887947596</v>
      </c>
      <c r="E157" s="289">
        <v>7</v>
      </c>
      <c r="F157" s="289">
        <v>97.8</v>
      </c>
      <c r="G157" s="290">
        <v>6</v>
      </c>
      <c r="H157" s="291">
        <f t="shared" si="2"/>
        <v>-6.2279999999999998</v>
      </c>
      <c r="I157" s="310" t="s">
        <v>768</v>
      </c>
      <c r="J157" s="311"/>
      <c r="K157" s="311"/>
      <c r="L157" s="312"/>
      <c r="M157" s="294" t="s">
        <v>323</v>
      </c>
    </row>
    <row r="158" spans="1:28">
      <c r="A158" s="295" t="s">
        <v>324</v>
      </c>
      <c r="B158" s="349">
        <v>-6.8266087826075701</v>
      </c>
      <c r="C158" s="299"/>
      <c r="D158" s="288">
        <v>0.84033450922624497</v>
      </c>
      <c r="E158" s="289">
        <v>5</v>
      </c>
      <c r="F158" s="289">
        <v>262</v>
      </c>
      <c r="G158" s="290">
        <v>7.26</v>
      </c>
      <c r="H158" s="291">
        <f t="shared" si="2"/>
        <v>-9.129999999999999</v>
      </c>
      <c r="I158" s="313" t="s">
        <v>749</v>
      </c>
      <c r="J158" s="314"/>
      <c r="K158" s="314"/>
      <c r="L158" s="316"/>
      <c r="M158" s="294" t="s">
        <v>325</v>
      </c>
    </row>
    <row r="159" spans="1:28">
      <c r="A159" s="295" t="s">
        <v>326</v>
      </c>
      <c r="B159" s="349">
        <v>-6.4490812238423896</v>
      </c>
      <c r="C159" s="299"/>
      <c r="D159" s="288">
        <v>0.70969645885144095</v>
      </c>
      <c r="E159" s="289">
        <v>11</v>
      </c>
      <c r="F159" s="289">
        <v>149.6</v>
      </c>
      <c r="G159" s="290">
        <v>6.45</v>
      </c>
      <c r="H159" s="291">
        <f t="shared" si="2"/>
        <v>-7.1959999999999997</v>
      </c>
      <c r="I159" s="313"/>
      <c r="J159" s="314"/>
      <c r="K159" s="314"/>
      <c r="L159" s="316"/>
      <c r="M159" s="294" t="s">
        <v>327</v>
      </c>
    </row>
    <row r="160" spans="1:28" s="334" customFormat="1">
      <c r="A160" s="285" t="s">
        <v>328</v>
      </c>
      <c r="B160" s="349">
        <v>-3.3585414467977301</v>
      </c>
      <c r="C160" s="299"/>
      <c r="D160" s="288">
        <v>0.49644864464459898</v>
      </c>
      <c r="E160" s="289">
        <v>4</v>
      </c>
      <c r="F160" s="289">
        <v>304.5</v>
      </c>
      <c r="G160" s="290">
        <v>2.69</v>
      </c>
      <c r="H160" s="291">
        <f t="shared" si="2"/>
        <v>-4.9849999999999994</v>
      </c>
      <c r="I160" s="313"/>
      <c r="J160" s="314"/>
      <c r="K160" s="314"/>
      <c r="L160" s="316"/>
      <c r="M160" s="294" t="s">
        <v>329</v>
      </c>
      <c r="N160" s="241"/>
      <c r="O160" s="241"/>
      <c r="P160" s="241"/>
      <c r="Q160" s="241"/>
      <c r="R160" s="241"/>
      <c r="S160" s="241"/>
      <c r="T160" s="241"/>
      <c r="U160" s="241"/>
      <c r="V160" s="241"/>
      <c r="W160" s="241"/>
      <c r="X160" s="241"/>
      <c r="Y160" s="241"/>
      <c r="Z160" s="241"/>
      <c r="AA160" s="241"/>
      <c r="AB160" s="241"/>
    </row>
    <row r="161" spans="1:28">
      <c r="A161" s="334"/>
      <c r="B161" s="334"/>
      <c r="C161" s="326" t="s">
        <v>261</v>
      </c>
      <c r="D161" s="327">
        <f>AVERAGE(D129:D160)</f>
        <v>0.61629001144944584</v>
      </c>
      <c r="E161" s="334"/>
      <c r="F161" s="334"/>
      <c r="G161" s="334"/>
      <c r="H161" s="330" t="s">
        <v>262</v>
      </c>
      <c r="I161" s="313"/>
      <c r="J161" s="314"/>
      <c r="K161" s="314"/>
      <c r="L161" s="316"/>
      <c r="M161" s="272"/>
      <c r="N161" s="334"/>
      <c r="O161" s="334"/>
      <c r="P161" s="334"/>
      <c r="Q161" s="334"/>
      <c r="R161" s="334"/>
      <c r="S161" s="334"/>
      <c r="T161" s="334"/>
      <c r="U161" s="334"/>
      <c r="V161" s="334"/>
      <c r="W161" s="334"/>
      <c r="X161" s="334"/>
      <c r="Y161" s="334"/>
      <c r="Z161" s="334"/>
      <c r="AA161" s="334"/>
      <c r="AB161" s="334"/>
    </row>
    <row r="162" spans="1:28">
      <c r="A162" s="294"/>
      <c r="C162" s="326" t="s">
        <v>263</v>
      </c>
      <c r="D162" s="327">
        <f>MIN(D129:D160)</f>
        <v>0.49644864464459898</v>
      </c>
      <c r="E162" s="328"/>
      <c r="F162" s="329"/>
      <c r="G162" s="329"/>
      <c r="H162" s="330" t="s">
        <v>330</v>
      </c>
      <c r="I162" s="313"/>
      <c r="J162" s="314"/>
      <c r="K162" s="314"/>
      <c r="L162" s="316"/>
      <c r="M162" s="294"/>
    </row>
    <row r="163" spans="1:28">
      <c r="A163" s="294"/>
      <c r="C163" s="326" t="s">
        <v>265</v>
      </c>
      <c r="D163" s="327">
        <f>MAX(D129:D160)</f>
        <v>0.92735432696895004</v>
      </c>
      <c r="E163" s="328"/>
      <c r="F163" s="329"/>
      <c r="G163" s="329"/>
      <c r="H163" s="330"/>
      <c r="I163" s="325"/>
      <c r="J163" s="319"/>
      <c r="K163" s="319"/>
      <c r="L163" s="320"/>
      <c r="M163" s="294"/>
    </row>
    <row r="165" spans="1:28">
      <c r="A165" s="241" t="s">
        <v>711</v>
      </c>
    </row>
    <row r="166" spans="1:28">
      <c r="A166" s="241" t="s">
        <v>332</v>
      </c>
    </row>
    <row r="168" spans="1:28">
      <c r="A168" s="241" t="s">
        <v>333</v>
      </c>
    </row>
    <row r="169" spans="1:28">
      <c r="A169" s="241" t="s">
        <v>712</v>
      </c>
    </row>
    <row r="170" spans="1:28" ht="15.75" customHeight="1"/>
    <row r="171" spans="1:28" s="244" customFormat="1" ht="19">
      <c r="A171" s="336" t="s">
        <v>335</v>
      </c>
    </row>
    <row r="172" spans="1:28" s="244" customFormat="1" ht="18">
      <c r="A172" s="337" t="s">
        <v>713</v>
      </c>
    </row>
    <row r="173" spans="1:28" s="244" customFormat="1" ht="16">
      <c r="A173" s="337" t="s">
        <v>714</v>
      </c>
    </row>
    <row r="174" spans="1:28" s="244" customFormat="1">
      <c r="A174" s="338" t="s">
        <v>715</v>
      </c>
    </row>
    <row r="175" spans="1:28" s="244" customFormat="1">
      <c r="A175" s="339" t="s">
        <v>716</v>
      </c>
    </row>
    <row r="176" spans="1:28" s="244" customFormat="1">
      <c r="A176" s="340" t="s">
        <v>717</v>
      </c>
    </row>
    <row r="177" spans="1:1" s="244" customFormat="1">
      <c r="A177" s="244" t="s">
        <v>718</v>
      </c>
    </row>
    <row r="178" spans="1:1" s="244" customFormat="1">
      <c r="A178" s="341" t="s">
        <v>719</v>
      </c>
    </row>
    <row r="179" spans="1:1" s="244" customFormat="1">
      <c r="A179" s="244" t="s">
        <v>720</v>
      </c>
    </row>
    <row r="180" spans="1:1" s="244" customFormat="1">
      <c r="A180" s="340" t="s">
        <v>721</v>
      </c>
    </row>
    <row r="181" spans="1:1" s="244" customFormat="1">
      <c r="A181" s="244" t="s">
        <v>722</v>
      </c>
    </row>
    <row r="182" spans="1:1" s="244" customFormat="1">
      <c r="A182" s="244" t="s">
        <v>723</v>
      </c>
    </row>
    <row r="183" spans="1:1" s="244" customFormat="1">
      <c r="A183" s="338" t="s">
        <v>724</v>
      </c>
    </row>
    <row r="184" spans="1:1" s="244" customFormat="1">
      <c r="A184" s="338" t="s">
        <v>725</v>
      </c>
    </row>
    <row r="185" spans="1:1" s="244" customFormat="1">
      <c r="A185" s="244" t="s">
        <v>726</v>
      </c>
    </row>
    <row r="186" spans="1:1" s="244" customFormat="1">
      <c r="A186" s="244" t="s">
        <v>727</v>
      </c>
    </row>
    <row r="187" spans="1:1" s="244" customFormat="1">
      <c r="A187" s="341" t="s">
        <v>728</v>
      </c>
    </row>
    <row r="188" spans="1:1" s="244" customFormat="1">
      <c r="A188" s="341" t="s">
        <v>729</v>
      </c>
    </row>
    <row r="189" spans="1:1" s="244" customFormat="1">
      <c r="A189" s="340" t="s">
        <v>730</v>
      </c>
    </row>
    <row r="190" spans="1:1" s="244" customFormat="1">
      <c r="A190" s="341" t="s">
        <v>750</v>
      </c>
    </row>
    <row r="191" spans="1:1" s="244" customFormat="1">
      <c r="A191" s="244" t="s">
        <v>751</v>
      </c>
    </row>
    <row r="192" spans="1:1" s="244" customFormat="1"/>
    <row r="193" spans="1:24">
      <c r="A193" s="342" t="s">
        <v>733</v>
      </c>
    </row>
    <row r="194" spans="1:24">
      <c r="A194" s="356" t="s">
        <v>752</v>
      </c>
      <c r="B194" s="357"/>
      <c r="C194" s="357"/>
      <c r="D194" s="357"/>
      <c r="E194" s="357"/>
      <c r="F194" s="357"/>
      <c r="G194" s="357"/>
      <c r="H194" s="357"/>
      <c r="I194" s="357"/>
      <c r="J194" s="357"/>
      <c r="K194" s="357"/>
      <c r="L194" s="357"/>
      <c r="M194" s="358"/>
      <c r="N194" s="357"/>
      <c r="O194" s="357"/>
      <c r="P194" s="357"/>
      <c r="Q194" s="357"/>
      <c r="R194" s="357"/>
      <c r="S194" s="357"/>
      <c r="T194" s="357"/>
      <c r="U194" s="357"/>
      <c r="V194" s="357"/>
      <c r="W194" s="357"/>
      <c r="X194" s="359"/>
    </row>
    <row r="195" spans="1:24">
      <c r="A195" s="317" t="s">
        <v>753</v>
      </c>
      <c r="B195" s="256"/>
      <c r="C195" s="256"/>
      <c r="D195" s="256"/>
      <c r="E195" s="256"/>
      <c r="F195" s="256"/>
      <c r="G195" s="256"/>
      <c r="H195" s="256"/>
      <c r="I195" s="256"/>
      <c r="J195" s="256"/>
      <c r="K195" s="256"/>
      <c r="L195" s="256"/>
      <c r="M195" s="257"/>
      <c r="N195" s="256"/>
      <c r="O195" s="256"/>
      <c r="P195" s="256"/>
      <c r="Q195" s="256"/>
      <c r="R195" s="256"/>
      <c r="S195" s="256"/>
      <c r="T195" s="256"/>
      <c r="U195" s="256"/>
      <c r="V195" s="256"/>
      <c r="W195" s="256"/>
      <c r="X195" s="258"/>
    </row>
    <row r="196" spans="1:24">
      <c r="A196" s="317" t="s">
        <v>754</v>
      </c>
      <c r="B196" s="256"/>
      <c r="C196" s="256"/>
      <c r="D196" s="256"/>
      <c r="E196" s="256"/>
      <c r="F196" s="256"/>
      <c r="G196" s="256"/>
      <c r="H196" s="256"/>
      <c r="I196" s="256"/>
      <c r="J196" s="256"/>
      <c r="K196" s="256"/>
      <c r="L196" s="256"/>
      <c r="M196" s="257"/>
      <c r="N196" s="256"/>
      <c r="O196" s="256"/>
      <c r="P196" s="256"/>
      <c r="Q196" s="256"/>
      <c r="R196" s="256"/>
      <c r="S196" s="256"/>
      <c r="T196" s="256"/>
      <c r="U196" s="256"/>
      <c r="V196" s="256"/>
      <c r="W196" s="256"/>
      <c r="X196" s="258"/>
    </row>
    <row r="197" spans="1:24">
      <c r="A197" s="317" t="s">
        <v>755</v>
      </c>
      <c r="B197" s="256"/>
      <c r="C197" s="256"/>
      <c r="D197" s="256"/>
      <c r="E197" s="256"/>
      <c r="F197" s="256"/>
      <c r="G197" s="256"/>
      <c r="H197" s="256"/>
      <c r="I197" s="256"/>
      <c r="J197" s="256"/>
      <c r="K197" s="256"/>
      <c r="L197" s="256"/>
      <c r="M197" s="257"/>
      <c r="N197" s="256"/>
      <c r="O197" s="256"/>
      <c r="P197" s="256"/>
      <c r="Q197" s="256"/>
      <c r="R197" s="256"/>
      <c r="S197" s="256"/>
      <c r="T197" s="256"/>
      <c r="U197" s="256"/>
      <c r="V197" s="256"/>
      <c r="W197" s="256"/>
      <c r="X197" s="258"/>
    </row>
    <row r="198" spans="1:24">
      <c r="A198" s="317" t="s">
        <v>756</v>
      </c>
      <c r="B198" s="256"/>
      <c r="C198" s="256"/>
      <c r="D198" s="256"/>
      <c r="E198" s="256"/>
      <c r="F198" s="256"/>
      <c r="G198" s="256"/>
      <c r="H198" s="256"/>
      <c r="I198" s="256"/>
      <c r="J198" s="256"/>
      <c r="K198" s="256"/>
      <c r="L198" s="256"/>
      <c r="M198" s="257"/>
      <c r="N198" s="256"/>
      <c r="O198" s="256"/>
      <c r="P198" s="256"/>
      <c r="Q198" s="256"/>
      <c r="R198" s="256"/>
      <c r="S198" s="256"/>
      <c r="T198" s="256"/>
      <c r="U198" s="256"/>
      <c r="V198" s="256"/>
      <c r="W198" s="256"/>
      <c r="X198" s="258"/>
    </row>
    <row r="199" spans="1:24">
      <c r="A199" s="317" t="s">
        <v>757</v>
      </c>
      <c r="B199" s="256"/>
      <c r="C199" s="256"/>
      <c r="D199" s="256"/>
      <c r="E199" s="256"/>
      <c r="F199" s="256"/>
      <c r="G199" s="256"/>
      <c r="H199" s="256"/>
      <c r="I199" s="256"/>
      <c r="J199" s="256"/>
      <c r="K199" s="256"/>
      <c r="L199" s="256"/>
      <c r="M199" s="257"/>
      <c r="N199" s="256"/>
      <c r="O199" s="256"/>
      <c r="P199" s="256"/>
      <c r="Q199" s="256"/>
      <c r="R199" s="256"/>
      <c r="S199" s="256"/>
      <c r="T199" s="256"/>
      <c r="U199" s="256"/>
      <c r="V199" s="256"/>
      <c r="W199" s="256"/>
      <c r="X199" s="258"/>
    </row>
    <row r="200" spans="1:24">
      <c r="A200" s="317" t="s">
        <v>758</v>
      </c>
      <c r="B200" s="256"/>
      <c r="C200" s="256"/>
      <c r="D200" s="256"/>
      <c r="E200" s="256"/>
      <c r="F200" s="256"/>
      <c r="G200" s="256"/>
      <c r="H200" s="256"/>
      <c r="I200" s="256"/>
      <c r="J200" s="256"/>
      <c r="K200" s="256"/>
      <c r="L200" s="256"/>
      <c r="M200" s="257"/>
      <c r="N200" s="256"/>
      <c r="O200" s="256"/>
      <c r="P200" s="256"/>
      <c r="Q200" s="256"/>
      <c r="R200" s="256"/>
      <c r="S200" s="256"/>
      <c r="T200" s="256"/>
      <c r="U200" s="256"/>
      <c r="V200" s="256"/>
      <c r="W200" s="256"/>
      <c r="X200" s="258"/>
    </row>
    <row r="201" spans="1:24">
      <c r="A201" s="317" t="s">
        <v>759</v>
      </c>
      <c r="B201" s="256"/>
      <c r="C201" s="256"/>
      <c r="D201" s="256"/>
      <c r="E201" s="256"/>
      <c r="F201" s="256"/>
      <c r="G201" s="256"/>
      <c r="H201" s="256"/>
      <c r="I201" s="256"/>
      <c r="J201" s="256"/>
      <c r="K201" s="256"/>
      <c r="L201" s="256"/>
      <c r="M201" s="257"/>
      <c r="N201" s="256"/>
      <c r="O201" s="256"/>
      <c r="P201" s="256"/>
      <c r="Q201" s="256"/>
      <c r="R201" s="256"/>
      <c r="S201" s="256"/>
      <c r="T201" s="256"/>
      <c r="U201" s="256"/>
      <c r="V201" s="256"/>
      <c r="W201" s="256"/>
      <c r="X201" s="258"/>
    </row>
    <row r="202" spans="1:24">
      <c r="A202" s="317" t="s">
        <v>760</v>
      </c>
      <c r="B202" s="256"/>
      <c r="C202" s="256"/>
      <c r="D202" s="256"/>
      <c r="E202" s="256"/>
      <c r="F202" s="256"/>
      <c r="G202" s="256"/>
      <c r="H202" s="256"/>
      <c r="I202" s="256"/>
      <c r="J202" s="256"/>
      <c r="K202" s="256"/>
      <c r="L202" s="256"/>
      <c r="M202" s="257"/>
      <c r="N202" s="256"/>
      <c r="O202" s="256"/>
      <c r="P202" s="256"/>
      <c r="Q202" s="256"/>
      <c r="R202" s="256"/>
      <c r="S202" s="256"/>
      <c r="T202" s="256"/>
      <c r="U202" s="256"/>
      <c r="V202" s="256"/>
      <c r="W202" s="256"/>
      <c r="X202" s="258"/>
    </row>
    <row r="203" spans="1:24">
      <c r="A203" s="317" t="s">
        <v>761</v>
      </c>
      <c r="B203" s="256"/>
      <c r="C203" s="256"/>
      <c r="D203" s="256"/>
      <c r="E203" s="256"/>
      <c r="F203" s="256"/>
      <c r="G203" s="256"/>
      <c r="H203" s="256"/>
      <c r="I203" s="256"/>
      <c r="J203" s="256"/>
      <c r="K203" s="256"/>
      <c r="L203" s="256"/>
      <c r="M203" s="257"/>
      <c r="N203" s="256"/>
      <c r="O203" s="256"/>
      <c r="P203" s="256"/>
      <c r="Q203" s="256"/>
      <c r="R203" s="256"/>
      <c r="S203" s="256"/>
      <c r="T203" s="256"/>
      <c r="U203" s="256"/>
      <c r="V203" s="256"/>
      <c r="W203" s="256"/>
      <c r="X203" s="258"/>
    </row>
    <row r="204" spans="1:24">
      <c r="A204" s="317" t="s">
        <v>762</v>
      </c>
      <c r="B204" s="256"/>
      <c r="C204" s="256"/>
      <c r="D204" s="256"/>
      <c r="E204" s="256"/>
      <c r="F204" s="256"/>
      <c r="G204" s="256"/>
      <c r="H204" s="256"/>
      <c r="I204" s="256"/>
      <c r="J204" s="256"/>
      <c r="K204" s="256"/>
      <c r="L204" s="256"/>
      <c r="M204" s="257"/>
      <c r="N204" s="256"/>
      <c r="O204" s="256"/>
      <c r="P204" s="256"/>
      <c r="Q204" s="256"/>
      <c r="R204" s="256"/>
      <c r="S204" s="256"/>
      <c r="T204" s="256"/>
      <c r="U204" s="256"/>
      <c r="V204" s="256"/>
      <c r="W204" s="256"/>
      <c r="X204" s="258"/>
    </row>
    <row r="205" spans="1:24">
      <c r="A205" s="317" t="s">
        <v>763</v>
      </c>
      <c r="B205" s="256"/>
      <c r="C205" s="256"/>
      <c r="D205" s="256"/>
      <c r="E205" s="256"/>
      <c r="F205" s="256"/>
      <c r="G205" s="256"/>
      <c r="H205" s="256"/>
      <c r="I205" s="256"/>
      <c r="J205" s="256"/>
      <c r="K205" s="256"/>
      <c r="L205" s="256"/>
      <c r="M205" s="257"/>
      <c r="N205" s="256"/>
      <c r="O205" s="256"/>
      <c r="P205" s="256"/>
      <c r="Q205" s="256"/>
      <c r="R205" s="256"/>
      <c r="S205" s="256"/>
      <c r="T205" s="256"/>
      <c r="U205" s="256"/>
      <c r="V205" s="256"/>
      <c r="W205" s="256"/>
      <c r="X205" s="258"/>
    </row>
    <row r="206" spans="1:24">
      <c r="A206" s="317" t="s">
        <v>764</v>
      </c>
      <c r="B206" s="256"/>
      <c r="C206" s="256"/>
      <c r="D206" s="256"/>
      <c r="E206" s="256"/>
      <c r="F206" s="256"/>
      <c r="G206" s="256"/>
      <c r="H206" s="256"/>
      <c r="I206" s="256"/>
      <c r="J206" s="256"/>
      <c r="K206" s="256"/>
      <c r="L206" s="256"/>
      <c r="M206" s="257"/>
      <c r="N206" s="256"/>
      <c r="O206" s="256"/>
      <c r="P206" s="256"/>
      <c r="Q206" s="256"/>
      <c r="R206" s="256"/>
      <c r="S206" s="256"/>
      <c r="T206" s="256"/>
      <c r="U206" s="256"/>
      <c r="V206" s="256"/>
      <c r="W206" s="256"/>
      <c r="X206" s="258"/>
    </row>
    <row r="207" spans="1:24">
      <c r="A207" s="317" t="s">
        <v>765</v>
      </c>
      <c r="B207" s="256"/>
      <c r="C207" s="256"/>
      <c r="D207" s="256"/>
      <c r="E207" s="256"/>
      <c r="F207" s="256"/>
      <c r="G207" s="256"/>
      <c r="H207" s="256"/>
      <c r="I207" s="256"/>
      <c r="J207" s="256"/>
      <c r="K207" s="256"/>
      <c r="L207" s="256"/>
      <c r="M207" s="257"/>
      <c r="N207" s="256"/>
      <c r="O207" s="256"/>
      <c r="P207" s="256"/>
      <c r="Q207" s="256"/>
      <c r="R207" s="256"/>
      <c r="S207" s="256"/>
      <c r="T207" s="256"/>
      <c r="U207" s="256"/>
      <c r="V207" s="256"/>
      <c r="W207" s="256"/>
      <c r="X207" s="258"/>
    </row>
    <row r="208" spans="1:24">
      <c r="A208" s="261" t="s">
        <v>766</v>
      </c>
      <c r="B208" s="263"/>
      <c r="C208" s="263"/>
      <c r="D208" s="263"/>
      <c r="E208" s="263"/>
      <c r="F208" s="263"/>
      <c r="G208" s="263"/>
      <c r="H208" s="263"/>
      <c r="I208" s="263"/>
      <c r="J208" s="263"/>
      <c r="K208" s="263"/>
      <c r="L208" s="263"/>
      <c r="M208" s="264"/>
      <c r="N208" s="263"/>
      <c r="O208" s="263"/>
      <c r="P208" s="263"/>
      <c r="Q208" s="263"/>
      <c r="R208" s="263"/>
      <c r="S208" s="263"/>
      <c r="T208" s="263"/>
      <c r="U208" s="263"/>
      <c r="V208" s="263"/>
      <c r="W208" s="263"/>
      <c r="X208" s="265"/>
    </row>
  </sheetData>
  <pageMargins left="0" right="0" top="0" bottom="0" header="0.51180555555555496" footer="0.51180555555555496"/>
  <pageSetup scale="54" firstPageNumber="0" orientation="landscape"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19190-4314-47FB-AAE6-ACB0D01BBB80}">
  <dimension ref="A1:AB208"/>
  <sheetViews>
    <sheetView zoomScale="130" zoomScaleNormal="130" workbookViewId="0">
      <selection activeCell="B4" sqref="B4:B9"/>
    </sheetView>
  </sheetViews>
  <sheetFormatPr baseColWidth="10" defaultColWidth="8.83203125" defaultRowHeight="15"/>
  <cols>
    <col min="1" max="1" width="18.83203125" style="241" customWidth="1"/>
    <col min="2" max="3" width="11.33203125" style="241" customWidth="1"/>
    <col min="4" max="4" width="7.6640625" style="241" customWidth="1"/>
    <col min="5" max="5" width="7.83203125" style="241" customWidth="1"/>
    <col min="6" max="6" width="10.1640625" style="241" customWidth="1"/>
    <col min="7" max="7" width="8.83203125" style="241"/>
    <col min="8" max="8" width="9.1640625" style="241" customWidth="1"/>
    <col min="9" max="9" width="20.33203125" style="241" customWidth="1"/>
    <col min="10" max="10" width="7.6640625" style="241" customWidth="1"/>
    <col min="11" max="12" width="9.1640625" style="241" customWidth="1"/>
    <col min="13" max="13" width="9" style="244" customWidth="1"/>
    <col min="14" max="1025" width="9.1640625" style="241" customWidth="1"/>
    <col min="1026" max="16384" width="8.83203125" style="241"/>
  </cols>
  <sheetData>
    <row r="1" spans="1:25" ht="34">
      <c r="B1" s="242" t="s">
        <v>0</v>
      </c>
      <c r="C1" s="243"/>
      <c r="Y1" s="344"/>
    </row>
    <row r="2" spans="1:25" s="244" customFormat="1" ht="21">
      <c r="B2" s="345" t="s">
        <v>1</v>
      </c>
      <c r="C2" s="247"/>
      <c r="Y2" s="248"/>
    </row>
    <row r="3" spans="1:25" s="244" customFormat="1" ht="19">
      <c r="B3" s="346" t="s">
        <v>2</v>
      </c>
      <c r="C3" s="247"/>
      <c r="Y3" s="347"/>
    </row>
    <row r="4" spans="1:25">
      <c r="A4" s="251" t="s">
        <v>3</v>
      </c>
      <c r="B4" s="252"/>
      <c r="C4" s="253"/>
      <c r="D4" s="253"/>
      <c r="E4" s="253"/>
      <c r="F4" s="253"/>
      <c r="G4" s="253"/>
      <c r="H4" s="253"/>
      <c r="I4" s="253"/>
      <c r="J4" s="253"/>
      <c r="K4" s="253"/>
      <c r="L4" s="253"/>
      <c r="M4" s="254"/>
      <c r="N4" s="253"/>
      <c r="O4" s="253"/>
      <c r="P4" s="253"/>
      <c r="Q4" s="253"/>
      <c r="R4" s="255"/>
    </row>
    <row r="5" spans="1:25">
      <c r="A5" s="251" t="s">
        <v>4</v>
      </c>
      <c r="B5" s="256"/>
      <c r="C5" s="256"/>
      <c r="D5" s="256"/>
      <c r="E5" s="256"/>
      <c r="F5" s="256"/>
      <c r="G5" s="256"/>
      <c r="H5" s="256"/>
      <c r="I5" s="256"/>
      <c r="J5" s="256"/>
      <c r="K5" s="256"/>
      <c r="L5" s="256"/>
      <c r="M5" s="257"/>
      <c r="N5" s="256"/>
      <c r="O5" s="256"/>
      <c r="P5" s="256"/>
      <c r="Q5" s="256"/>
      <c r="R5" s="258"/>
    </row>
    <row r="6" spans="1:25">
      <c r="A6" s="259" t="s">
        <v>5</v>
      </c>
      <c r="B6" s="252"/>
      <c r="C6" s="253"/>
      <c r="D6" s="253"/>
      <c r="E6" s="253"/>
      <c r="F6" s="253"/>
      <c r="G6" s="253"/>
      <c r="H6" s="253"/>
      <c r="I6" s="253"/>
      <c r="J6" s="253"/>
      <c r="K6" s="253"/>
      <c r="L6" s="253"/>
      <c r="M6" s="254"/>
      <c r="N6" s="253"/>
      <c r="O6" s="253"/>
      <c r="P6" s="253"/>
      <c r="Q6" s="253"/>
      <c r="R6" s="255"/>
    </row>
    <row r="7" spans="1:25">
      <c r="A7" s="260"/>
      <c r="B7" s="261"/>
      <c r="C7" s="256"/>
      <c r="D7" s="256"/>
      <c r="E7" s="256"/>
      <c r="F7" s="256"/>
      <c r="G7" s="256"/>
      <c r="H7" s="256"/>
      <c r="I7" s="256"/>
      <c r="J7" s="256"/>
      <c r="K7" s="256"/>
      <c r="L7" s="256"/>
      <c r="M7" s="257"/>
      <c r="N7" s="256"/>
      <c r="O7" s="256"/>
      <c r="P7" s="256"/>
      <c r="Q7" s="256"/>
      <c r="R7" s="258"/>
    </row>
    <row r="8" spans="1:25">
      <c r="A8" s="259" t="s">
        <v>6</v>
      </c>
      <c r="B8" s="252"/>
      <c r="C8" s="253"/>
      <c r="D8" s="253"/>
      <c r="E8" s="253"/>
      <c r="F8" s="253"/>
      <c r="G8" s="253"/>
      <c r="H8" s="253"/>
      <c r="I8" s="253"/>
      <c r="J8" s="253"/>
      <c r="K8" s="253"/>
      <c r="L8" s="253"/>
      <c r="M8" s="254"/>
      <c r="N8" s="253"/>
      <c r="O8" s="253"/>
      <c r="P8" s="253"/>
      <c r="Q8" s="253"/>
      <c r="R8" s="255"/>
    </row>
    <row r="9" spans="1:25">
      <c r="A9" s="262" t="s">
        <v>7</v>
      </c>
      <c r="B9" s="348"/>
      <c r="C9" s="263"/>
      <c r="D9" s="263"/>
      <c r="E9" s="263"/>
      <c r="F9" s="263"/>
      <c r="G9" s="263"/>
      <c r="H9" s="263"/>
      <c r="I9" s="263"/>
      <c r="J9" s="263"/>
      <c r="K9" s="263"/>
      <c r="L9" s="263"/>
      <c r="M9" s="264"/>
      <c r="N9" s="263"/>
      <c r="O9" s="263"/>
      <c r="P9" s="263"/>
      <c r="Q9" s="263"/>
      <c r="R9" s="265"/>
    </row>
    <row r="10" spans="1:25">
      <c r="A10" s="266"/>
    </row>
    <row r="11" spans="1:25" s="267" customFormat="1" ht="26">
      <c r="A11" s="267" t="s">
        <v>689</v>
      </c>
    </row>
    <row r="12" spans="1:25">
      <c r="B12" s="268" t="s">
        <v>690</v>
      </c>
    </row>
    <row r="13" spans="1:25" s="270" customFormat="1">
      <c r="A13" s="269" t="s">
        <v>691</v>
      </c>
    </row>
    <row r="14" spans="1:25">
      <c r="B14" s="271" t="s">
        <v>32</v>
      </c>
      <c r="C14" s="241" t="s">
        <v>11</v>
      </c>
    </row>
    <row r="15" spans="1:25" s="270" customFormat="1">
      <c r="A15" s="269" t="s">
        <v>12</v>
      </c>
    </row>
    <row r="16" spans="1:25">
      <c r="B16" s="271"/>
      <c r="C16" s="241" t="s">
        <v>11</v>
      </c>
    </row>
    <row r="17" spans="1:28" s="270" customFormat="1">
      <c r="A17" s="269" t="s">
        <v>13</v>
      </c>
    </row>
    <row r="18" spans="1:28">
      <c r="B18" s="252"/>
      <c r="C18" s="253"/>
      <c r="D18" s="253"/>
      <c r="E18" s="253"/>
      <c r="F18" s="253"/>
      <c r="G18" s="253"/>
      <c r="H18" s="253"/>
      <c r="I18" s="253"/>
      <c r="J18" s="253"/>
      <c r="K18" s="253"/>
      <c r="L18" s="253"/>
      <c r="M18" s="254"/>
      <c r="N18" s="253"/>
      <c r="O18" s="253"/>
      <c r="P18" s="253"/>
      <c r="Q18" s="253"/>
      <c r="R18" s="255"/>
      <c r="S18" s="241" t="s">
        <v>15</v>
      </c>
    </row>
    <row r="20" spans="1:28" s="272" customFormat="1">
      <c r="A20" s="272" t="s">
        <v>693</v>
      </c>
    </row>
    <row r="21" spans="1:28" s="276" customFormat="1" ht="35" thickBot="1">
      <c r="A21" s="273" t="s">
        <v>694</v>
      </c>
      <c r="B21" s="274"/>
      <c r="C21" s="274"/>
      <c r="D21" s="274"/>
      <c r="E21" s="274"/>
      <c r="F21" s="274"/>
      <c r="G21" s="274"/>
      <c r="H21" s="274"/>
      <c r="I21" s="274"/>
      <c r="J21" s="274"/>
      <c r="K21" s="274"/>
      <c r="L21" s="274"/>
      <c r="M21" s="275"/>
      <c r="N21" s="244"/>
      <c r="O21" s="244"/>
      <c r="P21" s="244"/>
      <c r="Q21" s="244"/>
      <c r="R21" s="244"/>
      <c r="S21" s="244"/>
      <c r="T21" s="244"/>
      <c r="U21" s="244"/>
      <c r="V21" s="244"/>
      <c r="W21" s="244"/>
      <c r="X21" s="244"/>
      <c r="Y21" s="244"/>
      <c r="Z21" s="244"/>
      <c r="AA21" s="244"/>
      <c r="AB21" s="244"/>
    </row>
    <row r="22" spans="1:28" ht="41.25" customHeight="1" thickBot="1">
      <c r="A22" s="277" t="s">
        <v>18</v>
      </c>
      <c r="B22" s="278" t="s">
        <v>695</v>
      </c>
      <c r="C22" s="278" t="s">
        <v>696</v>
      </c>
      <c r="D22" s="278" t="s">
        <v>21</v>
      </c>
      <c r="E22" s="278" t="s">
        <v>22</v>
      </c>
      <c r="F22" s="278" t="s">
        <v>23</v>
      </c>
      <c r="G22" s="279" t="s">
        <v>697</v>
      </c>
      <c r="H22" s="279" t="s">
        <v>698</v>
      </c>
      <c r="I22" s="280"/>
      <c r="J22" s="281" t="s">
        <v>27</v>
      </c>
      <c r="K22" s="281"/>
      <c r="L22" s="281"/>
      <c r="M22" s="282" t="s">
        <v>28</v>
      </c>
      <c r="N22" s="283"/>
      <c r="O22" s="283"/>
      <c r="P22" s="283"/>
      <c r="Q22" s="283"/>
      <c r="R22" s="283"/>
      <c r="S22" s="283"/>
      <c r="T22" s="284"/>
      <c r="U22" s="276"/>
      <c r="V22" s="276"/>
      <c r="W22" s="276"/>
      <c r="X22" s="276"/>
      <c r="Y22" s="276"/>
      <c r="Z22" s="276"/>
      <c r="AA22" s="276"/>
      <c r="AB22" s="276"/>
    </row>
    <row r="23" spans="1:28">
      <c r="A23" s="285" t="s">
        <v>29</v>
      </c>
      <c r="B23" s="349">
        <v>-2.2604094379126098</v>
      </c>
      <c r="C23" s="287" t="s">
        <v>30</v>
      </c>
      <c r="D23" s="288">
        <v>0.17592262140645501</v>
      </c>
      <c r="E23" s="289">
        <v>11</v>
      </c>
      <c r="F23" s="289">
        <v>258.5</v>
      </c>
      <c r="G23" s="290">
        <v>-0.86</v>
      </c>
      <c r="H23" s="291">
        <f t="shared" ref="H23:H86" si="0">0.5-G23-0.01*(F23-25)</f>
        <v>-0.97500000000000009</v>
      </c>
      <c r="I23" s="292" t="s">
        <v>31</v>
      </c>
      <c r="J23" s="293"/>
      <c r="K23" s="291"/>
      <c r="L23" s="291"/>
      <c r="M23" s="294" t="s">
        <v>33</v>
      </c>
    </row>
    <row r="24" spans="1:28">
      <c r="A24" s="295" t="s">
        <v>35</v>
      </c>
      <c r="B24" s="349">
        <v>-2.0464012504122602</v>
      </c>
      <c r="C24" s="287" t="s">
        <v>36</v>
      </c>
      <c r="D24" s="288">
        <v>0.14701293131372201</v>
      </c>
      <c r="E24" s="289">
        <v>16</v>
      </c>
      <c r="F24" s="289">
        <v>142.4</v>
      </c>
      <c r="G24" s="290">
        <v>1.31</v>
      </c>
      <c r="H24" s="291">
        <f t="shared" si="0"/>
        <v>-1.9840000000000002</v>
      </c>
      <c r="I24" s="292" t="s">
        <v>37</v>
      </c>
      <c r="J24" s="293"/>
      <c r="K24" s="291"/>
      <c r="L24" s="291"/>
      <c r="M24" s="294" t="s">
        <v>38</v>
      </c>
    </row>
    <row r="25" spans="1:28">
      <c r="A25" s="285" t="s">
        <v>40</v>
      </c>
      <c r="B25" s="349">
        <v>-3.2926623642449302</v>
      </c>
      <c r="C25" s="287" t="s">
        <v>41</v>
      </c>
      <c r="D25" s="288">
        <v>0.15746026945991601</v>
      </c>
      <c r="E25" s="289">
        <v>4</v>
      </c>
      <c r="F25" s="289">
        <v>92</v>
      </c>
      <c r="G25" s="290">
        <v>2.5299999999999998</v>
      </c>
      <c r="H25" s="291">
        <f t="shared" si="0"/>
        <v>-2.6999999999999997</v>
      </c>
      <c r="I25" s="292" t="s">
        <v>42</v>
      </c>
      <c r="J25" s="293"/>
      <c r="K25" s="291"/>
      <c r="L25" s="291"/>
      <c r="M25" s="294" t="s">
        <v>43</v>
      </c>
    </row>
    <row r="26" spans="1:28">
      <c r="A26" s="295" t="s">
        <v>45</v>
      </c>
      <c r="B26" s="349">
        <v>-3.5231397518917098</v>
      </c>
      <c r="C26" s="287" t="s">
        <v>46</v>
      </c>
      <c r="D26" s="288">
        <v>0.169992225074696</v>
      </c>
      <c r="E26" s="289">
        <v>3</v>
      </c>
      <c r="F26" s="289">
        <v>234</v>
      </c>
      <c r="G26" s="290">
        <v>3.19</v>
      </c>
      <c r="H26" s="291">
        <f t="shared" si="0"/>
        <v>-4.7799999999999994</v>
      </c>
      <c r="I26" s="297" t="s">
        <v>47</v>
      </c>
      <c r="J26" s="298"/>
      <c r="K26" s="291"/>
      <c r="L26" s="291"/>
      <c r="M26" s="294" t="s">
        <v>48</v>
      </c>
    </row>
    <row r="27" spans="1:28">
      <c r="A27" s="295" t="s">
        <v>50</v>
      </c>
      <c r="B27" s="349">
        <v>-5.4660800383814996</v>
      </c>
      <c r="C27" s="287" t="s">
        <v>51</v>
      </c>
      <c r="D27" s="288">
        <v>0.21168830858587201</v>
      </c>
      <c r="E27" s="289">
        <v>3</v>
      </c>
      <c r="F27" s="289">
        <v>139.25</v>
      </c>
      <c r="G27" s="290">
        <v>4.8600000000000003</v>
      </c>
      <c r="H27" s="291">
        <f t="shared" si="0"/>
        <v>-5.5025000000000004</v>
      </c>
      <c r="I27" s="297" t="s">
        <v>52</v>
      </c>
      <c r="J27" s="298"/>
      <c r="K27" s="291"/>
      <c r="L27" s="291"/>
      <c r="M27" s="294" t="s">
        <v>53</v>
      </c>
    </row>
    <row r="28" spans="1:28">
      <c r="A28" s="285" t="s">
        <v>55</v>
      </c>
      <c r="B28" s="349">
        <v>-5.4116155921863296</v>
      </c>
      <c r="C28" s="299"/>
      <c r="D28" s="288">
        <v>0.18412396392404201</v>
      </c>
      <c r="E28" s="289">
        <v>3</v>
      </c>
      <c r="F28" s="289">
        <v>224</v>
      </c>
      <c r="G28" s="290">
        <v>5.51</v>
      </c>
      <c r="H28" s="291">
        <f t="shared" si="0"/>
        <v>-7</v>
      </c>
      <c r="I28" s="297" t="s">
        <v>56</v>
      </c>
      <c r="J28" s="298"/>
      <c r="K28" s="291"/>
      <c r="L28" s="291"/>
      <c r="M28" s="294" t="s">
        <v>57</v>
      </c>
    </row>
    <row r="29" spans="1:28">
      <c r="A29" s="285" t="s">
        <v>59</v>
      </c>
      <c r="B29" s="349">
        <v>-3.2633034622590702</v>
      </c>
      <c r="C29" s="299"/>
      <c r="D29" s="288">
        <v>0.149337338745232</v>
      </c>
      <c r="E29" s="289">
        <v>6</v>
      </c>
      <c r="F29" s="289">
        <v>172.5</v>
      </c>
      <c r="G29" s="290">
        <v>1.78</v>
      </c>
      <c r="H29" s="291">
        <f t="shared" si="0"/>
        <v>-2.7549999999999999</v>
      </c>
      <c r="I29" s="297" t="s">
        <v>60</v>
      </c>
      <c r="J29" s="300"/>
      <c r="K29" s="291"/>
      <c r="L29" s="291"/>
      <c r="M29" s="294" t="s">
        <v>61</v>
      </c>
    </row>
    <row r="30" spans="1:28">
      <c r="A30" s="285" t="s">
        <v>63</v>
      </c>
      <c r="B30" s="349">
        <v>-1.9638974919951699</v>
      </c>
      <c r="C30" s="299"/>
      <c r="D30" s="288">
        <v>0.14842266063120099</v>
      </c>
      <c r="E30" s="289">
        <v>4</v>
      </c>
      <c r="F30" s="289">
        <v>207.5</v>
      </c>
      <c r="G30" s="290">
        <v>1.86</v>
      </c>
      <c r="H30" s="291">
        <f t="shared" si="0"/>
        <v>-3.1850000000000001</v>
      </c>
      <c r="I30" s="301" t="s">
        <v>64</v>
      </c>
      <c r="J30" s="302" t="s">
        <v>767</v>
      </c>
      <c r="K30" s="303"/>
      <c r="L30" s="304"/>
      <c r="M30" s="294" t="s">
        <v>65</v>
      </c>
    </row>
    <row r="31" spans="1:28">
      <c r="A31" s="305" t="s">
        <v>66</v>
      </c>
      <c r="B31" s="349">
        <v>-1.97806434486459</v>
      </c>
      <c r="C31" s="299"/>
      <c r="D31" s="288">
        <v>0.16179731069006001</v>
      </c>
      <c r="E31" s="289">
        <v>10</v>
      </c>
      <c r="F31" s="289">
        <v>166.5</v>
      </c>
      <c r="G31" s="290">
        <v>0.79</v>
      </c>
      <c r="H31" s="291">
        <f t="shared" si="0"/>
        <v>-1.7050000000000001</v>
      </c>
      <c r="J31" s="291"/>
      <c r="K31" s="291"/>
      <c r="L31" s="291"/>
      <c r="M31" s="294" t="s">
        <v>67</v>
      </c>
    </row>
    <row r="32" spans="1:28">
      <c r="A32" s="295" t="s">
        <v>68</v>
      </c>
      <c r="B32" s="349">
        <v>-4.2433267523931404</v>
      </c>
      <c r="C32" s="299"/>
      <c r="D32" s="288">
        <v>0.21543706061278201</v>
      </c>
      <c r="E32" s="289">
        <v>6</v>
      </c>
      <c r="F32" s="289">
        <v>231.5</v>
      </c>
      <c r="G32" s="290">
        <v>2.4300000000000002</v>
      </c>
      <c r="H32" s="291">
        <f t="shared" si="0"/>
        <v>-3.9950000000000001</v>
      </c>
      <c r="I32" s="306" t="s">
        <v>69</v>
      </c>
      <c r="J32" s="307"/>
      <c r="K32" s="307"/>
      <c r="L32" s="308"/>
      <c r="M32" s="294" t="s">
        <v>70</v>
      </c>
    </row>
    <row r="33" spans="1:13">
      <c r="A33" s="295" t="s">
        <v>71</v>
      </c>
      <c r="B33" s="349">
        <v>-3.9308813053468801</v>
      </c>
      <c r="C33" s="299"/>
      <c r="D33" s="288">
        <v>0.129125206050696</v>
      </c>
      <c r="E33" s="289">
        <v>3</v>
      </c>
      <c r="F33" s="309">
        <v>192.7</v>
      </c>
      <c r="G33" s="290">
        <v>2.63</v>
      </c>
      <c r="H33" s="291">
        <f t="shared" si="0"/>
        <v>-3.8069999999999995</v>
      </c>
      <c r="I33" s="350" t="s">
        <v>736</v>
      </c>
      <c r="J33" s="311"/>
      <c r="K33" s="311"/>
      <c r="L33" s="312"/>
      <c r="M33" s="294" t="s">
        <v>72</v>
      </c>
    </row>
    <row r="34" spans="1:13">
      <c r="A34" s="285" t="s">
        <v>74</v>
      </c>
      <c r="B34" s="349">
        <v>-6.8211429607949503</v>
      </c>
      <c r="C34" s="299"/>
      <c r="D34" s="288">
        <v>0.14911462098310899</v>
      </c>
      <c r="E34" s="289">
        <v>6</v>
      </c>
      <c r="F34" s="289">
        <v>167</v>
      </c>
      <c r="G34" s="290">
        <v>6.32</v>
      </c>
      <c r="H34" s="291">
        <f t="shared" si="0"/>
        <v>-7.24</v>
      </c>
      <c r="I34" s="351" t="s">
        <v>737</v>
      </c>
      <c r="J34" s="314"/>
      <c r="K34" s="314"/>
      <c r="L34" s="316"/>
      <c r="M34" s="294" t="s">
        <v>75</v>
      </c>
    </row>
    <row r="35" spans="1:13">
      <c r="A35" s="295" t="s">
        <v>77</v>
      </c>
      <c r="B35" s="349">
        <v>-3.82462339341558</v>
      </c>
      <c r="C35" s="299"/>
      <c r="D35" s="288">
        <v>0.15809078703524701</v>
      </c>
      <c r="E35" s="289">
        <v>15</v>
      </c>
      <c r="F35" s="289">
        <v>191.5</v>
      </c>
      <c r="G35" s="290">
        <v>3.39</v>
      </c>
      <c r="H35" s="291">
        <f t="shared" si="0"/>
        <v>-4.5549999999999997</v>
      </c>
      <c r="I35" s="351" t="s">
        <v>738</v>
      </c>
      <c r="J35" s="314"/>
      <c r="K35" s="314"/>
      <c r="L35" s="316"/>
      <c r="M35" s="294" t="s">
        <v>78</v>
      </c>
    </row>
    <row r="36" spans="1:13">
      <c r="A36" s="305" t="s">
        <v>80</v>
      </c>
      <c r="B36" s="349">
        <v>-3.59851356596422</v>
      </c>
      <c r="C36" s="299"/>
      <c r="D36" s="288">
        <v>0.191150308906822</v>
      </c>
      <c r="E36" s="289">
        <v>3</v>
      </c>
      <c r="F36" s="289">
        <v>246.2</v>
      </c>
      <c r="G36" s="290">
        <v>3.32</v>
      </c>
      <c r="H36" s="291">
        <f t="shared" si="0"/>
        <v>-5.032</v>
      </c>
      <c r="I36" s="352" t="s">
        <v>739</v>
      </c>
      <c r="J36" s="314"/>
      <c r="K36" s="314"/>
      <c r="L36" s="316"/>
      <c r="M36" s="294" t="s">
        <v>81</v>
      </c>
    </row>
    <row r="37" spans="1:13">
      <c r="A37" s="305" t="s">
        <v>73</v>
      </c>
      <c r="B37" s="349">
        <v>-2.6352460516135499</v>
      </c>
      <c r="C37" s="299"/>
      <c r="D37" s="288">
        <v>0.19050575600734301</v>
      </c>
      <c r="E37" s="289">
        <v>4</v>
      </c>
      <c r="F37" s="289">
        <v>304</v>
      </c>
      <c r="G37" s="290">
        <v>1.74</v>
      </c>
      <c r="H37" s="291">
        <f t="shared" si="0"/>
        <v>-4.03</v>
      </c>
      <c r="I37" s="353" t="s">
        <v>740</v>
      </c>
      <c r="J37" s="314"/>
      <c r="K37" s="314"/>
      <c r="L37" s="316"/>
      <c r="M37" s="294" t="s">
        <v>83</v>
      </c>
    </row>
    <row r="38" spans="1:13">
      <c r="A38" s="285" t="s">
        <v>76</v>
      </c>
      <c r="B38" s="349">
        <v>-2.5668646100351098</v>
      </c>
      <c r="C38" s="299"/>
      <c r="D38" s="288">
        <v>0.13682393527498099</v>
      </c>
      <c r="E38" s="289">
        <v>7</v>
      </c>
      <c r="F38" s="289">
        <v>187</v>
      </c>
      <c r="G38" s="290">
        <v>-0.87</v>
      </c>
      <c r="H38" s="291">
        <f t="shared" si="0"/>
        <v>-0.25</v>
      </c>
      <c r="I38" s="353" t="s">
        <v>741</v>
      </c>
      <c r="J38" s="314"/>
      <c r="K38" s="314"/>
      <c r="L38" s="316"/>
      <c r="M38" s="318" t="s">
        <v>85</v>
      </c>
    </row>
    <row r="39" spans="1:13">
      <c r="A39" s="285" t="s">
        <v>87</v>
      </c>
      <c r="B39" s="349">
        <v>-2.3202194266412901</v>
      </c>
      <c r="C39" s="299"/>
      <c r="D39" s="288">
        <v>0.20462356367491999</v>
      </c>
      <c r="E39" s="289">
        <v>4</v>
      </c>
      <c r="F39" s="289">
        <v>221.5</v>
      </c>
      <c r="G39" s="290">
        <v>0.71</v>
      </c>
      <c r="H39" s="291">
        <f t="shared" si="0"/>
        <v>-2.1749999999999998</v>
      </c>
      <c r="I39" s="353" t="s">
        <v>742</v>
      </c>
      <c r="J39" s="314"/>
      <c r="K39" s="314"/>
      <c r="L39" s="316"/>
      <c r="M39" s="294" t="s">
        <v>88</v>
      </c>
    </row>
    <row r="40" spans="1:13">
      <c r="A40" s="285" t="s">
        <v>90</v>
      </c>
      <c r="B40" s="349">
        <v>-5.78656828519782</v>
      </c>
      <c r="C40" s="299"/>
      <c r="D40" s="288">
        <v>0.182746025644656</v>
      </c>
      <c r="E40" s="289">
        <v>6</v>
      </c>
      <c r="F40" s="289">
        <v>157.833333333333</v>
      </c>
      <c r="G40" s="290">
        <v>3.51</v>
      </c>
      <c r="H40" s="291">
        <f t="shared" si="0"/>
        <v>-4.3383333333333294</v>
      </c>
      <c r="I40" s="353" t="s">
        <v>743</v>
      </c>
      <c r="J40" s="256"/>
      <c r="K40" s="256"/>
      <c r="L40" s="258"/>
      <c r="M40" s="294" t="s">
        <v>91</v>
      </c>
    </row>
    <row r="41" spans="1:13">
      <c r="A41" s="295" t="s">
        <v>93</v>
      </c>
      <c r="B41" s="349">
        <v>-2.103142341041</v>
      </c>
      <c r="C41" s="299"/>
      <c r="D41" s="288">
        <v>0.12610247911779701</v>
      </c>
      <c r="E41" s="289">
        <v>8</v>
      </c>
      <c r="F41" s="289">
        <v>140</v>
      </c>
      <c r="G41" s="290">
        <v>0.35</v>
      </c>
      <c r="H41" s="291">
        <f t="shared" si="0"/>
        <v>-1</v>
      </c>
      <c r="I41" s="353" t="s">
        <v>744</v>
      </c>
      <c r="J41" s="256"/>
      <c r="K41" s="256"/>
      <c r="L41" s="258"/>
      <c r="M41" s="294" t="s">
        <v>94</v>
      </c>
    </row>
    <row r="42" spans="1:13">
      <c r="A42" s="295" t="s">
        <v>96</v>
      </c>
      <c r="B42" s="349">
        <v>-3.4949017086804899</v>
      </c>
      <c r="C42" s="299"/>
      <c r="D42" s="288">
        <v>0.14493441954544001</v>
      </c>
      <c r="E42" s="289">
        <v>7</v>
      </c>
      <c r="F42" s="289">
        <v>127.933333333333</v>
      </c>
      <c r="G42" s="290">
        <v>1.74</v>
      </c>
      <c r="H42" s="291">
        <f t="shared" si="0"/>
        <v>-2.2693333333333299</v>
      </c>
      <c r="I42" s="354" t="s">
        <v>745</v>
      </c>
      <c r="J42" s="256"/>
      <c r="K42" s="256"/>
      <c r="L42" s="258"/>
      <c r="M42" s="294" t="s">
        <v>97</v>
      </c>
    </row>
    <row r="43" spans="1:13">
      <c r="A43" s="295" t="s">
        <v>79</v>
      </c>
      <c r="B43" s="349">
        <v>-5.4196961624301903</v>
      </c>
      <c r="C43" s="299"/>
      <c r="D43" s="288">
        <v>0.148613886268708</v>
      </c>
      <c r="E43" s="289">
        <v>7</v>
      </c>
      <c r="F43" s="289">
        <v>176</v>
      </c>
      <c r="G43" s="290">
        <v>4.4800000000000004</v>
      </c>
      <c r="H43" s="291">
        <f t="shared" si="0"/>
        <v>-5.49</v>
      </c>
      <c r="I43" s="354" t="s">
        <v>746</v>
      </c>
      <c r="J43" s="256"/>
      <c r="K43" s="256"/>
      <c r="L43" s="258"/>
      <c r="M43" s="294" t="s">
        <v>99</v>
      </c>
    </row>
    <row r="44" spans="1:13">
      <c r="A44" s="285" t="s">
        <v>101</v>
      </c>
      <c r="B44" s="349">
        <v>-4.6349705450137604</v>
      </c>
      <c r="C44" s="299"/>
      <c r="D44" s="288">
        <v>0.12807114954002</v>
      </c>
      <c r="E44" s="289">
        <v>3</v>
      </c>
      <c r="F44" s="289">
        <v>159.69999999999999</v>
      </c>
      <c r="G44" s="290">
        <v>3.46</v>
      </c>
      <c r="H44" s="291">
        <f t="shared" si="0"/>
        <v>-4.3070000000000004</v>
      </c>
      <c r="I44" s="355" t="s">
        <v>747</v>
      </c>
      <c r="J44" s="263"/>
      <c r="K44" s="263"/>
      <c r="L44" s="265"/>
      <c r="M44" s="294" t="s">
        <v>102</v>
      </c>
    </row>
    <row r="45" spans="1:13">
      <c r="A45" s="295" t="s">
        <v>104</v>
      </c>
      <c r="B45" s="349">
        <v>-1.62319928682063</v>
      </c>
      <c r="C45" s="299"/>
      <c r="D45" s="288">
        <v>0.21683500301481101</v>
      </c>
      <c r="E45" s="289">
        <v>8</v>
      </c>
      <c r="F45" s="289">
        <v>142</v>
      </c>
      <c r="G45" s="290">
        <v>0.6</v>
      </c>
      <c r="H45" s="291">
        <f t="shared" si="0"/>
        <v>-1.27</v>
      </c>
      <c r="J45" s="291"/>
      <c r="K45" s="291"/>
      <c r="L45" s="291"/>
      <c r="M45" s="294" t="s">
        <v>105</v>
      </c>
    </row>
    <row r="46" spans="1:13">
      <c r="A46" s="295" t="s">
        <v>107</v>
      </c>
      <c r="B46" s="349">
        <v>-3.2511466813098102</v>
      </c>
      <c r="C46" s="299"/>
      <c r="D46" s="288">
        <v>0.18255878892749899</v>
      </c>
      <c r="E46" s="289">
        <v>20</v>
      </c>
      <c r="F46" s="289">
        <v>267</v>
      </c>
      <c r="G46" s="290">
        <v>1.58</v>
      </c>
      <c r="H46" s="291">
        <f t="shared" si="0"/>
        <v>-3.5</v>
      </c>
      <c r="I46" s="321" t="s">
        <v>133</v>
      </c>
      <c r="J46" s="322">
        <v>881</v>
      </c>
      <c r="K46" s="304"/>
      <c r="L46" s="291"/>
      <c r="M46" s="294" t="s">
        <v>108</v>
      </c>
    </row>
    <row r="47" spans="1:13">
      <c r="A47" s="285" t="s">
        <v>110</v>
      </c>
      <c r="B47" s="349">
        <v>-4.26958343190039</v>
      </c>
      <c r="C47" s="299"/>
      <c r="D47" s="288">
        <v>0.16704647063532599</v>
      </c>
      <c r="E47" s="289">
        <v>6</v>
      </c>
      <c r="F47" s="289">
        <v>110</v>
      </c>
      <c r="G47" s="290">
        <v>3.36</v>
      </c>
      <c r="H47" s="291">
        <f t="shared" si="0"/>
        <v>-3.71</v>
      </c>
      <c r="I47" s="321" t="s">
        <v>136</v>
      </c>
      <c r="J47" s="322">
        <v>164</v>
      </c>
      <c r="K47" s="304"/>
      <c r="L47" s="291"/>
      <c r="M47" s="294" t="s">
        <v>111</v>
      </c>
    </row>
    <row r="48" spans="1:13">
      <c r="A48" s="295" t="s">
        <v>82</v>
      </c>
      <c r="B48" s="349">
        <v>-3.4472460940701701</v>
      </c>
      <c r="C48" s="299"/>
      <c r="D48" s="288">
        <v>0.1716450131236</v>
      </c>
      <c r="E48" s="289">
        <v>7</v>
      </c>
      <c r="F48" s="289">
        <v>182</v>
      </c>
      <c r="G48" s="290">
        <v>2.67</v>
      </c>
      <c r="H48" s="291">
        <f t="shared" si="0"/>
        <v>-3.74</v>
      </c>
      <c r="I48" s="321" t="s">
        <v>139</v>
      </c>
      <c r="J48" s="322">
        <f>COUNTA(A23:A122)</f>
        <v>100</v>
      </c>
      <c r="K48" s="304"/>
      <c r="L48" s="291"/>
      <c r="M48" s="294" t="s">
        <v>113</v>
      </c>
    </row>
    <row r="49" spans="1:13">
      <c r="A49" s="295" t="s">
        <v>115</v>
      </c>
      <c r="B49" s="349">
        <v>-3.4660027366380901</v>
      </c>
      <c r="C49" s="299"/>
      <c r="D49" s="288">
        <v>0.12558353028546099</v>
      </c>
      <c r="E49" s="289">
        <v>4</v>
      </c>
      <c r="F49" s="289">
        <v>222</v>
      </c>
      <c r="G49" s="290">
        <v>2.56</v>
      </c>
      <c r="H49" s="291">
        <f t="shared" si="0"/>
        <v>-4.03</v>
      </c>
      <c r="I49" s="291"/>
      <c r="J49" s="291"/>
      <c r="K49" s="291"/>
      <c r="L49" s="291"/>
      <c r="M49" s="294" t="s">
        <v>116</v>
      </c>
    </row>
    <row r="50" spans="1:13">
      <c r="A50" s="295" t="s">
        <v>118</v>
      </c>
      <c r="B50" s="349">
        <v>-5.6585682646257496</v>
      </c>
      <c r="C50" s="299"/>
      <c r="D50" s="288">
        <v>0.15681339906647901</v>
      </c>
      <c r="E50" s="289">
        <v>6</v>
      </c>
      <c r="F50" s="289">
        <v>151</v>
      </c>
      <c r="G50" s="290">
        <v>3.27</v>
      </c>
      <c r="H50" s="291">
        <f t="shared" si="0"/>
        <v>-4.03</v>
      </c>
      <c r="I50" s="324" t="s">
        <v>144</v>
      </c>
      <c r="J50" s="307"/>
      <c r="K50" s="307"/>
      <c r="L50" s="308"/>
      <c r="M50" s="294" t="s">
        <v>119</v>
      </c>
    </row>
    <row r="51" spans="1:13">
      <c r="A51" s="285" t="s">
        <v>84</v>
      </c>
      <c r="B51" s="349">
        <v>-3.9051517931789599</v>
      </c>
      <c r="C51" s="299"/>
      <c r="D51" s="288">
        <v>0.12789394574374299</v>
      </c>
      <c r="E51" s="289">
        <v>5</v>
      </c>
      <c r="F51" s="289">
        <v>330</v>
      </c>
      <c r="G51" s="290">
        <v>2.87</v>
      </c>
      <c r="H51" s="291">
        <f t="shared" si="0"/>
        <v>-5.42</v>
      </c>
      <c r="I51" s="310" t="s">
        <v>769</v>
      </c>
      <c r="J51" s="311"/>
      <c r="K51" s="311"/>
      <c r="L51" s="312"/>
      <c r="M51" s="294" t="s">
        <v>120</v>
      </c>
    </row>
    <row r="52" spans="1:13">
      <c r="A52" s="295" t="s">
        <v>121</v>
      </c>
      <c r="B52" s="349">
        <v>-4.0728903949986801</v>
      </c>
      <c r="C52" s="299"/>
      <c r="D52" s="288">
        <v>0.18012800124370401</v>
      </c>
      <c r="E52" s="289">
        <v>3</v>
      </c>
      <c r="F52" s="289">
        <v>100</v>
      </c>
      <c r="G52" s="290">
        <v>3.53</v>
      </c>
      <c r="H52" s="291">
        <f t="shared" si="0"/>
        <v>-3.78</v>
      </c>
      <c r="I52" s="313" t="s">
        <v>770</v>
      </c>
      <c r="J52" s="314"/>
      <c r="K52" s="314"/>
      <c r="L52" s="316"/>
      <c r="M52" s="294" t="s">
        <v>122</v>
      </c>
    </row>
    <row r="53" spans="1:13">
      <c r="A53" s="285" t="s">
        <v>123</v>
      </c>
      <c r="B53" s="349">
        <v>-4.0301264320366297</v>
      </c>
      <c r="C53" s="299"/>
      <c r="D53" s="288">
        <v>0.180621047507217</v>
      </c>
      <c r="E53" s="289">
        <v>16</v>
      </c>
      <c r="F53" s="289">
        <v>262.5</v>
      </c>
      <c r="G53" s="290">
        <v>1.9</v>
      </c>
      <c r="H53" s="291">
        <f t="shared" si="0"/>
        <v>-3.7749999999999999</v>
      </c>
      <c r="I53" s="313"/>
      <c r="J53" s="314"/>
      <c r="K53" s="314"/>
      <c r="L53" s="316"/>
      <c r="M53" s="294" t="s">
        <v>124</v>
      </c>
    </row>
    <row r="54" spans="1:13">
      <c r="A54" s="295" t="s">
        <v>125</v>
      </c>
      <c r="B54" s="349">
        <v>-3.3026052792393101</v>
      </c>
      <c r="C54" s="299"/>
      <c r="D54" s="288">
        <v>0.2215624426866</v>
      </c>
      <c r="E54" s="289">
        <v>4</v>
      </c>
      <c r="F54" s="289">
        <v>328.85</v>
      </c>
      <c r="G54" s="290">
        <v>1.87</v>
      </c>
      <c r="H54" s="291">
        <f t="shared" si="0"/>
        <v>-4.4085000000000001</v>
      </c>
      <c r="I54" s="313"/>
      <c r="J54" s="314"/>
      <c r="K54" s="314"/>
      <c r="L54" s="316"/>
      <c r="M54" s="294" t="s">
        <v>126</v>
      </c>
    </row>
    <row r="55" spans="1:13">
      <c r="A55" s="295" t="s">
        <v>127</v>
      </c>
      <c r="B55" s="349">
        <v>-5.1714014068049803</v>
      </c>
      <c r="C55" s="299"/>
      <c r="D55" s="288">
        <v>0.184508117807134</v>
      </c>
      <c r="E55" s="289">
        <v>33</v>
      </c>
      <c r="F55" s="289">
        <v>167.5</v>
      </c>
      <c r="G55" s="290">
        <v>4.3600000000000003</v>
      </c>
      <c r="H55" s="291">
        <f t="shared" si="0"/>
        <v>-5.2850000000000001</v>
      </c>
      <c r="I55" s="313"/>
      <c r="J55" s="314"/>
      <c r="K55" s="314"/>
      <c r="L55" s="316"/>
      <c r="M55" s="294" t="s">
        <v>128</v>
      </c>
    </row>
    <row r="56" spans="1:13">
      <c r="A56" s="295" t="s">
        <v>86</v>
      </c>
      <c r="B56" s="349">
        <v>-4.4108587571536502</v>
      </c>
      <c r="C56" s="299"/>
      <c r="D56" s="288">
        <v>0.15609203233531499</v>
      </c>
      <c r="E56" s="289">
        <v>3</v>
      </c>
      <c r="F56" s="289">
        <v>223</v>
      </c>
      <c r="G56" s="290">
        <v>2.99</v>
      </c>
      <c r="H56" s="291">
        <f t="shared" si="0"/>
        <v>-4.4700000000000006</v>
      </c>
      <c r="I56" s="313"/>
      <c r="J56" s="314"/>
      <c r="K56" s="314"/>
      <c r="L56" s="316"/>
      <c r="M56" s="294" t="s">
        <v>129</v>
      </c>
    </row>
    <row r="57" spans="1:13">
      <c r="A57" s="295" t="s">
        <v>89</v>
      </c>
      <c r="B57" s="349">
        <v>-4.0323485632135796</v>
      </c>
      <c r="C57" s="299"/>
      <c r="D57" s="288">
        <v>0.20872343532408</v>
      </c>
      <c r="E57" s="289">
        <v>3</v>
      </c>
      <c r="F57" s="289">
        <v>210.5</v>
      </c>
      <c r="G57" s="290">
        <v>2.72</v>
      </c>
      <c r="H57" s="291">
        <f t="shared" si="0"/>
        <v>-4.0750000000000002</v>
      </c>
      <c r="I57" s="313"/>
      <c r="J57" s="314"/>
      <c r="K57" s="314"/>
      <c r="L57" s="316"/>
      <c r="M57" s="294" t="s">
        <v>130</v>
      </c>
    </row>
    <row r="58" spans="1:13">
      <c r="A58" s="295" t="s">
        <v>131</v>
      </c>
      <c r="B58" s="349">
        <v>-4.3941026049567604</v>
      </c>
      <c r="C58" s="299"/>
      <c r="D58" s="288">
        <v>0.12973190134165599</v>
      </c>
      <c r="E58" s="289">
        <v>3</v>
      </c>
      <c r="F58" s="289">
        <v>209.75</v>
      </c>
      <c r="G58" s="290">
        <v>3.37</v>
      </c>
      <c r="H58" s="291">
        <f t="shared" si="0"/>
        <v>-4.7175000000000002</v>
      </c>
      <c r="I58" s="313"/>
      <c r="J58" s="314"/>
      <c r="K58" s="314"/>
      <c r="L58" s="316"/>
      <c r="M58" s="294" t="s">
        <v>132</v>
      </c>
    </row>
    <row r="59" spans="1:13">
      <c r="A59" s="285" t="s">
        <v>92</v>
      </c>
      <c r="B59" s="349">
        <v>-3.0639528762572699</v>
      </c>
      <c r="C59" s="299"/>
      <c r="D59" s="288">
        <v>0.14124198841117799</v>
      </c>
      <c r="E59" s="289">
        <v>3</v>
      </c>
      <c r="F59" s="289">
        <v>53.5</v>
      </c>
      <c r="G59" s="290">
        <v>3.43</v>
      </c>
      <c r="H59" s="291">
        <f t="shared" si="0"/>
        <v>-3.2150000000000003</v>
      </c>
      <c r="I59" s="313"/>
      <c r="J59" s="314"/>
      <c r="K59" s="314"/>
      <c r="L59" s="316"/>
      <c r="M59" s="294" t="s">
        <v>134</v>
      </c>
    </row>
    <row r="60" spans="1:13">
      <c r="A60" s="285" t="s">
        <v>135</v>
      </c>
      <c r="B60" s="349">
        <v>-1.53280095493375</v>
      </c>
      <c r="C60" s="299"/>
      <c r="D60" s="288">
        <v>0.170692818664089</v>
      </c>
      <c r="E60" s="289">
        <v>6</v>
      </c>
      <c r="F60" s="289">
        <v>270</v>
      </c>
      <c r="G60" s="290">
        <v>0.05</v>
      </c>
      <c r="H60" s="291">
        <f t="shared" si="0"/>
        <v>-2</v>
      </c>
      <c r="I60" s="313"/>
      <c r="J60" s="314"/>
      <c r="K60" s="314"/>
      <c r="L60" s="316"/>
      <c r="M60" s="294" t="s">
        <v>137</v>
      </c>
    </row>
    <row r="61" spans="1:13">
      <c r="A61" s="295" t="s">
        <v>138</v>
      </c>
      <c r="B61" s="349">
        <v>-2.50069615062456</v>
      </c>
      <c r="C61" s="299"/>
      <c r="D61" s="288">
        <v>0.206147596831632</v>
      </c>
      <c r="E61" s="289">
        <v>3</v>
      </c>
      <c r="F61" s="289">
        <v>143.75</v>
      </c>
      <c r="G61" s="290">
        <v>1.6</v>
      </c>
      <c r="H61" s="291">
        <f t="shared" si="0"/>
        <v>-2.2875000000000001</v>
      </c>
      <c r="I61" s="313"/>
      <c r="J61" s="314"/>
      <c r="K61" s="314"/>
      <c r="L61" s="316"/>
      <c r="M61" s="294" t="s">
        <v>140</v>
      </c>
    </row>
    <row r="62" spans="1:13">
      <c r="A62" s="285" t="s">
        <v>141</v>
      </c>
      <c r="B62" s="349">
        <v>-4.1940380113062599</v>
      </c>
      <c r="C62" s="299"/>
      <c r="D62" s="288">
        <v>0.180214226227635</v>
      </c>
      <c r="E62" s="289">
        <v>5</v>
      </c>
      <c r="F62" s="289">
        <v>214.5</v>
      </c>
      <c r="G62" s="290">
        <v>3.61</v>
      </c>
      <c r="H62" s="291">
        <f t="shared" si="0"/>
        <v>-5.0049999999999999</v>
      </c>
      <c r="I62" s="313"/>
      <c r="J62" s="314"/>
      <c r="K62" s="314"/>
      <c r="L62" s="316"/>
      <c r="M62" s="294" t="s">
        <v>142</v>
      </c>
    </row>
    <row r="63" spans="1:13">
      <c r="A63" s="295" t="s">
        <v>143</v>
      </c>
      <c r="B63" s="349">
        <v>-4.3093154952686596</v>
      </c>
      <c r="C63" s="299"/>
      <c r="D63" s="288">
        <v>0.19225415374507401</v>
      </c>
      <c r="E63" s="289">
        <v>8</v>
      </c>
      <c r="F63" s="289">
        <v>255.3</v>
      </c>
      <c r="G63" s="290">
        <v>3.82</v>
      </c>
      <c r="H63" s="291">
        <f t="shared" si="0"/>
        <v>-5.6230000000000002</v>
      </c>
      <c r="I63" s="313"/>
      <c r="J63" s="314"/>
      <c r="K63" s="314"/>
      <c r="L63" s="316"/>
      <c r="M63" s="294" t="s">
        <v>145</v>
      </c>
    </row>
    <row r="64" spans="1:13">
      <c r="A64" s="295" t="s">
        <v>146</v>
      </c>
      <c r="B64" s="349">
        <v>-3.5046145602436298</v>
      </c>
      <c r="C64" s="299"/>
      <c r="D64" s="288">
        <v>0.17</v>
      </c>
      <c r="E64" s="289">
        <v>3</v>
      </c>
      <c r="F64" s="289">
        <v>189</v>
      </c>
      <c r="G64" s="290">
        <v>1.34</v>
      </c>
      <c r="H64" s="291">
        <f t="shared" si="0"/>
        <v>-2.4800000000000004</v>
      </c>
      <c r="I64" s="313"/>
      <c r="J64" s="314"/>
      <c r="K64" s="314"/>
      <c r="L64" s="316"/>
      <c r="M64" s="294" t="s">
        <v>148</v>
      </c>
    </row>
    <row r="65" spans="1:13">
      <c r="A65" s="295" t="s">
        <v>149</v>
      </c>
      <c r="B65" s="349">
        <v>-2.8651565373774699</v>
      </c>
      <c r="C65" s="299"/>
      <c r="D65" s="288">
        <v>0.19794493160510701</v>
      </c>
      <c r="E65" s="289">
        <v>4</v>
      </c>
      <c r="F65" s="289">
        <v>243.5</v>
      </c>
      <c r="G65" s="290">
        <v>1.34</v>
      </c>
      <c r="H65" s="291">
        <f t="shared" si="0"/>
        <v>-3.0250000000000004</v>
      </c>
      <c r="I65" s="313"/>
      <c r="J65" s="314"/>
      <c r="K65" s="314"/>
      <c r="L65" s="316"/>
      <c r="M65" s="294" t="s">
        <v>151</v>
      </c>
    </row>
    <row r="66" spans="1:13">
      <c r="A66" s="285" t="s">
        <v>95</v>
      </c>
      <c r="B66" s="349">
        <v>-2.0067255702536202</v>
      </c>
      <c r="C66" s="299"/>
      <c r="D66" s="288">
        <v>0.210560990742934</v>
      </c>
      <c r="E66" s="289">
        <v>3</v>
      </c>
      <c r="F66" s="289">
        <v>36.5</v>
      </c>
      <c r="G66" s="290">
        <v>2.74</v>
      </c>
      <c r="H66" s="291">
        <f t="shared" si="0"/>
        <v>-2.3550000000000004</v>
      </c>
      <c r="I66" s="313"/>
      <c r="J66" s="314"/>
      <c r="K66" s="314"/>
      <c r="L66" s="316"/>
      <c r="M66" s="294" t="s">
        <v>152</v>
      </c>
    </row>
    <row r="67" spans="1:13">
      <c r="A67" s="305" t="s">
        <v>153</v>
      </c>
      <c r="B67" s="349">
        <v>-4.3306499373235896</v>
      </c>
      <c r="C67" s="299"/>
      <c r="D67" s="288">
        <v>0.21092434073951899</v>
      </c>
      <c r="E67" s="289">
        <v>10</v>
      </c>
      <c r="F67" s="289">
        <v>186</v>
      </c>
      <c r="G67" s="290">
        <v>3.4</v>
      </c>
      <c r="H67" s="291">
        <f t="shared" si="0"/>
        <v>-4.51</v>
      </c>
      <c r="I67" s="313"/>
      <c r="J67" s="314"/>
      <c r="K67" s="314"/>
      <c r="L67" s="316"/>
      <c r="M67" s="294" t="s">
        <v>154</v>
      </c>
    </row>
    <row r="68" spans="1:13">
      <c r="A68" s="285" t="s">
        <v>98</v>
      </c>
      <c r="B68" s="349">
        <v>-3.2866756748783699</v>
      </c>
      <c r="C68" s="299"/>
      <c r="D68" s="288">
        <v>0.18695478693957199</v>
      </c>
      <c r="E68" s="289">
        <v>3</v>
      </c>
      <c r="F68" s="289">
        <v>253</v>
      </c>
      <c r="G68" s="290">
        <v>2.35</v>
      </c>
      <c r="H68" s="291">
        <f t="shared" si="0"/>
        <v>-4.1300000000000008</v>
      </c>
      <c r="I68" s="313"/>
      <c r="J68" s="314"/>
      <c r="K68" s="314"/>
      <c r="L68" s="316"/>
      <c r="M68" s="294" t="s">
        <v>155</v>
      </c>
    </row>
    <row r="69" spans="1:13">
      <c r="A69" s="305" t="s">
        <v>156</v>
      </c>
      <c r="B69" s="349">
        <v>-3.9653062294646002</v>
      </c>
      <c r="C69" s="299"/>
      <c r="D69" s="288">
        <v>0.20491085989689101</v>
      </c>
      <c r="E69" s="289">
        <v>23</v>
      </c>
      <c r="F69" s="289">
        <v>111</v>
      </c>
      <c r="G69" s="290">
        <v>3.68</v>
      </c>
      <c r="H69" s="291">
        <f t="shared" si="0"/>
        <v>-4.04</v>
      </c>
      <c r="I69" s="313"/>
      <c r="J69" s="314"/>
      <c r="K69" s="314"/>
      <c r="L69" s="316"/>
      <c r="M69" s="294" t="s">
        <v>157</v>
      </c>
    </row>
    <row r="70" spans="1:13">
      <c r="A70" s="285" t="s">
        <v>158</v>
      </c>
      <c r="B70" s="349">
        <v>-3.6031523293204799</v>
      </c>
      <c r="C70" s="299"/>
      <c r="D70" s="288">
        <v>0.15545016183846899</v>
      </c>
      <c r="E70" s="289">
        <v>6</v>
      </c>
      <c r="F70" s="289">
        <v>250</v>
      </c>
      <c r="G70" s="290">
        <v>-0.04</v>
      </c>
      <c r="H70" s="291">
        <f t="shared" si="0"/>
        <v>-1.71</v>
      </c>
      <c r="I70" s="313"/>
      <c r="J70" s="314"/>
      <c r="K70" s="314"/>
      <c r="L70" s="316"/>
      <c r="M70" s="294" t="s">
        <v>159</v>
      </c>
    </row>
    <row r="71" spans="1:13">
      <c r="A71" s="295" t="s">
        <v>160</v>
      </c>
      <c r="B71" s="349">
        <v>-1.6926913524201099</v>
      </c>
      <c r="C71" s="299"/>
      <c r="D71" s="288">
        <v>0.13261436390895101</v>
      </c>
      <c r="E71" s="289">
        <v>3</v>
      </c>
      <c r="F71" s="289">
        <v>250</v>
      </c>
      <c r="G71" s="290">
        <v>-1.97</v>
      </c>
      <c r="H71" s="291">
        <f t="shared" si="0"/>
        <v>0.21999999999999975</v>
      </c>
      <c r="I71" s="313"/>
      <c r="J71" s="314"/>
      <c r="K71" s="314"/>
      <c r="L71" s="316"/>
      <c r="M71" s="294" t="s">
        <v>161</v>
      </c>
    </row>
    <row r="72" spans="1:13">
      <c r="A72" s="295" t="s">
        <v>162</v>
      </c>
      <c r="B72" s="349">
        <v>-3.7808010110479899</v>
      </c>
      <c r="C72" s="299"/>
      <c r="D72" s="288">
        <v>0.21159815676624999</v>
      </c>
      <c r="E72" s="289">
        <v>9</v>
      </c>
      <c r="F72" s="289">
        <v>208.5</v>
      </c>
      <c r="G72" s="290">
        <v>2.08</v>
      </c>
      <c r="H72" s="291">
        <f t="shared" si="0"/>
        <v>-3.415</v>
      </c>
      <c r="I72" s="313"/>
      <c r="J72" s="314"/>
      <c r="K72" s="314"/>
      <c r="L72" s="316"/>
      <c r="M72" s="294" t="s">
        <v>163</v>
      </c>
    </row>
    <row r="73" spans="1:13">
      <c r="A73" s="295" t="s">
        <v>164</v>
      </c>
      <c r="B73" s="349">
        <v>-3.5871740410485602</v>
      </c>
      <c r="C73" s="299"/>
      <c r="D73" s="288">
        <v>0.19001512437058701</v>
      </c>
      <c r="E73" s="289">
        <v>15</v>
      </c>
      <c r="F73" s="289">
        <v>220</v>
      </c>
      <c r="G73" s="290">
        <v>2.69</v>
      </c>
      <c r="H73" s="291">
        <f t="shared" si="0"/>
        <v>-4.1399999999999997</v>
      </c>
      <c r="I73" s="313"/>
      <c r="J73" s="314"/>
      <c r="K73" s="314"/>
      <c r="L73" s="316"/>
      <c r="M73" s="294" t="s">
        <v>165</v>
      </c>
    </row>
    <row r="74" spans="1:13">
      <c r="A74" s="295" t="s">
        <v>166</v>
      </c>
      <c r="B74" s="349">
        <v>-4.5855063981414599</v>
      </c>
      <c r="C74" s="299"/>
      <c r="D74" s="288">
        <v>0.169781830230266</v>
      </c>
      <c r="E74" s="289">
        <v>10</v>
      </c>
      <c r="F74" s="289">
        <v>151</v>
      </c>
      <c r="G74" s="290">
        <v>4.43</v>
      </c>
      <c r="H74" s="291">
        <f t="shared" si="0"/>
        <v>-5.1899999999999995</v>
      </c>
      <c r="I74" s="313"/>
      <c r="J74" s="314"/>
      <c r="K74" s="314"/>
      <c r="L74" s="316"/>
      <c r="M74" s="294" t="s">
        <v>167</v>
      </c>
    </row>
    <row r="75" spans="1:13">
      <c r="A75" s="305" t="s">
        <v>100</v>
      </c>
      <c r="B75" s="349">
        <v>-5.0778720785865499</v>
      </c>
      <c r="C75" s="299"/>
      <c r="D75" s="288">
        <v>0.19416214604145601</v>
      </c>
      <c r="E75" s="289">
        <v>7</v>
      </c>
      <c r="F75" s="289">
        <v>154.5</v>
      </c>
      <c r="G75" s="290">
        <v>4.22</v>
      </c>
      <c r="H75" s="291">
        <f t="shared" si="0"/>
        <v>-5.0149999999999997</v>
      </c>
      <c r="I75" s="313"/>
      <c r="J75" s="314"/>
      <c r="K75" s="314"/>
      <c r="L75" s="316"/>
      <c r="M75" s="294" t="s">
        <v>168</v>
      </c>
    </row>
    <row r="76" spans="1:13">
      <c r="A76" s="295" t="s">
        <v>169</v>
      </c>
      <c r="B76" s="349">
        <v>-4.7630242395285602</v>
      </c>
      <c r="C76" s="299"/>
      <c r="D76" s="288">
        <v>0.16048013551961601</v>
      </c>
      <c r="E76" s="289">
        <v>5</v>
      </c>
      <c r="F76" s="289">
        <v>167.75</v>
      </c>
      <c r="G76" s="290">
        <v>2.87</v>
      </c>
      <c r="H76" s="291">
        <f t="shared" si="0"/>
        <v>-3.7975000000000003</v>
      </c>
      <c r="I76" s="313"/>
      <c r="J76" s="314"/>
      <c r="K76" s="314"/>
      <c r="L76" s="316"/>
      <c r="M76" s="294" t="s">
        <v>170</v>
      </c>
    </row>
    <row r="77" spans="1:13">
      <c r="A77" s="295" t="s">
        <v>171</v>
      </c>
      <c r="B77" s="349">
        <v>-4.6779194678538296</v>
      </c>
      <c r="C77" s="299"/>
      <c r="D77" s="288">
        <v>0.22239504833634899</v>
      </c>
      <c r="E77" s="289">
        <v>21</v>
      </c>
      <c r="F77" s="289">
        <v>159</v>
      </c>
      <c r="G77" s="290">
        <v>3.93</v>
      </c>
      <c r="H77" s="291">
        <f t="shared" si="0"/>
        <v>-4.7700000000000005</v>
      </c>
      <c r="I77" s="313"/>
      <c r="J77" s="314"/>
      <c r="K77" s="314"/>
      <c r="L77" s="316"/>
      <c r="M77" s="294" t="s">
        <v>172</v>
      </c>
    </row>
    <row r="78" spans="1:13">
      <c r="A78" s="295" t="s">
        <v>173</v>
      </c>
      <c r="B78" s="349">
        <v>-3.5778581233325499</v>
      </c>
      <c r="C78" s="299"/>
      <c r="D78" s="288">
        <v>0.21209434799218399</v>
      </c>
      <c r="E78" s="289">
        <v>5</v>
      </c>
      <c r="F78" s="289">
        <v>213.5</v>
      </c>
      <c r="G78" s="290">
        <v>3.04</v>
      </c>
      <c r="H78" s="291">
        <f t="shared" si="0"/>
        <v>-4.4249999999999998</v>
      </c>
      <c r="I78" s="313"/>
      <c r="J78" s="314"/>
      <c r="K78" s="314"/>
      <c r="L78" s="316"/>
      <c r="M78" s="294" t="s">
        <v>174</v>
      </c>
    </row>
    <row r="79" spans="1:13">
      <c r="A79" s="295" t="s">
        <v>175</v>
      </c>
      <c r="B79" s="349">
        <v>-4.8130274413590097</v>
      </c>
      <c r="C79" s="299"/>
      <c r="D79" s="288">
        <v>0.14072241564069299</v>
      </c>
      <c r="E79" s="289">
        <v>11</v>
      </c>
      <c r="F79" s="289">
        <v>146</v>
      </c>
      <c r="G79" s="290">
        <v>4.21</v>
      </c>
      <c r="H79" s="291">
        <f t="shared" si="0"/>
        <v>-4.92</v>
      </c>
      <c r="I79" s="313"/>
      <c r="J79" s="314"/>
      <c r="K79" s="314"/>
      <c r="L79" s="316"/>
      <c r="M79" s="294" t="s">
        <v>176</v>
      </c>
    </row>
    <row r="80" spans="1:13">
      <c r="A80" s="295" t="s">
        <v>177</v>
      </c>
      <c r="B80" s="349">
        <v>-4.30572978809953</v>
      </c>
      <c r="C80" s="299"/>
      <c r="D80" s="288">
        <v>0.21748916450754399</v>
      </c>
      <c r="E80" s="289">
        <v>5</v>
      </c>
      <c r="F80" s="289">
        <v>92.3333333333333</v>
      </c>
      <c r="G80" s="290">
        <v>4.21</v>
      </c>
      <c r="H80" s="291">
        <f t="shared" si="0"/>
        <v>-4.3833333333333329</v>
      </c>
      <c r="I80" s="313"/>
      <c r="J80" s="314"/>
      <c r="K80" s="314"/>
      <c r="L80" s="316"/>
      <c r="M80" s="294" t="s">
        <v>178</v>
      </c>
    </row>
    <row r="81" spans="1:13">
      <c r="A81" s="285" t="s">
        <v>179</v>
      </c>
      <c r="B81" s="349">
        <v>-4.1956808499351501</v>
      </c>
      <c r="C81" s="299"/>
      <c r="D81" s="288">
        <v>0.20531013145176399</v>
      </c>
      <c r="E81" s="289">
        <v>8</v>
      </c>
      <c r="F81" s="289">
        <v>256</v>
      </c>
      <c r="G81" s="290">
        <v>2.71</v>
      </c>
      <c r="H81" s="291">
        <f t="shared" si="0"/>
        <v>-4.5199999999999996</v>
      </c>
      <c r="I81" s="313"/>
      <c r="J81" s="314"/>
      <c r="K81" s="314"/>
      <c r="L81" s="316"/>
      <c r="M81" s="294" t="s">
        <v>180</v>
      </c>
    </row>
    <row r="82" spans="1:13">
      <c r="A82" s="285" t="s">
        <v>181</v>
      </c>
      <c r="B82" s="349">
        <v>-3.4740609808046701</v>
      </c>
      <c r="C82" s="299"/>
      <c r="D82" s="288">
        <v>0.211767851422238</v>
      </c>
      <c r="E82" s="289">
        <v>3</v>
      </c>
      <c r="F82" s="289">
        <v>80</v>
      </c>
      <c r="G82" s="290">
        <v>3.37</v>
      </c>
      <c r="H82" s="291">
        <f t="shared" si="0"/>
        <v>-3.42</v>
      </c>
      <c r="I82" s="313"/>
      <c r="J82" s="314"/>
      <c r="K82" s="314"/>
      <c r="L82" s="316"/>
      <c r="M82" s="294" t="s">
        <v>182</v>
      </c>
    </row>
    <row r="83" spans="1:13">
      <c r="A83" s="285" t="s">
        <v>183</v>
      </c>
      <c r="B83" s="349">
        <v>-3.5201493727075399</v>
      </c>
      <c r="C83" s="299"/>
      <c r="D83" s="288">
        <v>0.16217657762412199</v>
      </c>
      <c r="E83" s="289">
        <v>17</v>
      </c>
      <c r="F83" s="289">
        <v>153</v>
      </c>
      <c r="G83" s="290">
        <v>3.04</v>
      </c>
      <c r="H83" s="291">
        <f t="shared" si="0"/>
        <v>-3.8200000000000003</v>
      </c>
      <c r="I83" s="313"/>
      <c r="J83" s="314"/>
      <c r="K83" s="314"/>
      <c r="L83" s="316"/>
      <c r="M83" s="294" t="s">
        <v>184</v>
      </c>
    </row>
    <row r="84" spans="1:13">
      <c r="A84" s="295" t="s">
        <v>185</v>
      </c>
      <c r="B84" s="349">
        <v>-5.5202212707961396</v>
      </c>
      <c r="C84" s="299"/>
      <c r="D84" s="288">
        <v>0.204488274966239</v>
      </c>
      <c r="E84" s="289">
        <v>3</v>
      </c>
      <c r="F84" s="289">
        <v>349.84</v>
      </c>
      <c r="G84" s="290">
        <v>4.75</v>
      </c>
      <c r="H84" s="291">
        <f t="shared" si="0"/>
        <v>-7.4984000000000002</v>
      </c>
      <c r="I84" s="313"/>
      <c r="J84" s="314"/>
      <c r="K84" s="314"/>
      <c r="L84" s="316"/>
      <c r="M84" s="294" t="s">
        <v>186</v>
      </c>
    </row>
    <row r="85" spans="1:13">
      <c r="A85" s="295" t="s">
        <v>187</v>
      </c>
      <c r="B85" s="349">
        <v>-3.5460246783715101</v>
      </c>
      <c r="C85" s="299"/>
      <c r="D85" s="288">
        <v>0.14358294446577699</v>
      </c>
      <c r="E85" s="289">
        <v>6</v>
      </c>
      <c r="F85" s="289">
        <v>248</v>
      </c>
      <c r="G85" s="290">
        <v>2.65</v>
      </c>
      <c r="H85" s="291">
        <f t="shared" si="0"/>
        <v>-4.38</v>
      </c>
      <c r="I85" s="313"/>
      <c r="J85" s="314"/>
      <c r="K85" s="314"/>
      <c r="L85" s="316"/>
      <c r="M85" s="294" t="s">
        <v>188</v>
      </c>
    </row>
    <row r="86" spans="1:13">
      <c r="A86" s="295" t="s">
        <v>189</v>
      </c>
      <c r="B86" s="349">
        <v>-3.2458989153692999</v>
      </c>
      <c r="C86" s="299"/>
      <c r="D86" s="288">
        <v>0.153840969889913</v>
      </c>
      <c r="E86" s="289">
        <v>11</v>
      </c>
      <c r="F86" s="289">
        <v>173</v>
      </c>
      <c r="G86" s="290">
        <v>2.1800000000000002</v>
      </c>
      <c r="H86" s="291">
        <f t="shared" si="0"/>
        <v>-3.16</v>
      </c>
      <c r="I86" s="313"/>
      <c r="J86" s="314"/>
      <c r="K86" s="314"/>
      <c r="L86" s="316"/>
      <c r="M86" s="294" t="s">
        <v>190</v>
      </c>
    </row>
    <row r="87" spans="1:13">
      <c r="A87" s="295" t="s">
        <v>191</v>
      </c>
      <c r="B87" s="349">
        <v>-3.9022762561017998</v>
      </c>
      <c r="C87" s="299"/>
      <c r="D87" s="288">
        <v>0.14176528631434901</v>
      </c>
      <c r="E87" s="289">
        <v>5</v>
      </c>
      <c r="F87" s="289">
        <v>143.75</v>
      </c>
      <c r="G87" s="290">
        <v>2.76</v>
      </c>
      <c r="H87" s="291">
        <f t="shared" ref="H87:H122" si="1">0.5-G87-0.01*(F87-25)</f>
        <v>-3.4474999999999998</v>
      </c>
      <c r="I87" s="313"/>
      <c r="J87" s="314"/>
      <c r="K87" s="314"/>
      <c r="L87" s="316"/>
      <c r="M87" s="294" t="s">
        <v>192</v>
      </c>
    </row>
    <row r="88" spans="1:13">
      <c r="A88" s="295" t="s">
        <v>193</v>
      </c>
      <c r="B88" s="349">
        <v>-2.4689785673156801</v>
      </c>
      <c r="C88" s="299"/>
      <c r="D88" s="288">
        <v>0.16213928191469301</v>
      </c>
      <c r="E88" s="289">
        <v>19</v>
      </c>
      <c r="F88" s="289">
        <v>220.5</v>
      </c>
      <c r="G88" s="290">
        <v>1.27</v>
      </c>
      <c r="H88" s="291">
        <f t="shared" si="1"/>
        <v>-2.7250000000000001</v>
      </c>
      <c r="I88" s="313"/>
      <c r="J88" s="314"/>
      <c r="K88" s="314"/>
      <c r="L88" s="316"/>
      <c r="M88" s="294" t="s">
        <v>194</v>
      </c>
    </row>
    <row r="89" spans="1:13">
      <c r="A89" s="295" t="s">
        <v>195</v>
      </c>
      <c r="B89" s="349">
        <v>-4.3820458110589602</v>
      </c>
      <c r="C89" s="299"/>
      <c r="D89" s="288">
        <v>0.16127920198135701</v>
      </c>
      <c r="E89" s="289">
        <v>5</v>
      </c>
      <c r="F89" s="289">
        <v>214</v>
      </c>
      <c r="G89" s="290">
        <v>3.83</v>
      </c>
      <c r="H89" s="291">
        <f t="shared" si="1"/>
        <v>-5.2200000000000006</v>
      </c>
      <c r="I89" s="313"/>
      <c r="J89" s="314"/>
      <c r="K89" s="314"/>
      <c r="L89" s="316"/>
      <c r="M89" s="294" t="s">
        <v>196</v>
      </c>
    </row>
    <row r="90" spans="1:13">
      <c r="A90" s="305" t="s">
        <v>197</v>
      </c>
      <c r="B90" s="349">
        <v>-3.8614018942435502</v>
      </c>
      <c r="C90" s="299"/>
      <c r="D90" s="288">
        <v>0.13869006117838001</v>
      </c>
      <c r="E90" s="289">
        <v>3</v>
      </c>
      <c r="F90" s="289">
        <v>176</v>
      </c>
      <c r="G90" s="290">
        <v>2.88</v>
      </c>
      <c r="H90" s="291">
        <f t="shared" si="1"/>
        <v>-3.8899999999999997</v>
      </c>
      <c r="I90" s="313"/>
      <c r="J90" s="314"/>
      <c r="K90" s="314"/>
      <c r="L90" s="316"/>
      <c r="M90" s="294" t="s">
        <v>198</v>
      </c>
    </row>
    <row r="91" spans="1:13">
      <c r="A91" s="285" t="s">
        <v>199</v>
      </c>
      <c r="B91" s="349">
        <v>-2.72694865584024</v>
      </c>
      <c r="C91" s="299"/>
      <c r="D91" s="288">
        <v>0.12598340861886001</v>
      </c>
      <c r="E91" s="289">
        <v>14</v>
      </c>
      <c r="F91" s="289">
        <v>253.5</v>
      </c>
      <c r="G91" s="290">
        <v>1.54</v>
      </c>
      <c r="H91" s="291">
        <f t="shared" si="1"/>
        <v>-3.3250000000000002</v>
      </c>
      <c r="I91" s="313"/>
      <c r="J91" s="314"/>
      <c r="K91" s="314"/>
      <c r="L91" s="316"/>
      <c r="M91" s="294" t="s">
        <v>200</v>
      </c>
    </row>
    <row r="92" spans="1:13">
      <c r="A92" s="295" t="s">
        <v>201</v>
      </c>
      <c r="B92" s="349">
        <v>-3.7410523242243001</v>
      </c>
      <c r="C92" s="299"/>
      <c r="D92" s="288">
        <v>0.16504944177542499</v>
      </c>
      <c r="E92" s="289">
        <v>5</v>
      </c>
      <c r="F92" s="289">
        <v>205.5</v>
      </c>
      <c r="G92" s="290">
        <v>2.4500000000000002</v>
      </c>
      <c r="H92" s="291">
        <f t="shared" si="1"/>
        <v>-3.7549999999999999</v>
      </c>
      <c r="I92" s="313"/>
      <c r="J92" s="314"/>
      <c r="K92" s="314"/>
      <c r="L92" s="316"/>
      <c r="M92" s="294" t="s">
        <v>202</v>
      </c>
    </row>
    <row r="93" spans="1:13">
      <c r="A93" s="305" t="s">
        <v>203</v>
      </c>
      <c r="B93" s="349">
        <v>-3.8289853428085898</v>
      </c>
      <c r="C93" s="299"/>
      <c r="D93" s="288">
        <v>0.19426266518058299</v>
      </c>
      <c r="E93" s="289">
        <v>3</v>
      </c>
      <c r="F93" s="289">
        <v>96</v>
      </c>
      <c r="G93" s="290">
        <v>3.49</v>
      </c>
      <c r="H93" s="291">
        <f t="shared" si="1"/>
        <v>-3.7</v>
      </c>
      <c r="I93" s="313"/>
      <c r="J93" s="314"/>
      <c r="K93" s="314"/>
      <c r="L93" s="316"/>
      <c r="M93" s="294" t="s">
        <v>204</v>
      </c>
    </row>
    <row r="94" spans="1:13">
      <c r="A94" s="295" t="s">
        <v>205</v>
      </c>
      <c r="B94" s="349">
        <v>-4.3761234704658403</v>
      </c>
      <c r="C94" s="299"/>
      <c r="D94" s="288">
        <v>0.188943371497371</v>
      </c>
      <c r="E94" s="289">
        <v>12</v>
      </c>
      <c r="F94" s="289">
        <v>147.25</v>
      </c>
      <c r="G94" s="290">
        <v>3.86</v>
      </c>
      <c r="H94" s="291">
        <f t="shared" si="1"/>
        <v>-4.5824999999999996</v>
      </c>
      <c r="I94" s="313"/>
      <c r="J94" s="314"/>
      <c r="K94" s="314"/>
      <c r="L94" s="316"/>
      <c r="M94" s="294" t="s">
        <v>206</v>
      </c>
    </row>
    <row r="95" spans="1:13">
      <c r="A95" s="295" t="s">
        <v>207</v>
      </c>
      <c r="B95" s="349">
        <v>-3.9861618425865601</v>
      </c>
      <c r="C95" s="299"/>
      <c r="D95" s="288">
        <v>0.17391407185160301</v>
      </c>
      <c r="E95" s="289">
        <v>6</v>
      </c>
      <c r="F95" s="289">
        <v>97</v>
      </c>
      <c r="G95" s="290">
        <v>3.94</v>
      </c>
      <c r="H95" s="291">
        <f t="shared" si="1"/>
        <v>-4.16</v>
      </c>
      <c r="I95" s="313"/>
      <c r="J95" s="314"/>
      <c r="K95" s="314"/>
      <c r="L95" s="316"/>
      <c r="M95" s="294" t="s">
        <v>208</v>
      </c>
    </row>
    <row r="96" spans="1:13">
      <c r="A96" s="285" t="s">
        <v>209</v>
      </c>
      <c r="B96" s="349">
        <v>-1.78364922343432</v>
      </c>
      <c r="C96" s="299"/>
      <c r="D96" s="288">
        <v>0.13764369691033701</v>
      </c>
      <c r="E96" s="289">
        <v>10</v>
      </c>
      <c r="F96" s="289">
        <v>134.5</v>
      </c>
      <c r="G96" s="290">
        <v>2.04</v>
      </c>
      <c r="H96" s="291">
        <f t="shared" si="1"/>
        <v>-2.6349999999999998</v>
      </c>
      <c r="I96" s="313"/>
      <c r="J96" s="314"/>
      <c r="K96" s="314"/>
      <c r="L96" s="316"/>
      <c r="M96" s="294" t="s">
        <v>210</v>
      </c>
    </row>
    <row r="97" spans="1:13">
      <c r="A97" s="295" t="s">
        <v>211</v>
      </c>
      <c r="B97" s="349">
        <v>-3.4844757213445399</v>
      </c>
      <c r="C97" s="299"/>
      <c r="D97" s="288">
        <v>0.162457468885915</v>
      </c>
      <c r="E97" s="289">
        <v>7</v>
      </c>
      <c r="F97" s="289">
        <v>139</v>
      </c>
      <c r="G97" s="290">
        <v>2.66</v>
      </c>
      <c r="H97" s="291">
        <f t="shared" si="1"/>
        <v>-3.3000000000000003</v>
      </c>
      <c r="I97" s="313"/>
      <c r="J97" s="314"/>
      <c r="K97" s="314"/>
      <c r="L97" s="316"/>
      <c r="M97" s="294" t="s">
        <v>212</v>
      </c>
    </row>
    <row r="98" spans="1:13">
      <c r="A98" s="295" t="s">
        <v>213</v>
      </c>
      <c r="B98" s="349">
        <v>-2.6679598925986898</v>
      </c>
      <c r="C98" s="299"/>
      <c r="D98" s="288">
        <v>0.15322122505052199</v>
      </c>
      <c r="E98" s="289">
        <v>9</v>
      </c>
      <c r="F98" s="289">
        <v>170</v>
      </c>
      <c r="G98" s="290">
        <v>1.91</v>
      </c>
      <c r="H98" s="291">
        <f t="shared" si="1"/>
        <v>-2.86</v>
      </c>
      <c r="I98" s="313"/>
      <c r="J98" s="314"/>
      <c r="K98" s="314"/>
      <c r="L98" s="316"/>
      <c r="M98" s="294" t="s">
        <v>214</v>
      </c>
    </row>
    <row r="99" spans="1:13">
      <c r="A99" s="285" t="s">
        <v>215</v>
      </c>
      <c r="B99" s="349">
        <v>-3.47905515429215</v>
      </c>
      <c r="C99" s="299"/>
      <c r="D99" s="288">
        <v>0.15273607916541099</v>
      </c>
      <c r="E99" s="289">
        <v>10</v>
      </c>
      <c r="F99" s="289">
        <v>326</v>
      </c>
      <c r="G99" s="290">
        <v>2.44</v>
      </c>
      <c r="H99" s="291">
        <f t="shared" si="1"/>
        <v>-4.95</v>
      </c>
      <c r="I99" s="313"/>
      <c r="J99" s="314"/>
      <c r="K99" s="314"/>
      <c r="L99" s="316"/>
      <c r="M99" s="294" t="s">
        <v>216</v>
      </c>
    </row>
    <row r="100" spans="1:13">
      <c r="A100" s="295" t="s">
        <v>217</v>
      </c>
      <c r="B100" s="349">
        <v>-3.5778205282713902</v>
      </c>
      <c r="C100" s="299"/>
      <c r="D100" s="288">
        <v>0.184047015121025</v>
      </c>
      <c r="E100" s="289">
        <v>5</v>
      </c>
      <c r="F100" s="289">
        <v>232.5</v>
      </c>
      <c r="G100" s="290">
        <v>1.8</v>
      </c>
      <c r="H100" s="291">
        <f t="shared" si="1"/>
        <v>-3.375</v>
      </c>
      <c r="I100" s="313"/>
      <c r="J100" s="314"/>
      <c r="K100" s="314"/>
      <c r="L100" s="316"/>
      <c r="M100" s="294" t="s">
        <v>218</v>
      </c>
    </row>
    <row r="101" spans="1:13">
      <c r="A101" s="295" t="s">
        <v>219</v>
      </c>
      <c r="B101" s="349">
        <v>-2.0012412041510901</v>
      </c>
      <c r="C101" s="299"/>
      <c r="D101" s="288">
        <v>0.13604063752604401</v>
      </c>
      <c r="E101" s="289">
        <v>4</v>
      </c>
      <c r="F101" s="289">
        <v>281.5</v>
      </c>
      <c r="G101" s="290">
        <v>0.54</v>
      </c>
      <c r="H101" s="291">
        <f t="shared" si="1"/>
        <v>-2.605</v>
      </c>
      <c r="I101" s="313"/>
      <c r="J101" s="314"/>
      <c r="K101" s="314"/>
      <c r="L101" s="316"/>
      <c r="M101" s="294" t="s">
        <v>220</v>
      </c>
    </row>
    <row r="102" spans="1:13">
      <c r="A102" s="295" t="s">
        <v>221</v>
      </c>
      <c r="B102" s="349">
        <v>-3.8221848350049599</v>
      </c>
      <c r="C102" s="299"/>
      <c r="D102" s="288">
        <v>0.19798964803022501</v>
      </c>
      <c r="E102" s="289">
        <v>4</v>
      </c>
      <c r="F102" s="289">
        <v>197.1</v>
      </c>
      <c r="G102" s="290">
        <v>2.2000000000000002</v>
      </c>
      <c r="H102" s="291">
        <f t="shared" si="1"/>
        <v>-3.4210000000000003</v>
      </c>
      <c r="I102" s="313"/>
      <c r="J102" s="314"/>
      <c r="K102" s="314"/>
      <c r="L102" s="316"/>
      <c r="M102" s="294" t="s">
        <v>222</v>
      </c>
    </row>
    <row r="103" spans="1:13">
      <c r="A103" s="305" t="s">
        <v>223</v>
      </c>
      <c r="B103" s="349">
        <v>-3.8611273696024302</v>
      </c>
      <c r="C103" s="299"/>
      <c r="D103" s="288">
        <v>0.13486720020739101</v>
      </c>
      <c r="E103" s="289">
        <v>4</v>
      </c>
      <c r="F103" s="289">
        <v>33</v>
      </c>
      <c r="G103" s="290">
        <v>4.24</v>
      </c>
      <c r="H103" s="291">
        <f t="shared" si="1"/>
        <v>-3.8200000000000003</v>
      </c>
      <c r="I103" s="313"/>
      <c r="J103" s="314"/>
      <c r="K103" s="314"/>
      <c r="L103" s="316"/>
      <c r="M103" s="294" t="s">
        <v>224</v>
      </c>
    </row>
    <row r="104" spans="1:13">
      <c r="A104" s="295" t="s">
        <v>225</v>
      </c>
      <c r="B104" s="349">
        <v>-4.3690892950139304</v>
      </c>
      <c r="C104" s="299"/>
      <c r="D104" s="288">
        <v>0.188012747606043</v>
      </c>
      <c r="E104" s="289">
        <v>11</v>
      </c>
      <c r="F104" s="289">
        <v>60</v>
      </c>
      <c r="G104" s="290">
        <v>4.24</v>
      </c>
      <c r="H104" s="291">
        <f t="shared" si="1"/>
        <v>-4.09</v>
      </c>
      <c r="I104" s="313"/>
      <c r="J104" s="314"/>
      <c r="K104" s="314"/>
      <c r="L104" s="316"/>
      <c r="M104" s="294" t="s">
        <v>226</v>
      </c>
    </row>
    <row r="105" spans="1:13">
      <c r="A105" s="295" t="s">
        <v>227</v>
      </c>
      <c r="B105" s="349">
        <v>-4.6083809261020701</v>
      </c>
      <c r="C105" s="299"/>
      <c r="D105" s="288">
        <v>0.16640140742242099</v>
      </c>
      <c r="E105" s="289">
        <v>4</v>
      </c>
      <c r="F105" s="289">
        <v>130.5</v>
      </c>
      <c r="G105" s="290">
        <v>5.22</v>
      </c>
      <c r="H105" s="291">
        <f t="shared" si="1"/>
        <v>-5.7749999999999995</v>
      </c>
      <c r="I105" s="313"/>
      <c r="J105" s="314"/>
      <c r="K105" s="314"/>
      <c r="L105" s="316"/>
      <c r="M105" s="294" t="s">
        <v>228</v>
      </c>
    </row>
    <row r="106" spans="1:13">
      <c r="A106" s="305" t="s">
        <v>103</v>
      </c>
      <c r="B106" s="349">
        <v>-3.30387486302158</v>
      </c>
      <c r="C106" s="299"/>
      <c r="D106" s="288">
        <v>0.17506472136099999</v>
      </c>
      <c r="E106" s="289">
        <v>7</v>
      </c>
      <c r="F106" s="289">
        <v>254</v>
      </c>
      <c r="G106" s="290">
        <v>2.97</v>
      </c>
      <c r="H106" s="291">
        <f t="shared" si="1"/>
        <v>-4.76</v>
      </c>
      <c r="I106" s="313"/>
      <c r="J106" s="314"/>
      <c r="K106" s="314"/>
      <c r="L106" s="316"/>
      <c r="M106" s="294" t="s">
        <v>229</v>
      </c>
    </row>
    <row r="107" spans="1:13">
      <c r="A107" s="305" t="s">
        <v>230</v>
      </c>
      <c r="B107" s="349">
        <v>-5.6773003771629096</v>
      </c>
      <c r="C107" s="299"/>
      <c r="D107" s="288">
        <v>0.160541646006926</v>
      </c>
      <c r="E107" s="289">
        <v>5</v>
      </c>
      <c r="F107" s="289">
        <v>121</v>
      </c>
      <c r="G107" s="290">
        <v>5.91</v>
      </c>
      <c r="H107" s="291">
        <f t="shared" si="1"/>
        <v>-6.37</v>
      </c>
      <c r="I107" s="313"/>
      <c r="J107" s="314"/>
      <c r="K107" s="314"/>
      <c r="L107" s="316"/>
      <c r="M107" s="294" t="s">
        <v>231</v>
      </c>
    </row>
    <row r="108" spans="1:13">
      <c r="A108" s="295" t="s">
        <v>232</v>
      </c>
      <c r="B108" s="349">
        <v>-3.9821105887577199</v>
      </c>
      <c r="C108" s="299"/>
      <c r="D108" s="288">
        <v>0.15756984748208799</v>
      </c>
      <c r="E108" s="289">
        <v>5</v>
      </c>
      <c r="F108" s="289">
        <v>207</v>
      </c>
      <c r="G108" s="290">
        <v>2.56</v>
      </c>
      <c r="H108" s="291">
        <f t="shared" si="1"/>
        <v>-3.88</v>
      </c>
      <c r="I108" s="313"/>
      <c r="J108" s="314"/>
      <c r="K108" s="314"/>
      <c r="L108" s="316"/>
      <c r="M108" s="294" t="s">
        <v>233</v>
      </c>
    </row>
    <row r="109" spans="1:13">
      <c r="A109" s="285" t="s">
        <v>234</v>
      </c>
      <c r="B109" s="349">
        <v>-5.0055521655225101</v>
      </c>
      <c r="C109" s="299"/>
      <c r="D109" s="288">
        <v>0.161603623531796</v>
      </c>
      <c r="E109" s="289">
        <v>6</v>
      </c>
      <c r="F109" s="289">
        <v>134.5</v>
      </c>
      <c r="G109" s="290">
        <v>4.8499999999999996</v>
      </c>
      <c r="H109" s="291">
        <f t="shared" si="1"/>
        <v>-5.4449999999999994</v>
      </c>
      <c r="I109" s="325"/>
      <c r="J109" s="319"/>
      <c r="K109" s="319"/>
      <c r="L109" s="320"/>
      <c r="M109" s="294" t="s">
        <v>235</v>
      </c>
    </row>
    <row r="110" spans="1:13">
      <c r="A110" s="285" t="s">
        <v>236</v>
      </c>
      <c r="B110" s="349">
        <v>-2.7622035603144699</v>
      </c>
      <c r="C110" s="299"/>
      <c r="D110" s="288">
        <v>0.18685765827674</v>
      </c>
      <c r="E110" s="289">
        <v>6</v>
      </c>
      <c r="F110" s="289">
        <v>275</v>
      </c>
      <c r="G110" s="290">
        <v>2.09</v>
      </c>
      <c r="H110" s="291">
        <f t="shared" si="1"/>
        <v>-4.09</v>
      </c>
      <c r="M110" s="294" t="s">
        <v>237</v>
      </c>
    </row>
    <row r="111" spans="1:13">
      <c r="A111" s="295" t="s">
        <v>238</v>
      </c>
      <c r="B111" s="349">
        <v>-5.0091561840166197</v>
      </c>
      <c r="C111" s="299"/>
      <c r="D111" s="288">
        <v>0.13950112944748699</v>
      </c>
      <c r="E111" s="289">
        <v>9</v>
      </c>
      <c r="F111" s="289">
        <v>220</v>
      </c>
      <c r="G111" s="290">
        <v>1.8</v>
      </c>
      <c r="H111" s="291">
        <f t="shared" si="1"/>
        <v>-3.25</v>
      </c>
      <c r="M111" s="294" t="s">
        <v>239</v>
      </c>
    </row>
    <row r="112" spans="1:13">
      <c r="A112" s="285" t="s">
        <v>240</v>
      </c>
      <c r="B112" s="349">
        <v>-3.1659740895244699</v>
      </c>
      <c r="C112" s="299"/>
      <c r="D112" s="288">
        <v>0.22014005046870999</v>
      </c>
      <c r="E112" s="289">
        <v>9</v>
      </c>
      <c r="F112" s="289">
        <v>202</v>
      </c>
      <c r="G112" s="290">
        <v>1.53</v>
      </c>
      <c r="H112" s="291">
        <f t="shared" si="1"/>
        <v>-2.8</v>
      </c>
      <c r="M112" s="294" t="s">
        <v>241</v>
      </c>
    </row>
    <row r="113" spans="1:28">
      <c r="A113" s="295" t="s">
        <v>242</v>
      </c>
      <c r="B113" s="349">
        <v>-2.9659250518242901</v>
      </c>
      <c r="C113" s="299"/>
      <c r="D113" s="288">
        <v>0.140140838794855</v>
      </c>
      <c r="E113" s="289">
        <v>3</v>
      </c>
      <c r="F113" s="289">
        <v>243</v>
      </c>
      <c r="G113" s="290">
        <v>1.48</v>
      </c>
      <c r="H113" s="291">
        <f t="shared" si="1"/>
        <v>-3.16</v>
      </c>
      <c r="M113" s="294" t="s">
        <v>243</v>
      </c>
    </row>
    <row r="114" spans="1:28">
      <c r="A114" s="305" t="s">
        <v>244</v>
      </c>
      <c r="B114" s="349">
        <v>-2.8865357504128402</v>
      </c>
      <c r="C114" s="299"/>
      <c r="D114" s="288">
        <v>0.13726989684758001</v>
      </c>
      <c r="E114" s="289">
        <v>3</v>
      </c>
      <c r="F114" s="289">
        <v>191</v>
      </c>
      <c r="G114" s="290">
        <v>1.67</v>
      </c>
      <c r="H114" s="291">
        <f t="shared" si="1"/>
        <v>-2.83</v>
      </c>
      <c r="M114" s="294" t="s">
        <v>245</v>
      </c>
    </row>
    <row r="115" spans="1:28">
      <c r="A115" s="295" t="s">
        <v>246</v>
      </c>
      <c r="B115" s="349">
        <v>-4.7281734484083602</v>
      </c>
      <c r="C115" s="299"/>
      <c r="D115" s="288">
        <v>0.21357402153711499</v>
      </c>
      <c r="E115" s="289">
        <v>7</v>
      </c>
      <c r="F115" s="289">
        <v>183.5</v>
      </c>
      <c r="G115" s="290">
        <v>4.37</v>
      </c>
      <c r="H115" s="291">
        <f t="shared" si="1"/>
        <v>-5.4550000000000001</v>
      </c>
      <c r="M115" s="294" t="s">
        <v>247</v>
      </c>
    </row>
    <row r="116" spans="1:28">
      <c r="A116" s="295" t="s">
        <v>248</v>
      </c>
      <c r="B116" s="349">
        <v>-3.1434820384509199</v>
      </c>
      <c r="C116" s="299"/>
      <c r="D116" s="288">
        <v>0.105644111777479</v>
      </c>
      <c r="E116" s="289">
        <v>3</v>
      </c>
      <c r="F116" s="289">
        <v>149</v>
      </c>
      <c r="G116" s="290">
        <v>2.62</v>
      </c>
      <c r="H116" s="291">
        <f t="shared" si="1"/>
        <v>-3.3600000000000003</v>
      </c>
      <c r="M116" s="294" t="s">
        <v>249</v>
      </c>
    </row>
    <row r="117" spans="1:28">
      <c r="A117" s="285" t="s">
        <v>250</v>
      </c>
      <c r="B117" s="349">
        <v>-2.9769696993824901</v>
      </c>
      <c r="C117" s="299"/>
      <c r="D117" s="288">
        <v>0.14623917640453399</v>
      </c>
      <c r="E117" s="289">
        <v>8</v>
      </c>
      <c r="F117" s="289">
        <v>165</v>
      </c>
      <c r="G117" s="290">
        <v>-0.37</v>
      </c>
      <c r="H117" s="291">
        <f t="shared" si="1"/>
        <v>-0.53000000000000014</v>
      </c>
      <c r="M117" s="294" t="s">
        <v>251</v>
      </c>
    </row>
    <row r="118" spans="1:28">
      <c r="A118" s="295" t="s">
        <v>252</v>
      </c>
      <c r="B118" s="349">
        <v>-2.30378161241658</v>
      </c>
      <c r="C118" s="299"/>
      <c r="D118" s="288">
        <v>0.16291639539032499</v>
      </c>
      <c r="E118" s="289">
        <v>10</v>
      </c>
      <c r="F118" s="289">
        <v>225</v>
      </c>
      <c r="G118" s="290">
        <v>0.81</v>
      </c>
      <c r="H118" s="291">
        <f t="shared" si="1"/>
        <v>-2.31</v>
      </c>
      <c r="M118" s="294" t="s">
        <v>253</v>
      </c>
    </row>
    <row r="119" spans="1:28">
      <c r="A119" s="295" t="s">
        <v>254</v>
      </c>
      <c r="B119" s="349">
        <v>-2.8450320554770401</v>
      </c>
      <c r="C119" s="299"/>
      <c r="D119" s="288">
        <v>0.211666473574778</v>
      </c>
      <c r="E119" s="289">
        <v>5</v>
      </c>
      <c r="F119" s="289">
        <v>270</v>
      </c>
      <c r="G119" s="290">
        <v>0.62</v>
      </c>
      <c r="H119" s="291">
        <f t="shared" si="1"/>
        <v>-2.5700000000000003</v>
      </c>
      <c r="M119" s="294" t="s">
        <v>255</v>
      </c>
    </row>
    <row r="120" spans="1:28">
      <c r="A120" s="285" t="s">
        <v>256</v>
      </c>
      <c r="B120" s="349">
        <v>-3.3799874385281501</v>
      </c>
      <c r="C120" s="299"/>
      <c r="D120" s="288">
        <v>0.14175650298978701</v>
      </c>
      <c r="E120" s="289">
        <v>9</v>
      </c>
      <c r="F120" s="289">
        <v>312.66666666666703</v>
      </c>
      <c r="G120" s="290">
        <v>0.83</v>
      </c>
      <c r="H120" s="291">
        <f t="shared" si="1"/>
        <v>-3.2066666666666706</v>
      </c>
      <c r="M120" s="294" t="s">
        <v>257</v>
      </c>
    </row>
    <row r="121" spans="1:28">
      <c r="A121" s="295" t="s">
        <v>258</v>
      </c>
      <c r="B121" s="349">
        <v>-4.2654453796146701</v>
      </c>
      <c r="C121" s="299"/>
      <c r="D121" s="288">
        <v>0.20346886353462401</v>
      </c>
      <c r="E121" s="289">
        <v>11</v>
      </c>
      <c r="F121" s="289">
        <v>161</v>
      </c>
      <c r="G121" s="290">
        <v>3.61</v>
      </c>
      <c r="H121" s="291">
        <f t="shared" si="1"/>
        <v>-4.47</v>
      </c>
      <c r="M121" s="294" t="s">
        <v>259</v>
      </c>
    </row>
    <row r="122" spans="1:28">
      <c r="A122" s="285" t="s">
        <v>109</v>
      </c>
      <c r="B122" s="349">
        <v>-2.71649322587233</v>
      </c>
      <c r="C122" s="299"/>
      <c r="D122" s="288">
        <v>0.20579636821699801</v>
      </c>
      <c r="E122" s="289">
        <v>3</v>
      </c>
      <c r="F122" s="289">
        <v>300</v>
      </c>
      <c r="G122" s="290">
        <v>-1.06</v>
      </c>
      <c r="H122" s="291">
        <f t="shared" si="1"/>
        <v>-1.19</v>
      </c>
      <c r="M122" s="294" t="s">
        <v>260</v>
      </c>
    </row>
    <row r="123" spans="1:28">
      <c r="A123" s="294"/>
      <c r="C123" s="326" t="s">
        <v>261</v>
      </c>
      <c r="D123" s="327">
        <f>AVERAGE(D23:D122)</f>
        <v>0.17115851538193169</v>
      </c>
      <c r="E123" s="328"/>
      <c r="F123" s="329"/>
      <c r="G123" s="329"/>
      <c r="H123" s="330" t="s">
        <v>262</v>
      </c>
      <c r="I123" s="329"/>
      <c r="J123" s="290"/>
      <c r="K123" s="290"/>
      <c r="L123" s="290"/>
      <c r="M123" s="294"/>
    </row>
    <row r="124" spans="1:28">
      <c r="A124" s="294"/>
      <c r="C124" s="326" t="s">
        <v>263</v>
      </c>
      <c r="D124" s="327">
        <f>MIN(D23:D122)</f>
        <v>0.105644111777479</v>
      </c>
      <c r="E124" s="328"/>
      <c r="F124" s="329"/>
      <c r="G124" s="329"/>
      <c r="H124" s="330" t="s">
        <v>264</v>
      </c>
      <c r="I124" s="329"/>
      <c r="J124" s="290"/>
      <c r="K124" s="290"/>
      <c r="L124" s="290"/>
      <c r="M124" s="294"/>
    </row>
    <row r="125" spans="1:28">
      <c r="A125" s="294"/>
      <c r="C125" s="326" t="s">
        <v>265</v>
      </c>
      <c r="D125" s="327">
        <f>MAX(D23:D122)</f>
        <v>0.22239504833634899</v>
      </c>
      <c r="E125" s="328"/>
      <c r="F125" s="329"/>
      <c r="G125" s="329"/>
      <c r="H125" s="330"/>
      <c r="I125" s="329"/>
      <c r="J125" s="290"/>
      <c r="K125" s="290"/>
      <c r="L125" s="290"/>
      <c r="M125" s="294"/>
    </row>
    <row r="126" spans="1:28" s="244" customFormat="1">
      <c r="A126" s="331"/>
      <c r="B126" s="290"/>
      <c r="C126" s="290"/>
      <c r="D126" s="332"/>
      <c r="E126" s="290"/>
      <c r="F126" s="290"/>
      <c r="G126" s="290"/>
      <c r="H126" s="290"/>
      <c r="I126" s="290"/>
      <c r="J126" s="290"/>
      <c r="K126" s="290"/>
      <c r="L126" s="290"/>
      <c r="M126" s="294"/>
      <c r="N126" s="241"/>
      <c r="O126" s="241"/>
      <c r="P126" s="241"/>
      <c r="Q126" s="241"/>
      <c r="R126" s="241"/>
      <c r="S126" s="241"/>
      <c r="T126" s="241"/>
      <c r="U126" s="241"/>
      <c r="V126" s="241"/>
      <c r="W126" s="241"/>
      <c r="X126" s="241"/>
      <c r="Y126" s="241"/>
      <c r="Z126" s="241"/>
      <c r="AA126" s="241"/>
      <c r="AB126" s="241"/>
    </row>
    <row r="127" spans="1:28" s="276" customFormat="1" ht="32.25" customHeight="1" thickBot="1">
      <c r="A127" s="273" t="s">
        <v>708</v>
      </c>
      <c r="B127" s="332"/>
      <c r="C127" s="332"/>
      <c r="D127" s="332"/>
      <c r="E127" s="332"/>
      <c r="F127" s="332"/>
      <c r="G127" s="332"/>
      <c r="H127" s="332"/>
      <c r="I127" s="332"/>
      <c r="J127" s="332"/>
      <c r="K127" s="332"/>
      <c r="L127" s="332"/>
      <c r="M127" s="294"/>
      <c r="N127" s="244"/>
      <c r="O127" s="244"/>
      <c r="P127" s="244"/>
      <c r="Q127" s="244"/>
      <c r="R127" s="244"/>
      <c r="S127" s="244"/>
      <c r="T127" s="244"/>
      <c r="U127" s="244"/>
      <c r="V127" s="244"/>
      <c r="W127" s="244"/>
      <c r="X127" s="244"/>
      <c r="Y127" s="244"/>
      <c r="Z127" s="244"/>
      <c r="AA127" s="244"/>
      <c r="AB127" s="244"/>
    </row>
    <row r="128" spans="1:28" ht="43.5" customHeight="1" thickBot="1">
      <c r="A128" s="277" t="s">
        <v>18</v>
      </c>
      <c r="B128" s="278" t="s">
        <v>709</v>
      </c>
      <c r="C128" s="278" t="s">
        <v>696</v>
      </c>
      <c r="D128" s="278" t="s">
        <v>21</v>
      </c>
      <c r="E128" s="278" t="s">
        <v>22</v>
      </c>
      <c r="F128" s="278" t="s">
        <v>23</v>
      </c>
      <c r="G128" s="279" t="s">
        <v>697</v>
      </c>
      <c r="H128" s="279" t="s">
        <v>698</v>
      </c>
      <c r="I128" s="280"/>
      <c r="J128" s="281" t="s">
        <v>27</v>
      </c>
      <c r="K128" s="281"/>
      <c r="L128" s="281"/>
      <c r="M128" s="282" t="s">
        <v>28</v>
      </c>
      <c r="N128" s="283"/>
      <c r="O128" s="283"/>
      <c r="P128" s="283"/>
      <c r="Q128" s="283"/>
      <c r="R128" s="283"/>
      <c r="S128" s="283"/>
      <c r="T128" s="283"/>
      <c r="U128" s="283"/>
      <c r="V128" s="284"/>
      <c r="W128" s="276"/>
      <c r="X128" s="276"/>
      <c r="Y128" s="276"/>
      <c r="Z128" s="276"/>
      <c r="AA128" s="276"/>
      <c r="AB128" s="276"/>
    </row>
    <row r="129" spans="1:13">
      <c r="A129" s="295" t="s">
        <v>268</v>
      </c>
      <c r="B129" s="349">
        <v>-1.48378409863359</v>
      </c>
      <c r="C129" s="287" t="s">
        <v>30</v>
      </c>
      <c r="D129" s="288">
        <v>0.50033555401430196</v>
      </c>
      <c r="E129" s="289">
        <v>3</v>
      </c>
      <c r="F129" s="289">
        <v>180</v>
      </c>
      <c r="G129" s="290">
        <v>1.91</v>
      </c>
      <c r="H129" s="291">
        <f t="shared" ref="H129:H160" si="2">0.5-G129-0.01*(F129-25)</f>
        <v>-2.96</v>
      </c>
      <c r="I129" s="292" t="s">
        <v>31</v>
      </c>
      <c r="J129" s="293"/>
      <c r="K129" s="291"/>
      <c r="L129" s="291"/>
      <c r="M129" s="294" t="s">
        <v>269</v>
      </c>
    </row>
    <row r="130" spans="1:13">
      <c r="A130" s="295" t="s">
        <v>270</v>
      </c>
      <c r="B130" s="349">
        <v>-5.7989685136702303</v>
      </c>
      <c r="C130" s="287" t="s">
        <v>36</v>
      </c>
      <c r="D130" s="288">
        <v>0.5</v>
      </c>
      <c r="E130" s="290">
        <v>5</v>
      </c>
      <c r="F130" s="289">
        <v>156</v>
      </c>
      <c r="G130" s="290">
        <v>6.94</v>
      </c>
      <c r="H130" s="291">
        <f t="shared" si="2"/>
        <v>-7.75</v>
      </c>
      <c r="I130" s="292" t="s">
        <v>37</v>
      </c>
      <c r="J130" s="293"/>
      <c r="K130" s="291"/>
      <c r="L130" s="291"/>
      <c r="M130" s="294" t="s">
        <v>271</v>
      </c>
    </row>
    <row r="131" spans="1:13">
      <c r="A131" s="305" t="s">
        <v>272</v>
      </c>
      <c r="B131" s="349">
        <v>-4.7304322842162403</v>
      </c>
      <c r="C131" s="287" t="s">
        <v>41</v>
      </c>
      <c r="D131" s="288">
        <v>0.65309579002601004</v>
      </c>
      <c r="E131" s="289">
        <v>3</v>
      </c>
      <c r="F131" s="289">
        <v>208</v>
      </c>
      <c r="G131" s="290">
        <v>5.18</v>
      </c>
      <c r="H131" s="291">
        <f t="shared" si="2"/>
        <v>-6.51</v>
      </c>
      <c r="I131" s="292" t="s">
        <v>42</v>
      </c>
      <c r="J131" s="293"/>
      <c r="K131" s="291"/>
      <c r="L131" s="291"/>
      <c r="M131" s="294" t="s">
        <v>273</v>
      </c>
    </row>
    <row r="132" spans="1:13">
      <c r="A132" s="295" t="s">
        <v>274</v>
      </c>
      <c r="B132" s="349">
        <v>-2.19364432781467</v>
      </c>
      <c r="C132" s="287" t="s">
        <v>46</v>
      </c>
      <c r="D132" s="288">
        <v>0.59285217963150305</v>
      </c>
      <c r="E132" s="289">
        <v>3</v>
      </c>
      <c r="F132" s="289">
        <v>100</v>
      </c>
      <c r="G132" s="290">
        <v>2.37</v>
      </c>
      <c r="H132" s="291">
        <f t="shared" si="2"/>
        <v>-2.62</v>
      </c>
      <c r="I132" s="297" t="s">
        <v>47</v>
      </c>
      <c r="J132" s="298"/>
      <c r="K132" s="291"/>
      <c r="L132" s="291"/>
      <c r="M132" s="294" t="s">
        <v>275</v>
      </c>
    </row>
    <row r="133" spans="1:13">
      <c r="A133" s="295" t="s">
        <v>276</v>
      </c>
      <c r="B133" s="349">
        <v>-5.4997041901120598</v>
      </c>
      <c r="C133" s="287" t="s">
        <v>51</v>
      </c>
      <c r="D133" s="288">
        <v>0.51067901383936598</v>
      </c>
      <c r="E133" s="289">
        <v>5</v>
      </c>
      <c r="F133" s="289">
        <v>217</v>
      </c>
      <c r="G133" s="290">
        <v>3.19</v>
      </c>
      <c r="H133" s="291">
        <f t="shared" si="2"/>
        <v>-4.6099999999999994</v>
      </c>
      <c r="I133" s="297" t="s">
        <v>52</v>
      </c>
      <c r="J133" s="298"/>
      <c r="K133" s="291"/>
      <c r="L133" s="291"/>
      <c r="M133" s="294" t="s">
        <v>277</v>
      </c>
    </row>
    <row r="134" spans="1:13">
      <c r="A134" s="295" t="s">
        <v>278</v>
      </c>
      <c r="B134" s="349">
        <v>-4.9674401063542497</v>
      </c>
      <c r="C134" s="299"/>
      <c r="D134" s="288">
        <v>0.83065522865171404</v>
      </c>
      <c r="E134" s="289">
        <v>3</v>
      </c>
      <c r="F134" s="289">
        <v>209.5</v>
      </c>
      <c r="G134" s="290">
        <v>4.41</v>
      </c>
      <c r="H134" s="291">
        <f t="shared" si="2"/>
        <v>-5.7549999999999999</v>
      </c>
      <c r="I134" s="297" t="s">
        <v>56</v>
      </c>
      <c r="J134" s="298"/>
      <c r="K134" s="291"/>
      <c r="L134" s="291"/>
      <c r="M134" s="294" t="s">
        <v>279</v>
      </c>
    </row>
    <row r="135" spans="1:13">
      <c r="A135" s="295" t="s">
        <v>280</v>
      </c>
      <c r="B135" s="349">
        <v>-5.1975677835632004</v>
      </c>
      <c r="C135" s="299"/>
      <c r="D135" s="288">
        <v>0.51097181417141702</v>
      </c>
      <c r="E135" s="289">
        <v>6</v>
      </c>
      <c r="F135" s="289">
        <v>97.5</v>
      </c>
      <c r="G135" s="290">
        <v>5.19</v>
      </c>
      <c r="H135" s="291">
        <f t="shared" si="2"/>
        <v>-5.415</v>
      </c>
      <c r="I135" s="297" t="s">
        <v>60</v>
      </c>
      <c r="J135" s="300"/>
      <c r="K135" s="291"/>
      <c r="L135" s="291"/>
      <c r="M135" s="294" t="s">
        <v>281</v>
      </c>
    </row>
    <row r="136" spans="1:13">
      <c r="A136" s="285" t="s">
        <v>282</v>
      </c>
      <c r="B136" s="349">
        <v>-5.8250609196485499</v>
      </c>
      <c r="C136" s="299"/>
      <c r="D136" s="288">
        <v>0.92735432696895004</v>
      </c>
      <c r="E136" s="289">
        <v>5</v>
      </c>
      <c r="F136" s="289">
        <v>211</v>
      </c>
      <c r="G136" s="290">
        <v>7.49</v>
      </c>
      <c r="H136" s="291">
        <f t="shared" si="2"/>
        <v>-8.85</v>
      </c>
      <c r="I136" s="301" t="s">
        <v>64</v>
      </c>
      <c r="J136" s="302" t="s">
        <v>767</v>
      </c>
      <c r="K136" s="303"/>
      <c r="L136" s="304"/>
      <c r="M136" s="294" t="s">
        <v>283</v>
      </c>
    </row>
    <row r="137" spans="1:13">
      <c r="A137" s="295" t="s">
        <v>112</v>
      </c>
      <c r="B137" s="349">
        <v>-4.1680194781789996</v>
      </c>
      <c r="C137" s="299"/>
      <c r="D137" s="288">
        <v>0.68239272333923895</v>
      </c>
      <c r="E137" s="289">
        <v>3</v>
      </c>
      <c r="F137" s="289">
        <v>177</v>
      </c>
      <c r="G137" s="290">
        <v>3.37</v>
      </c>
      <c r="H137" s="291">
        <f t="shared" si="2"/>
        <v>-4.3900000000000006</v>
      </c>
      <c r="J137" s="291"/>
      <c r="K137" s="291"/>
      <c r="L137" s="291"/>
      <c r="M137" s="294" t="s">
        <v>284</v>
      </c>
    </row>
    <row r="138" spans="1:13">
      <c r="A138" s="295" t="s">
        <v>285</v>
      </c>
      <c r="B138" s="349">
        <v>-5.4688100303658498</v>
      </c>
      <c r="C138" s="299"/>
      <c r="D138" s="288">
        <v>0.520951861602862</v>
      </c>
      <c r="E138" s="289">
        <v>10</v>
      </c>
      <c r="F138" s="289">
        <v>228.6</v>
      </c>
      <c r="G138" s="290">
        <v>4.22</v>
      </c>
      <c r="H138" s="291">
        <f t="shared" si="2"/>
        <v>-5.7560000000000002</v>
      </c>
      <c r="I138" s="306" t="s">
        <v>286</v>
      </c>
      <c r="J138" s="307"/>
      <c r="K138" s="307"/>
      <c r="L138" s="308"/>
      <c r="M138" s="294" t="s">
        <v>287</v>
      </c>
    </row>
    <row r="139" spans="1:13">
      <c r="A139" s="285" t="s">
        <v>288</v>
      </c>
      <c r="B139" s="349">
        <v>-1.5368510799967301</v>
      </c>
      <c r="C139" s="299"/>
      <c r="D139" s="288">
        <v>0.53906642829149898</v>
      </c>
      <c r="E139" s="289">
        <v>3</v>
      </c>
      <c r="F139" s="289">
        <v>161.5</v>
      </c>
      <c r="G139" s="290">
        <v>-0.21</v>
      </c>
      <c r="H139" s="291">
        <f t="shared" si="2"/>
        <v>-0.65500000000000003</v>
      </c>
      <c r="I139" s="350" t="s">
        <v>736</v>
      </c>
      <c r="J139" s="311"/>
      <c r="K139" s="311"/>
      <c r="L139" s="312"/>
      <c r="M139" s="294" t="s">
        <v>289</v>
      </c>
    </row>
    <row r="140" spans="1:13">
      <c r="A140" s="285" t="s">
        <v>290</v>
      </c>
      <c r="B140" s="349">
        <v>-4.4898619906681203</v>
      </c>
      <c r="C140" s="299"/>
      <c r="D140" s="288">
        <v>0.56233984781338697</v>
      </c>
      <c r="E140" s="289">
        <v>11</v>
      </c>
      <c r="F140" s="289">
        <v>213.5</v>
      </c>
      <c r="G140" s="290">
        <v>3.04</v>
      </c>
      <c r="H140" s="291">
        <f t="shared" si="2"/>
        <v>-4.4249999999999998</v>
      </c>
      <c r="I140" s="351" t="s">
        <v>737</v>
      </c>
      <c r="J140" s="314"/>
      <c r="K140" s="314"/>
      <c r="L140" s="316"/>
      <c r="M140" s="294" t="s">
        <v>291</v>
      </c>
    </row>
    <row r="141" spans="1:13">
      <c r="A141" s="305" t="s">
        <v>292</v>
      </c>
      <c r="B141" s="349">
        <v>-3.5738828145388499</v>
      </c>
      <c r="C141" s="299"/>
      <c r="D141" s="288">
        <v>0.54710381306524802</v>
      </c>
      <c r="E141" s="289">
        <v>4</v>
      </c>
      <c r="F141" s="289">
        <v>168.5</v>
      </c>
      <c r="G141" s="290">
        <v>3.35</v>
      </c>
      <c r="H141" s="291">
        <f t="shared" si="2"/>
        <v>-4.2850000000000001</v>
      </c>
      <c r="I141" s="351" t="s">
        <v>738</v>
      </c>
      <c r="J141" s="314"/>
      <c r="K141" s="314"/>
      <c r="L141" s="316"/>
      <c r="M141" s="294" t="s">
        <v>293</v>
      </c>
    </row>
    <row r="142" spans="1:13">
      <c r="A142" s="285" t="s">
        <v>114</v>
      </c>
      <c r="B142" s="349">
        <v>-3.1957337834839401</v>
      </c>
      <c r="C142" s="299"/>
      <c r="D142" s="288">
        <v>0.54612637818466903</v>
      </c>
      <c r="E142" s="289">
        <v>3</v>
      </c>
      <c r="F142" s="309">
        <v>124.1</v>
      </c>
      <c r="G142" s="290">
        <v>2.81</v>
      </c>
      <c r="H142" s="291">
        <f t="shared" si="2"/>
        <v>-3.3010000000000002</v>
      </c>
      <c r="I142" s="352" t="s">
        <v>739</v>
      </c>
      <c r="J142" s="314"/>
      <c r="K142" s="314"/>
      <c r="L142" s="316"/>
      <c r="M142" s="294" t="s">
        <v>294</v>
      </c>
    </row>
    <row r="143" spans="1:13">
      <c r="A143" s="285" t="s">
        <v>295</v>
      </c>
      <c r="B143" s="349">
        <v>-4.8204537547045803</v>
      </c>
      <c r="C143" s="299"/>
      <c r="D143" s="288">
        <v>0.51160213896594597</v>
      </c>
      <c r="E143" s="289">
        <v>4</v>
      </c>
      <c r="F143" s="289">
        <v>165</v>
      </c>
      <c r="G143" s="290">
        <v>4.8899999999999997</v>
      </c>
      <c r="H143" s="291">
        <f t="shared" si="2"/>
        <v>-5.79</v>
      </c>
      <c r="I143" s="353" t="s">
        <v>740</v>
      </c>
      <c r="J143" s="314"/>
      <c r="K143" s="314"/>
      <c r="L143" s="316"/>
      <c r="M143" s="294" t="s">
        <v>296</v>
      </c>
    </row>
    <row r="144" spans="1:13">
      <c r="A144" s="285" t="s">
        <v>117</v>
      </c>
      <c r="B144" s="349">
        <v>-5.5765498365018704</v>
      </c>
      <c r="C144" s="299"/>
      <c r="D144" s="288">
        <v>0.65141515533308303</v>
      </c>
      <c r="E144" s="289">
        <v>4</v>
      </c>
      <c r="F144" s="289">
        <v>161.1</v>
      </c>
      <c r="G144" s="290">
        <v>4.76</v>
      </c>
      <c r="H144" s="291">
        <f t="shared" si="2"/>
        <v>-5.6209999999999996</v>
      </c>
      <c r="I144" s="353" t="s">
        <v>741</v>
      </c>
      <c r="J144" s="314"/>
      <c r="K144" s="314"/>
      <c r="L144" s="316"/>
      <c r="M144" s="294" t="s">
        <v>297</v>
      </c>
    </row>
    <row r="145" spans="1:28">
      <c r="A145" s="305" t="s">
        <v>298</v>
      </c>
      <c r="B145" s="349">
        <v>-4.7449948459307398</v>
      </c>
      <c r="C145" s="299"/>
      <c r="D145" s="288">
        <v>0.65883215509381898</v>
      </c>
      <c r="E145" s="289">
        <v>3</v>
      </c>
      <c r="F145" s="289">
        <v>155</v>
      </c>
      <c r="G145" s="290">
        <v>3.74</v>
      </c>
      <c r="H145" s="291">
        <f t="shared" si="2"/>
        <v>-4.54</v>
      </c>
      <c r="I145" s="353" t="s">
        <v>742</v>
      </c>
      <c r="J145" s="314"/>
      <c r="K145" s="314"/>
      <c r="L145" s="316"/>
      <c r="M145" s="294" t="s">
        <v>299</v>
      </c>
    </row>
    <row r="146" spans="1:28">
      <c r="A146" s="295" t="s">
        <v>300</v>
      </c>
      <c r="B146" s="349">
        <v>-6.7347409249475003</v>
      </c>
      <c r="C146" s="299"/>
      <c r="D146" s="288">
        <v>0.61400477095750305</v>
      </c>
      <c r="E146" s="289">
        <v>3</v>
      </c>
      <c r="F146" s="289">
        <v>165.4</v>
      </c>
      <c r="G146" s="290">
        <v>5.58</v>
      </c>
      <c r="H146" s="291">
        <f t="shared" si="2"/>
        <v>-6.484</v>
      </c>
      <c r="I146" s="353" t="s">
        <v>743</v>
      </c>
      <c r="J146" s="314"/>
      <c r="K146" s="314"/>
      <c r="L146" s="316"/>
      <c r="M146" s="294" t="s">
        <v>301</v>
      </c>
    </row>
    <row r="147" spans="1:28">
      <c r="A147" s="295" t="s">
        <v>302</v>
      </c>
      <c r="B147" s="349">
        <v>-5.5245237656608399</v>
      </c>
      <c r="C147" s="299"/>
      <c r="D147" s="288">
        <v>0.50406532001413296</v>
      </c>
      <c r="E147" s="289">
        <v>6</v>
      </c>
      <c r="F147" s="289">
        <v>161</v>
      </c>
      <c r="G147" s="290">
        <v>6.45</v>
      </c>
      <c r="H147" s="291">
        <f t="shared" si="2"/>
        <v>-7.3100000000000005</v>
      </c>
      <c r="I147" s="353" t="s">
        <v>744</v>
      </c>
      <c r="J147" s="314"/>
      <c r="K147" s="314"/>
      <c r="L147" s="316"/>
      <c r="M147" s="294" t="s">
        <v>303</v>
      </c>
    </row>
    <row r="148" spans="1:28">
      <c r="A148" s="295" t="s">
        <v>304</v>
      </c>
      <c r="B148" s="349">
        <v>-5.3555813806975099</v>
      </c>
      <c r="C148" s="299"/>
      <c r="D148" s="288">
        <v>0.75493366325441702</v>
      </c>
      <c r="E148" s="289">
        <v>4</v>
      </c>
      <c r="F148" s="289">
        <v>193.5</v>
      </c>
      <c r="G148" s="290">
        <v>5.41</v>
      </c>
      <c r="H148" s="291">
        <f t="shared" si="2"/>
        <v>-6.5950000000000006</v>
      </c>
      <c r="I148" s="354" t="s">
        <v>745</v>
      </c>
      <c r="J148" s="314"/>
      <c r="K148" s="314"/>
      <c r="L148" s="316"/>
      <c r="M148" s="294" t="s">
        <v>305</v>
      </c>
    </row>
    <row r="149" spans="1:28">
      <c r="A149" s="295" t="s">
        <v>306</v>
      </c>
      <c r="B149" s="349">
        <v>-4.0010919390064101</v>
      </c>
      <c r="C149" s="299"/>
      <c r="D149" s="288">
        <v>0.500893580585972</v>
      </c>
      <c r="E149" s="289">
        <v>3</v>
      </c>
      <c r="F149" s="289">
        <v>156</v>
      </c>
      <c r="G149" s="290">
        <v>2.9</v>
      </c>
      <c r="H149" s="291">
        <f t="shared" si="2"/>
        <v>-3.71</v>
      </c>
      <c r="I149" s="354" t="s">
        <v>746</v>
      </c>
      <c r="J149" s="314"/>
      <c r="K149" s="314"/>
      <c r="L149" s="316"/>
      <c r="M149" s="294" t="s">
        <v>307</v>
      </c>
    </row>
    <row r="150" spans="1:28">
      <c r="A150" s="305" t="s">
        <v>308</v>
      </c>
      <c r="B150" s="349">
        <v>-4.0847119487088799</v>
      </c>
      <c r="C150" s="299"/>
      <c r="D150" s="288">
        <v>0.65879843298663399</v>
      </c>
      <c r="E150" s="289">
        <v>4</v>
      </c>
      <c r="F150" s="289">
        <v>183.5</v>
      </c>
      <c r="G150" s="290">
        <v>3.16</v>
      </c>
      <c r="H150" s="291">
        <f t="shared" si="2"/>
        <v>-4.2450000000000001</v>
      </c>
      <c r="I150" s="355" t="s">
        <v>747</v>
      </c>
      <c r="J150" s="319"/>
      <c r="K150" s="319"/>
      <c r="L150" s="320"/>
      <c r="M150" s="294" t="s">
        <v>309</v>
      </c>
    </row>
    <row r="151" spans="1:28">
      <c r="A151" s="305" t="s">
        <v>310</v>
      </c>
      <c r="B151" s="349">
        <v>-2.3020427088442399</v>
      </c>
      <c r="C151" s="299"/>
      <c r="D151" s="288">
        <v>0.59871706042825701</v>
      </c>
      <c r="E151" s="289">
        <v>3</v>
      </c>
      <c r="F151" s="289">
        <v>61</v>
      </c>
      <c r="G151" s="290">
        <v>1.77</v>
      </c>
      <c r="H151" s="291">
        <f t="shared" si="2"/>
        <v>-1.63</v>
      </c>
      <c r="L151" s="291"/>
      <c r="M151" s="294" t="s">
        <v>311</v>
      </c>
    </row>
    <row r="152" spans="1:28">
      <c r="A152" s="295" t="s">
        <v>312</v>
      </c>
      <c r="B152" s="349">
        <v>-3.2624424797576599</v>
      </c>
      <c r="C152" s="299"/>
      <c r="D152" s="288">
        <v>0.57115657899345496</v>
      </c>
      <c r="E152" s="289">
        <v>7</v>
      </c>
      <c r="F152" s="289">
        <v>177</v>
      </c>
      <c r="G152" s="290">
        <v>3.17</v>
      </c>
      <c r="H152" s="291">
        <f t="shared" si="2"/>
        <v>-4.1899999999999995</v>
      </c>
      <c r="I152" s="321" t="s">
        <v>133</v>
      </c>
      <c r="J152" s="322">
        <v>881</v>
      </c>
      <c r="K152" s="304"/>
      <c r="L152" s="291"/>
      <c r="M152" s="294" t="s">
        <v>313</v>
      </c>
    </row>
    <row r="153" spans="1:28">
      <c r="A153" s="285" t="s">
        <v>314</v>
      </c>
      <c r="B153" s="349">
        <v>-5.8920335928163698</v>
      </c>
      <c r="C153" s="299"/>
      <c r="D153" s="288">
        <v>0.55807775121880299</v>
      </c>
      <c r="E153" s="289">
        <v>6</v>
      </c>
      <c r="F153" s="289">
        <v>145</v>
      </c>
      <c r="G153" s="290">
        <v>6.08</v>
      </c>
      <c r="H153" s="291">
        <f t="shared" si="2"/>
        <v>-6.78</v>
      </c>
      <c r="I153" s="321" t="s">
        <v>136</v>
      </c>
      <c r="J153" s="322">
        <v>164</v>
      </c>
      <c r="K153" s="304"/>
      <c r="M153" s="294" t="s">
        <v>315</v>
      </c>
    </row>
    <row r="154" spans="1:28">
      <c r="A154" s="285" t="s">
        <v>316</v>
      </c>
      <c r="B154" s="349">
        <v>-5.14251981790086</v>
      </c>
      <c r="C154" s="299"/>
      <c r="D154" s="288">
        <v>0.66417698790166102</v>
      </c>
      <c r="E154" s="289">
        <v>3</v>
      </c>
      <c r="F154" s="309">
        <v>175.8</v>
      </c>
      <c r="G154" s="290">
        <v>4.62</v>
      </c>
      <c r="H154" s="291">
        <f t="shared" si="2"/>
        <v>-5.6280000000000001</v>
      </c>
      <c r="I154" s="321" t="s">
        <v>139</v>
      </c>
      <c r="J154" s="322">
        <f>COUNTA(A129:A160)</f>
        <v>32</v>
      </c>
      <c r="K154" s="304"/>
      <c r="M154" s="294" t="s">
        <v>317</v>
      </c>
    </row>
    <row r="155" spans="1:28">
      <c r="A155" s="295" t="s">
        <v>318</v>
      </c>
      <c r="B155" s="349">
        <v>-5.6500682748702102</v>
      </c>
      <c r="C155" s="299"/>
      <c r="D155" s="288">
        <v>0.57716593661781801</v>
      </c>
      <c r="E155" s="289">
        <v>3</v>
      </c>
      <c r="F155" s="289">
        <v>349.84</v>
      </c>
      <c r="G155" s="290">
        <v>3.09</v>
      </c>
      <c r="H155" s="291">
        <f t="shared" si="2"/>
        <v>-5.8384</v>
      </c>
      <c r="M155" s="294" t="s">
        <v>319</v>
      </c>
    </row>
    <row r="156" spans="1:28">
      <c r="A156" s="305" t="s">
        <v>320</v>
      </c>
      <c r="B156" s="349">
        <v>-3.28971938092341</v>
      </c>
      <c r="C156" s="299"/>
      <c r="D156" s="288">
        <v>0.70324590282883903</v>
      </c>
      <c r="E156" s="289">
        <v>3</v>
      </c>
      <c r="F156" s="289">
        <v>204</v>
      </c>
      <c r="G156" s="290">
        <v>0.88</v>
      </c>
      <c r="H156" s="291">
        <f t="shared" si="2"/>
        <v>-2.17</v>
      </c>
      <c r="I156" s="324" t="s">
        <v>144</v>
      </c>
      <c r="J156" s="307"/>
      <c r="K156" s="307"/>
      <c r="L156" s="308"/>
      <c r="M156" s="294" t="s">
        <v>321</v>
      </c>
    </row>
    <row r="157" spans="1:28">
      <c r="A157" s="295" t="s">
        <v>322</v>
      </c>
      <c r="B157" s="349">
        <v>-5.5281889780390596</v>
      </c>
      <c r="C157" s="299"/>
      <c r="D157" s="288">
        <v>0.72379035887947596</v>
      </c>
      <c r="E157" s="289">
        <v>7</v>
      </c>
      <c r="F157" s="289">
        <v>97.8</v>
      </c>
      <c r="G157" s="290">
        <v>6</v>
      </c>
      <c r="H157" s="291">
        <f t="shared" si="2"/>
        <v>-6.2279999999999998</v>
      </c>
      <c r="I157" s="310" t="s">
        <v>769</v>
      </c>
      <c r="J157" s="311"/>
      <c r="K157" s="311"/>
      <c r="L157" s="312"/>
      <c r="M157" s="294" t="s">
        <v>323</v>
      </c>
    </row>
    <row r="158" spans="1:28">
      <c r="A158" s="295" t="s">
        <v>324</v>
      </c>
      <c r="B158" s="349">
        <v>-7.0761488270922897</v>
      </c>
      <c r="C158" s="299"/>
      <c r="D158" s="288">
        <v>0.84033450922624497</v>
      </c>
      <c r="E158" s="289">
        <v>5</v>
      </c>
      <c r="F158" s="289">
        <v>262</v>
      </c>
      <c r="G158" s="290">
        <v>7.26</v>
      </c>
      <c r="H158" s="291">
        <f t="shared" si="2"/>
        <v>-9.129999999999999</v>
      </c>
      <c r="I158" s="313" t="s">
        <v>770</v>
      </c>
      <c r="J158" s="314"/>
      <c r="K158" s="314"/>
      <c r="L158" s="316"/>
      <c r="M158" s="294" t="s">
        <v>325</v>
      </c>
    </row>
    <row r="159" spans="1:28">
      <c r="A159" s="295" t="s">
        <v>326</v>
      </c>
      <c r="B159" s="349">
        <v>-6.5116540129202898</v>
      </c>
      <c r="C159" s="299"/>
      <c r="D159" s="288">
        <v>0.70969645885144095</v>
      </c>
      <c r="E159" s="289">
        <v>11</v>
      </c>
      <c r="F159" s="289">
        <v>149.6</v>
      </c>
      <c r="G159" s="290">
        <v>6.45</v>
      </c>
      <c r="H159" s="291">
        <f t="shared" si="2"/>
        <v>-7.1959999999999997</v>
      </c>
      <c r="I159" s="313"/>
      <c r="J159" s="314"/>
      <c r="K159" s="314"/>
      <c r="L159" s="316"/>
      <c r="M159" s="294" t="s">
        <v>327</v>
      </c>
    </row>
    <row r="160" spans="1:28" s="334" customFormat="1">
      <c r="A160" s="285" t="s">
        <v>328</v>
      </c>
      <c r="B160" s="349">
        <v>-3.3047365979037</v>
      </c>
      <c r="C160" s="299"/>
      <c r="D160" s="288">
        <v>0.49644864464459898</v>
      </c>
      <c r="E160" s="289">
        <v>4</v>
      </c>
      <c r="F160" s="289">
        <v>304.5</v>
      </c>
      <c r="G160" s="290">
        <v>2.69</v>
      </c>
      <c r="H160" s="291">
        <f t="shared" si="2"/>
        <v>-4.9849999999999994</v>
      </c>
      <c r="I160" s="313"/>
      <c r="J160" s="314"/>
      <c r="K160" s="314"/>
      <c r="L160" s="316"/>
      <c r="M160" s="294" t="s">
        <v>329</v>
      </c>
      <c r="N160" s="241"/>
      <c r="O160" s="241"/>
      <c r="P160" s="241"/>
      <c r="Q160" s="241"/>
      <c r="R160" s="241"/>
      <c r="S160" s="241"/>
      <c r="T160" s="241"/>
      <c r="U160" s="241"/>
      <c r="V160" s="241"/>
      <c r="W160" s="241"/>
      <c r="X160" s="241"/>
      <c r="Y160" s="241"/>
      <c r="Z160" s="241"/>
      <c r="AA160" s="241"/>
      <c r="AB160" s="241"/>
    </row>
    <row r="161" spans="1:28">
      <c r="A161" s="334"/>
      <c r="B161" s="334"/>
      <c r="C161" s="326" t="s">
        <v>261</v>
      </c>
      <c r="D161" s="327">
        <f>AVERAGE(D129:D160)</f>
        <v>0.61629001144944584</v>
      </c>
      <c r="E161" s="334"/>
      <c r="F161" s="334"/>
      <c r="G161" s="334"/>
      <c r="H161" s="330" t="s">
        <v>262</v>
      </c>
      <c r="I161" s="313"/>
      <c r="J161" s="314"/>
      <c r="K161" s="314"/>
      <c r="L161" s="316"/>
      <c r="M161" s="272"/>
      <c r="N161" s="334"/>
      <c r="O161" s="334"/>
      <c r="P161" s="334"/>
      <c r="Q161" s="334"/>
      <c r="R161" s="334"/>
      <c r="S161" s="334"/>
      <c r="T161" s="334"/>
      <c r="U161" s="334"/>
      <c r="V161" s="334"/>
      <c r="W161" s="334"/>
      <c r="X161" s="334"/>
      <c r="Y161" s="334"/>
      <c r="Z161" s="334"/>
      <c r="AA161" s="334"/>
      <c r="AB161" s="334"/>
    </row>
    <row r="162" spans="1:28">
      <c r="A162" s="294"/>
      <c r="C162" s="326" t="s">
        <v>263</v>
      </c>
      <c r="D162" s="327">
        <f>MIN(D129:D160)</f>
        <v>0.49644864464459898</v>
      </c>
      <c r="E162" s="328"/>
      <c r="F162" s="329"/>
      <c r="G162" s="329"/>
      <c r="H162" s="330" t="s">
        <v>330</v>
      </c>
      <c r="I162" s="313"/>
      <c r="J162" s="314"/>
      <c r="K162" s="314"/>
      <c r="L162" s="316"/>
      <c r="M162" s="294"/>
    </row>
    <row r="163" spans="1:28">
      <c r="A163" s="294"/>
      <c r="C163" s="326" t="s">
        <v>265</v>
      </c>
      <c r="D163" s="327">
        <f>MAX(D129:D160)</f>
        <v>0.92735432696895004</v>
      </c>
      <c r="E163" s="328"/>
      <c r="F163" s="329"/>
      <c r="G163" s="329"/>
      <c r="H163" s="330"/>
      <c r="I163" s="325"/>
      <c r="J163" s="319"/>
      <c r="K163" s="319"/>
      <c r="L163" s="320"/>
      <c r="M163" s="294"/>
    </row>
    <row r="165" spans="1:28">
      <c r="A165" s="241" t="s">
        <v>711</v>
      </c>
    </row>
    <row r="166" spans="1:28">
      <c r="A166" s="241" t="s">
        <v>332</v>
      </c>
    </row>
    <row r="168" spans="1:28">
      <c r="A168" s="241" t="s">
        <v>333</v>
      </c>
    </row>
    <row r="169" spans="1:28">
      <c r="A169" s="241" t="s">
        <v>712</v>
      </c>
    </row>
    <row r="170" spans="1:28" ht="15.75" customHeight="1"/>
    <row r="171" spans="1:28" s="244" customFormat="1" ht="19">
      <c r="A171" s="336" t="s">
        <v>335</v>
      </c>
    </row>
    <row r="172" spans="1:28" s="244" customFormat="1" ht="18">
      <c r="A172" s="337" t="s">
        <v>713</v>
      </c>
    </row>
    <row r="173" spans="1:28" s="244" customFormat="1" ht="16">
      <c r="A173" s="337" t="s">
        <v>714</v>
      </c>
    </row>
    <row r="174" spans="1:28" s="244" customFormat="1">
      <c r="A174" s="338" t="s">
        <v>715</v>
      </c>
    </row>
    <row r="175" spans="1:28" s="244" customFormat="1">
      <c r="A175" s="339" t="s">
        <v>716</v>
      </c>
    </row>
    <row r="176" spans="1:28" s="244" customFormat="1">
      <c r="A176" s="340" t="s">
        <v>717</v>
      </c>
    </row>
    <row r="177" spans="1:1" s="244" customFormat="1">
      <c r="A177" s="244" t="s">
        <v>718</v>
      </c>
    </row>
    <row r="178" spans="1:1" s="244" customFormat="1">
      <c r="A178" s="341" t="s">
        <v>719</v>
      </c>
    </row>
    <row r="179" spans="1:1" s="244" customFormat="1">
      <c r="A179" s="244" t="s">
        <v>720</v>
      </c>
    </row>
    <row r="180" spans="1:1" s="244" customFormat="1">
      <c r="A180" s="340" t="s">
        <v>721</v>
      </c>
    </row>
    <row r="181" spans="1:1" s="244" customFormat="1">
      <c r="A181" s="244" t="s">
        <v>722</v>
      </c>
    </row>
    <row r="182" spans="1:1" s="244" customFormat="1">
      <c r="A182" s="244" t="s">
        <v>723</v>
      </c>
    </row>
    <row r="183" spans="1:1" s="244" customFormat="1">
      <c r="A183" s="338" t="s">
        <v>724</v>
      </c>
    </row>
    <row r="184" spans="1:1" s="244" customFormat="1">
      <c r="A184" s="338" t="s">
        <v>725</v>
      </c>
    </row>
    <row r="185" spans="1:1" s="244" customFormat="1">
      <c r="A185" s="244" t="s">
        <v>726</v>
      </c>
    </row>
    <row r="186" spans="1:1" s="244" customFormat="1">
      <c r="A186" s="244" t="s">
        <v>727</v>
      </c>
    </row>
    <row r="187" spans="1:1" s="244" customFormat="1">
      <c r="A187" s="341" t="s">
        <v>728</v>
      </c>
    </row>
    <row r="188" spans="1:1" s="244" customFormat="1">
      <c r="A188" s="341" t="s">
        <v>729</v>
      </c>
    </row>
    <row r="189" spans="1:1" s="244" customFormat="1">
      <c r="A189" s="340" t="s">
        <v>730</v>
      </c>
    </row>
    <row r="190" spans="1:1" s="244" customFormat="1">
      <c r="A190" s="341" t="s">
        <v>750</v>
      </c>
    </row>
    <row r="191" spans="1:1" s="244" customFormat="1">
      <c r="A191" s="244" t="s">
        <v>751</v>
      </c>
    </row>
    <row r="192" spans="1:1" s="244" customFormat="1"/>
    <row r="193" spans="1:24">
      <c r="A193" s="342" t="s">
        <v>733</v>
      </c>
    </row>
    <row r="194" spans="1:24">
      <c r="A194" s="356" t="s">
        <v>752</v>
      </c>
      <c r="B194" s="357"/>
      <c r="C194" s="357"/>
      <c r="D194" s="357"/>
      <c r="E194" s="357"/>
      <c r="F194" s="357"/>
      <c r="G194" s="357"/>
      <c r="H194" s="357"/>
      <c r="I194" s="357"/>
      <c r="J194" s="357"/>
      <c r="K194" s="357"/>
      <c r="L194" s="357"/>
      <c r="M194" s="358"/>
      <c r="N194" s="357"/>
      <c r="O194" s="357"/>
      <c r="P194" s="357"/>
      <c r="Q194" s="357"/>
      <c r="R194" s="357"/>
      <c r="S194" s="357"/>
      <c r="T194" s="357"/>
      <c r="U194" s="357"/>
      <c r="V194" s="357"/>
      <c r="W194" s="357"/>
      <c r="X194" s="359"/>
    </row>
    <row r="195" spans="1:24">
      <c r="A195" s="317" t="s">
        <v>753</v>
      </c>
      <c r="B195" s="256"/>
      <c r="C195" s="256"/>
      <c r="D195" s="256"/>
      <c r="E195" s="256"/>
      <c r="F195" s="256"/>
      <c r="G195" s="256"/>
      <c r="H195" s="256"/>
      <c r="I195" s="256"/>
      <c r="J195" s="256"/>
      <c r="K195" s="256"/>
      <c r="L195" s="256"/>
      <c r="M195" s="257"/>
      <c r="N195" s="256"/>
      <c r="O195" s="256"/>
      <c r="P195" s="256"/>
      <c r="Q195" s="256"/>
      <c r="R195" s="256"/>
      <c r="S195" s="256"/>
      <c r="T195" s="256"/>
      <c r="U195" s="256"/>
      <c r="V195" s="256"/>
      <c r="W195" s="256"/>
      <c r="X195" s="258"/>
    </row>
    <row r="196" spans="1:24">
      <c r="A196" s="317" t="s">
        <v>754</v>
      </c>
      <c r="B196" s="256"/>
      <c r="C196" s="256"/>
      <c r="D196" s="256"/>
      <c r="E196" s="256"/>
      <c r="F196" s="256"/>
      <c r="G196" s="256"/>
      <c r="H196" s="256"/>
      <c r="I196" s="256"/>
      <c r="J196" s="256"/>
      <c r="K196" s="256"/>
      <c r="L196" s="256"/>
      <c r="M196" s="257"/>
      <c r="N196" s="256"/>
      <c r="O196" s="256"/>
      <c r="P196" s="256"/>
      <c r="Q196" s="256"/>
      <c r="R196" s="256"/>
      <c r="S196" s="256"/>
      <c r="T196" s="256"/>
      <c r="U196" s="256"/>
      <c r="V196" s="256"/>
      <c r="W196" s="256"/>
      <c r="X196" s="258"/>
    </row>
    <row r="197" spans="1:24">
      <c r="A197" s="317" t="s">
        <v>755</v>
      </c>
      <c r="B197" s="256"/>
      <c r="C197" s="256"/>
      <c r="D197" s="256"/>
      <c r="E197" s="256"/>
      <c r="F197" s="256"/>
      <c r="G197" s="256"/>
      <c r="H197" s="256"/>
      <c r="I197" s="256"/>
      <c r="J197" s="256"/>
      <c r="K197" s="256"/>
      <c r="L197" s="256"/>
      <c r="M197" s="257"/>
      <c r="N197" s="256"/>
      <c r="O197" s="256"/>
      <c r="P197" s="256"/>
      <c r="Q197" s="256"/>
      <c r="R197" s="256"/>
      <c r="S197" s="256"/>
      <c r="T197" s="256"/>
      <c r="U197" s="256"/>
      <c r="V197" s="256"/>
      <c r="W197" s="256"/>
      <c r="X197" s="258"/>
    </row>
    <row r="198" spans="1:24">
      <c r="A198" s="317" t="s">
        <v>756</v>
      </c>
      <c r="B198" s="256"/>
      <c r="C198" s="256"/>
      <c r="D198" s="256"/>
      <c r="E198" s="256"/>
      <c r="F198" s="256"/>
      <c r="G198" s="256"/>
      <c r="H198" s="256"/>
      <c r="I198" s="256"/>
      <c r="J198" s="256"/>
      <c r="K198" s="256"/>
      <c r="L198" s="256"/>
      <c r="M198" s="257"/>
      <c r="N198" s="256"/>
      <c r="O198" s="256"/>
      <c r="P198" s="256"/>
      <c r="Q198" s="256"/>
      <c r="R198" s="256"/>
      <c r="S198" s="256"/>
      <c r="T198" s="256"/>
      <c r="U198" s="256"/>
      <c r="V198" s="256"/>
      <c r="W198" s="256"/>
      <c r="X198" s="258"/>
    </row>
    <row r="199" spans="1:24">
      <c r="A199" s="317" t="s">
        <v>757</v>
      </c>
      <c r="B199" s="256"/>
      <c r="C199" s="256"/>
      <c r="D199" s="256"/>
      <c r="E199" s="256"/>
      <c r="F199" s="256"/>
      <c r="G199" s="256"/>
      <c r="H199" s="256"/>
      <c r="I199" s="256"/>
      <c r="J199" s="256"/>
      <c r="K199" s="256"/>
      <c r="L199" s="256"/>
      <c r="M199" s="257"/>
      <c r="N199" s="256"/>
      <c r="O199" s="256"/>
      <c r="P199" s="256"/>
      <c r="Q199" s="256"/>
      <c r="R199" s="256"/>
      <c r="S199" s="256"/>
      <c r="T199" s="256"/>
      <c r="U199" s="256"/>
      <c r="V199" s="256"/>
      <c r="W199" s="256"/>
      <c r="X199" s="258"/>
    </row>
    <row r="200" spans="1:24">
      <c r="A200" s="317" t="s">
        <v>758</v>
      </c>
      <c r="B200" s="256"/>
      <c r="C200" s="256"/>
      <c r="D200" s="256"/>
      <c r="E200" s="256"/>
      <c r="F200" s="256"/>
      <c r="G200" s="256"/>
      <c r="H200" s="256"/>
      <c r="I200" s="256"/>
      <c r="J200" s="256"/>
      <c r="K200" s="256"/>
      <c r="L200" s="256"/>
      <c r="M200" s="257"/>
      <c r="N200" s="256"/>
      <c r="O200" s="256"/>
      <c r="P200" s="256"/>
      <c r="Q200" s="256"/>
      <c r="R200" s="256"/>
      <c r="S200" s="256"/>
      <c r="T200" s="256"/>
      <c r="U200" s="256"/>
      <c r="V200" s="256"/>
      <c r="W200" s="256"/>
      <c r="X200" s="258"/>
    </row>
    <row r="201" spans="1:24">
      <c r="A201" s="317" t="s">
        <v>759</v>
      </c>
      <c r="B201" s="256"/>
      <c r="C201" s="256"/>
      <c r="D201" s="256"/>
      <c r="E201" s="256"/>
      <c r="F201" s="256"/>
      <c r="G201" s="256"/>
      <c r="H201" s="256"/>
      <c r="I201" s="256"/>
      <c r="J201" s="256"/>
      <c r="K201" s="256"/>
      <c r="L201" s="256"/>
      <c r="M201" s="257"/>
      <c r="N201" s="256"/>
      <c r="O201" s="256"/>
      <c r="P201" s="256"/>
      <c r="Q201" s="256"/>
      <c r="R201" s="256"/>
      <c r="S201" s="256"/>
      <c r="T201" s="256"/>
      <c r="U201" s="256"/>
      <c r="V201" s="256"/>
      <c r="W201" s="256"/>
      <c r="X201" s="258"/>
    </row>
    <row r="202" spans="1:24">
      <c r="A202" s="317" t="s">
        <v>760</v>
      </c>
      <c r="B202" s="256"/>
      <c r="C202" s="256"/>
      <c r="D202" s="256"/>
      <c r="E202" s="256"/>
      <c r="F202" s="256"/>
      <c r="G202" s="256"/>
      <c r="H202" s="256"/>
      <c r="I202" s="256"/>
      <c r="J202" s="256"/>
      <c r="K202" s="256"/>
      <c r="L202" s="256"/>
      <c r="M202" s="257"/>
      <c r="N202" s="256"/>
      <c r="O202" s="256"/>
      <c r="P202" s="256"/>
      <c r="Q202" s="256"/>
      <c r="R202" s="256"/>
      <c r="S202" s="256"/>
      <c r="T202" s="256"/>
      <c r="U202" s="256"/>
      <c r="V202" s="256"/>
      <c r="W202" s="256"/>
      <c r="X202" s="258"/>
    </row>
    <row r="203" spans="1:24">
      <c r="A203" s="317" t="s">
        <v>761</v>
      </c>
      <c r="B203" s="256"/>
      <c r="C203" s="256"/>
      <c r="D203" s="256"/>
      <c r="E203" s="256"/>
      <c r="F203" s="256"/>
      <c r="G203" s="256"/>
      <c r="H203" s="256"/>
      <c r="I203" s="256"/>
      <c r="J203" s="256"/>
      <c r="K203" s="256"/>
      <c r="L203" s="256"/>
      <c r="M203" s="257"/>
      <c r="N203" s="256"/>
      <c r="O203" s="256"/>
      <c r="P203" s="256"/>
      <c r="Q203" s="256"/>
      <c r="R203" s="256"/>
      <c r="S203" s="256"/>
      <c r="T203" s="256"/>
      <c r="U203" s="256"/>
      <c r="V203" s="256"/>
      <c r="W203" s="256"/>
      <c r="X203" s="258"/>
    </row>
    <row r="204" spans="1:24">
      <c r="A204" s="317" t="s">
        <v>762</v>
      </c>
      <c r="B204" s="256"/>
      <c r="C204" s="256"/>
      <c r="D204" s="256"/>
      <c r="E204" s="256"/>
      <c r="F204" s="256"/>
      <c r="G204" s="256"/>
      <c r="H204" s="256"/>
      <c r="I204" s="256"/>
      <c r="J204" s="256"/>
      <c r="K204" s="256"/>
      <c r="L204" s="256"/>
      <c r="M204" s="257"/>
      <c r="N204" s="256"/>
      <c r="O204" s="256"/>
      <c r="P204" s="256"/>
      <c r="Q204" s="256"/>
      <c r="R204" s="256"/>
      <c r="S204" s="256"/>
      <c r="T204" s="256"/>
      <c r="U204" s="256"/>
      <c r="V204" s="256"/>
      <c r="W204" s="256"/>
      <c r="X204" s="258"/>
    </row>
    <row r="205" spans="1:24">
      <c r="A205" s="317" t="s">
        <v>763</v>
      </c>
      <c r="B205" s="256"/>
      <c r="C205" s="256"/>
      <c r="D205" s="256"/>
      <c r="E205" s="256"/>
      <c r="F205" s="256"/>
      <c r="G205" s="256"/>
      <c r="H205" s="256"/>
      <c r="I205" s="256"/>
      <c r="J205" s="256"/>
      <c r="K205" s="256"/>
      <c r="L205" s="256"/>
      <c r="M205" s="257"/>
      <c r="N205" s="256"/>
      <c r="O205" s="256"/>
      <c r="P205" s="256"/>
      <c r="Q205" s="256"/>
      <c r="R205" s="256"/>
      <c r="S205" s="256"/>
      <c r="T205" s="256"/>
      <c r="U205" s="256"/>
      <c r="V205" s="256"/>
      <c r="W205" s="256"/>
      <c r="X205" s="258"/>
    </row>
    <row r="206" spans="1:24">
      <c r="A206" s="317" t="s">
        <v>764</v>
      </c>
      <c r="B206" s="256"/>
      <c r="C206" s="256"/>
      <c r="D206" s="256"/>
      <c r="E206" s="256"/>
      <c r="F206" s="256"/>
      <c r="G206" s="256"/>
      <c r="H206" s="256"/>
      <c r="I206" s="256"/>
      <c r="J206" s="256"/>
      <c r="K206" s="256"/>
      <c r="L206" s="256"/>
      <c r="M206" s="257"/>
      <c r="N206" s="256"/>
      <c r="O206" s="256"/>
      <c r="P206" s="256"/>
      <c r="Q206" s="256"/>
      <c r="R206" s="256"/>
      <c r="S206" s="256"/>
      <c r="T206" s="256"/>
      <c r="U206" s="256"/>
      <c r="V206" s="256"/>
      <c r="W206" s="256"/>
      <c r="X206" s="258"/>
    </row>
    <row r="207" spans="1:24">
      <c r="A207" s="317" t="s">
        <v>765</v>
      </c>
      <c r="B207" s="256"/>
      <c r="C207" s="256"/>
      <c r="D207" s="256"/>
      <c r="E207" s="256"/>
      <c r="F207" s="256"/>
      <c r="G207" s="256"/>
      <c r="H207" s="256"/>
      <c r="I207" s="256"/>
      <c r="J207" s="256"/>
      <c r="K207" s="256"/>
      <c r="L207" s="256"/>
      <c r="M207" s="257"/>
      <c r="N207" s="256"/>
      <c r="O207" s="256"/>
      <c r="P207" s="256"/>
      <c r="Q207" s="256"/>
      <c r="R207" s="256"/>
      <c r="S207" s="256"/>
      <c r="T207" s="256"/>
      <c r="U207" s="256"/>
      <c r="V207" s="256"/>
      <c r="W207" s="256"/>
      <c r="X207" s="258"/>
    </row>
    <row r="208" spans="1:24">
      <c r="A208" s="261" t="s">
        <v>766</v>
      </c>
      <c r="B208" s="263"/>
      <c r="C208" s="263"/>
      <c r="D208" s="263"/>
      <c r="E208" s="263"/>
      <c r="F208" s="263"/>
      <c r="G208" s="263"/>
      <c r="H208" s="263"/>
      <c r="I208" s="263"/>
      <c r="J208" s="263"/>
      <c r="K208" s="263"/>
      <c r="L208" s="263"/>
      <c r="M208" s="264"/>
      <c r="N208" s="263"/>
      <c r="O208" s="263"/>
      <c r="P208" s="263"/>
      <c r="Q208" s="263"/>
      <c r="R208" s="263"/>
      <c r="S208" s="263"/>
      <c r="T208" s="263"/>
      <c r="U208" s="263"/>
      <c r="V208" s="263"/>
      <c r="W208" s="263"/>
      <c r="X208" s="265"/>
    </row>
  </sheetData>
  <pageMargins left="0" right="0" top="0" bottom="0" header="0.51180555555555496" footer="0.51180555555555496"/>
  <pageSetup scale="54" firstPageNumber="0" orientation="landscape"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30857-A724-484E-8652-DEDC39B53346}">
  <dimension ref="A1:AB194"/>
  <sheetViews>
    <sheetView workbookViewId="0">
      <selection activeCell="B4" sqref="B4:B9"/>
    </sheetView>
  </sheetViews>
  <sheetFormatPr baseColWidth="10" defaultColWidth="9.1640625" defaultRowHeight="15"/>
  <cols>
    <col min="1" max="1" width="18.83203125" customWidth="1"/>
    <col min="2" max="3" width="11.33203125" customWidth="1"/>
    <col min="4" max="4" width="7.6640625" customWidth="1"/>
    <col min="5" max="5" width="7.83203125" customWidth="1"/>
    <col min="6" max="6" width="10.1640625" customWidth="1"/>
    <col min="7" max="7" width="11.5" customWidth="1"/>
    <col min="9" max="9" width="13.1640625" customWidth="1"/>
    <col min="10" max="10" width="4.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t="s">
        <v>771</v>
      </c>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364"/>
      <c r="C8" s="44"/>
      <c r="D8" s="44"/>
      <c r="E8" s="44"/>
      <c r="F8" s="44"/>
      <c r="G8" s="44"/>
      <c r="H8" s="44"/>
      <c r="I8" s="44" t="s">
        <v>771</v>
      </c>
      <c r="J8" s="44"/>
      <c r="K8" s="44"/>
      <c r="L8" s="44"/>
      <c r="M8" s="48"/>
      <c r="N8" s="44"/>
      <c r="O8" s="44"/>
      <c r="P8" s="44"/>
      <c r="Q8" s="44"/>
      <c r="R8" s="45"/>
    </row>
    <row r="9" spans="1:25">
      <c r="A9" s="36" t="s">
        <v>7</v>
      </c>
      <c r="B9" s="118"/>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t="s">
        <v>32</v>
      </c>
      <c r="C14" t="s">
        <v>11</v>
      </c>
    </row>
    <row r="15" spans="1:25" s="90" customFormat="1">
      <c r="A15" s="89" t="s">
        <v>12</v>
      </c>
    </row>
    <row r="16" spans="1:25">
      <c r="B16" s="117"/>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s="365" t="s">
        <v>772</v>
      </c>
      <c r="C23" s="73" t="s">
        <v>30</v>
      </c>
      <c r="D23" s="12">
        <v>0.17592262140645501</v>
      </c>
      <c r="E23" s="10">
        <v>11</v>
      </c>
      <c r="F23" s="10">
        <v>258.5</v>
      </c>
      <c r="G23" s="6">
        <v>-0.86</v>
      </c>
      <c r="H23" s="14">
        <f t="shared" ref="H23:H86" si="0">0.5-G23-0.01*(F23-25)</f>
        <v>-0.97500000000000009</v>
      </c>
      <c r="I23" s="53" t="s">
        <v>31</v>
      </c>
      <c r="J23" s="54"/>
      <c r="K23" s="14"/>
      <c r="L23" s="14"/>
      <c r="M23" s="11" t="s">
        <v>33</v>
      </c>
    </row>
    <row r="24" spans="1:28">
      <c r="A24" s="82" t="s">
        <v>35</v>
      </c>
      <c r="B24" s="366" t="s">
        <v>773</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s="366" t="s">
        <v>774</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s="366" t="s">
        <v>775</v>
      </c>
      <c r="C26" s="73" t="s">
        <v>46</v>
      </c>
      <c r="D26" s="12">
        <v>0.16999222507469616</v>
      </c>
      <c r="E26" s="10">
        <v>3</v>
      </c>
      <c r="F26" s="10">
        <v>234</v>
      </c>
      <c r="G26" s="6">
        <v>3.19</v>
      </c>
      <c r="H26" s="14">
        <f t="shared" si="0"/>
        <v>-4.7799999999999994</v>
      </c>
      <c r="I26" s="15" t="s">
        <v>47</v>
      </c>
      <c r="J26" s="29" t="s">
        <v>32</v>
      </c>
      <c r="K26" s="14"/>
      <c r="L26" s="14"/>
      <c r="M26" s="11" t="s">
        <v>48</v>
      </c>
    </row>
    <row r="27" spans="1:28">
      <c r="A27" s="82" t="s">
        <v>50</v>
      </c>
      <c r="B27" s="366" t="s">
        <v>776</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s="366" t="s">
        <v>777</v>
      </c>
      <c r="C28" s="71"/>
      <c r="D28" s="12">
        <v>0.18412396392404196</v>
      </c>
      <c r="E28" s="10">
        <v>3</v>
      </c>
      <c r="F28" s="10">
        <v>224.00000000000003</v>
      </c>
      <c r="G28" s="6">
        <v>5.51</v>
      </c>
      <c r="H28" s="14">
        <f t="shared" si="0"/>
        <v>-7</v>
      </c>
      <c r="I28" s="15" t="s">
        <v>56</v>
      </c>
      <c r="J28" s="29"/>
      <c r="K28" s="14"/>
      <c r="L28" s="14"/>
      <c r="M28" s="11" t="s">
        <v>57</v>
      </c>
    </row>
    <row r="29" spans="1:28">
      <c r="A29" s="81" t="s">
        <v>59</v>
      </c>
      <c r="B29" s="366" t="s">
        <v>778</v>
      </c>
      <c r="C29" s="71"/>
      <c r="D29" s="12">
        <v>0.14933733874523175</v>
      </c>
      <c r="E29" s="10">
        <v>6</v>
      </c>
      <c r="F29" s="10">
        <v>172.5</v>
      </c>
      <c r="G29" s="6">
        <v>1.78</v>
      </c>
      <c r="H29" s="14">
        <f t="shared" si="0"/>
        <v>-2.7549999999999999</v>
      </c>
      <c r="I29" s="15" t="s">
        <v>60</v>
      </c>
      <c r="J29" s="31"/>
      <c r="K29" s="14"/>
      <c r="L29" s="14"/>
      <c r="M29" s="11" t="s">
        <v>61</v>
      </c>
    </row>
    <row r="30" spans="1:28">
      <c r="A30" s="81" t="s">
        <v>63</v>
      </c>
      <c r="B30" s="366" t="s">
        <v>779</v>
      </c>
      <c r="C30" s="71"/>
      <c r="D30" s="12">
        <v>0.14842266063120066</v>
      </c>
      <c r="E30" s="10">
        <v>4</v>
      </c>
      <c r="F30" s="10">
        <v>207.50000000000003</v>
      </c>
      <c r="G30" s="6">
        <v>1.86</v>
      </c>
      <c r="H30" s="14">
        <f t="shared" si="0"/>
        <v>-3.1850000000000005</v>
      </c>
      <c r="I30" s="30" t="s">
        <v>64</v>
      </c>
      <c r="J30" s="32"/>
      <c r="K30" s="33"/>
      <c r="L30" s="34"/>
      <c r="M30" s="11" t="s">
        <v>65</v>
      </c>
    </row>
    <row r="31" spans="1:28">
      <c r="A31" s="83" t="s">
        <v>66</v>
      </c>
      <c r="B31" s="366" t="s">
        <v>780</v>
      </c>
      <c r="C31" s="71"/>
      <c r="D31" s="12">
        <v>0.1617973106900604</v>
      </c>
      <c r="E31" s="10">
        <v>10</v>
      </c>
      <c r="F31" s="10">
        <v>166.5</v>
      </c>
      <c r="G31" s="6">
        <v>0.79</v>
      </c>
      <c r="H31" s="14">
        <f t="shared" si="0"/>
        <v>-1.7050000000000001</v>
      </c>
      <c r="J31" s="14"/>
      <c r="K31" s="14"/>
      <c r="L31" s="14"/>
      <c r="M31" s="11" t="s">
        <v>67</v>
      </c>
    </row>
    <row r="32" spans="1:28">
      <c r="A32" s="82" t="s">
        <v>68</v>
      </c>
      <c r="B32" s="366" t="s">
        <v>781</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s="367" t="s">
        <v>782</v>
      </c>
      <c r="C33" s="72"/>
      <c r="D33" s="4">
        <v>0.12912520605069597</v>
      </c>
      <c r="E33" s="2">
        <v>3</v>
      </c>
      <c r="F33" s="13">
        <v>192.7</v>
      </c>
      <c r="G33" s="6">
        <v>2.63</v>
      </c>
      <c r="H33" s="14">
        <f t="shared" si="0"/>
        <v>-3.8069999999999995</v>
      </c>
      <c r="I33" s="20" t="s">
        <v>783</v>
      </c>
      <c r="J33" s="21"/>
      <c r="K33" s="21"/>
      <c r="L33" s="22"/>
      <c r="M33" s="11" t="s">
        <v>72</v>
      </c>
    </row>
    <row r="34" spans="1:13">
      <c r="A34" s="81" t="s">
        <v>74</v>
      </c>
      <c r="B34" s="366" t="s">
        <v>784</v>
      </c>
      <c r="C34" s="71"/>
      <c r="D34" s="12">
        <v>0.14911462098310888</v>
      </c>
      <c r="E34" s="10">
        <v>6</v>
      </c>
      <c r="F34" s="10">
        <v>167</v>
      </c>
      <c r="G34" s="6">
        <v>6.32</v>
      </c>
      <c r="H34" s="14">
        <f t="shared" si="0"/>
        <v>-7.24</v>
      </c>
      <c r="I34" s="23"/>
      <c r="J34" s="7"/>
      <c r="K34" s="7"/>
      <c r="L34" s="24"/>
      <c r="M34" s="11" t="s">
        <v>75</v>
      </c>
    </row>
    <row r="35" spans="1:13">
      <c r="A35" s="82" t="s">
        <v>77</v>
      </c>
      <c r="B35" s="366" t="s">
        <v>785</v>
      </c>
      <c r="C35" s="71"/>
      <c r="D35" s="12">
        <v>0.15809078703524676</v>
      </c>
      <c r="E35" s="10">
        <v>15</v>
      </c>
      <c r="F35" s="10">
        <v>191.5</v>
      </c>
      <c r="G35" s="6">
        <v>3.39</v>
      </c>
      <c r="H35" s="14">
        <f t="shared" si="0"/>
        <v>-4.5549999999999997</v>
      </c>
      <c r="I35" s="23"/>
      <c r="J35" s="7"/>
      <c r="K35" s="7"/>
      <c r="L35" s="24"/>
      <c r="M35" s="11" t="s">
        <v>78</v>
      </c>
    </row>
    <row r="36" spans="1:13">
      <c r="A36" s="83" t="s">
        <v>80</v>
      </c>
      <c r="B36" s="366" t="s">
        <v>786</v>
      </c>
      <c r="C36" s="71"/>
      <c r="D36" s="12">
        <v>0.1911503089068218</v>
      </c>
      <c r="E36" s="10">
        <v>3</v>
      </c>
      <c r="F36" s="10">
        <v>246.2</v>
      </c>
      <c r="G36" s="6">
        <v>3.32</v>
      </c>
      <c r="H36" s="14">
        <f t="shared" si="0"/>
        <v>-5.032</v>
      </c>
      <c r="I36" s="25"/>
      <c r="J36" s="7"/>
      <c r="K36" s="7"/>
      <c r="L36" s="24"/>
      <c r="M36" s="11" t="s">
        <v>81</v>
      </c>
    </row>
    <row r="37" spans="1:13">
      <c r="A37" s="83" t="s">
        <v>73</v>
      </c>
      <c r="B37" s="366" t="s">
        <v>787</v>
      </c>
      <c r="C37" s="71"/>
      <c r="D37" s="12">
        <v>0.19050575600734274</v>
      </c>
      <c r="E37" s="10">
        <v>4</v>
      </c>
      <c r="F37" s="10">
        <v>304</v>
      </c>
      <c r="G37" s="6">
        <v>1.74</v>
      </c>
      <c r="H37" s="14">
        <f t="shared" si="0"/>
        <v>-4.03</v>
      </c>
      <c r="I37" s="25"/>
      <c r="J37" s="7"/>
      <c r="K37" s="7"/>
      <c r="L37" s="24"/>
      <c r="M37" s="11" t="s">
        <v>83</v>
      </c>
    </row>
    <row r="38" spans="1:13">
      <c r="A38" s="81" t="s">
        <v>76</v>
      </c>
      <c r="B38" s="366" t="s">
        <v>788</v>
      </c>
      <c r="C38" s="71"/>
      <c r="D38" s="12">
        <v>0.13682393527498057</v>
      </c>
      <c r="E38" s="10">
        <v>7</v>
      </c>
      <c r="F38" s="10">
        <v>187</v>
      </c>
      <c r="G38" s="6">
        <v>-0.87</v>
      </c>
      <c r="H38" s="14">
        <f t="shared" si="0"/>
        <v>-0.25</v>
      </c>
      <c r="I38" s="25"/>
      <c r="J38" s="7"/>
      <c r="K38" s="7"/>
      <c r="L38" s="24"/>
      <c r="M38" s="66" t="s">
        <v>85</v>
      </c>
    </row>
    <row r="39" spans="1:13">
      <c r="A39" s="81" t="s">
        <v>87</v>
      </c>
      <c r="B39" s="366" t="s">
        <v>789</v>
      </c>
      <c r="C39" s="71"/>
      <c r="D39" s="12">
        <v>0.20462356367492032</v>
      </c>
      <c r="E39" s="10">
        <v>4</v>
      </c>
      <c r="F39" s="10">
        <v>221.5</v>
      </c>
      <c r="G39" s="6">
        <v>0.71</v>
      </c>
      <c r="H39" s="14">
        <f t="shared" si="0"/>
        <v>-2.1749999999999998</v>
      </c>
      <c r="I39" s="25"/>
      <c r="J39" s="7"/>
      <c r="K39" s="7"/>
      <c r="L39" s="24"/>
      <c r="M39" s="11" t="s">
        <v>88</v>
      </c>
    </row>
    <row r="40" spans="1:13">
      <c r="A40" s="81" t="s">
        <v>90</v>
      </c>
      <c r="B40" s="366" t="s">
        <v>790</v>
      </c>
      <c r="C40" s="71"/>
      <c r="D40" s="12">
        <v>0.18274602564465547</v>
      </c>
      <c r="E40" s="10">
        <v>6</v>
      </c>
      <c r="F40" s="10">
        <v>157.83333333333334</v>
      </c>
      <c r="G40" s="6">
        <v>3.51</v>
      </c>
      <c r="H40" s="14">
        <f t="shared" si="0"/>
        <v>-4.3383333333333329</v>
      </c>
      <c r="I40" s="25"/>
      <c r="J40" s="39"/>
      <c r="K40" s="39"/>
      <c r="L40" s="40"/>
      <c r="M40" s="11" t="s">
        <v>91</v>
      </c>
    </row>
    <row r="41" spans="1:13">
      <c r="A41" s="84" t="s">
        <v>93</v>
      </c>
      <c r="B41" s="367" t="s">
        <v>791</v>
      </c>
      <c r="C41" s="72"/>
      <c r="D41" s="4">
        <v>0.12610247911779729</v>
      </c>
      <c r="E41" s="2">
        <v>8</v>
      </c>
      <c r="F41" s="10">
        <v>140</v>
      </c>
      <c r="G41" s="6">
        <v>0.35</v>
      </c>
      <c r="H41" s="14">
        <f t="shared" si="0"/>
        <v>-1</v>
      </c>
      <c r="I41" s="25"/>
      <c r="J41" s="39"/>
      <c r="K41" s="39"/>
      <c r="L41" s="40"/>
      <c r="M41" s="11" t="s">
        <v>94</v>
      </c>
    </row>
    <row r="42" spans="1:13">
      <c r="A42" s="82" t="s">
        <v>96</v>
      </c>
      <c r="B42" s="366" t="s">
        <v>792</v>
      </c>
      <c r="C42" s="71"/>
      <c r="D42" s="12">
        <v>0.14493441954543959</v>
      </c>
      <c r="E42" s="10">
        <v>7</v>
      </c>
      <c r="F42" s="10">
        <v>127.93333333333334</v>
      </c>
      <c r="G42" s="6">
        <v>1.74</v>
      </c>
      <c r="H42" s="14">
        <f t="shared" si="0"/>
        <v>-2.2693333333333334</v>
      </c>
      <c r="I42" s="25"/>
      <c r="J42" s="39"/>
      <c r="K42" s="39"/>
      <c r="L42" s="40"/>
      <c r="M42" s="11" t="s">
        <v>97</v>
      </c>
    </row>
    <row r="43" spans="1:13">
      <c r="A43" s="82" t="s">
        <v>79</v>
      </c>
      <c r="B43" s="366" t="s">
        <v>793</v>
      </c>
      <c r="C43" s="71"/>
      <c r="D43" s="12">
        <v>0.14861388626870758</v>
      </c>
      <c r="E43" s="10">
        <v>7</v>
      </c>
      <c r="F43" s="10">
        <v>176</v>
      </c>
      <c r="G43" s="6">
        <v>4.4800000000000004</v>
      </c>
      <c r="H43" s="14">
        <f t="shared" si="0"/>
        <v>-5.49</v>
      </c>
      <c r="I43" s="25"/>
      <c r="J43" s="39"/>
      <c r="K43" s="39"/>
      <c r="L43" s="40"/>
      <c r="M43" s="11" t="s">
        <v>99</v>
      </c>
    </row>
    <row r="44" spans="1:13">
      <c r="A44" s="85" t="s">
        <v>101</v>
      </c>
      <c r="B44" s="367" t="s">
        <v>794</v>
      </c>
      <c r="C44" s="72"/>
      <c r="D44" s="4">
        <v>0.1280711495400205</v>
      </c>
      <c r="E44" s="2">
        <v>3</v>
      </c>
      <c r="F44" s="10">
        <v>159.69999999999999</v>
      </c>
      <c r="G44" s="6">
        <v>3.46</v>
      </c>
      <c r="H44" s="14">
        <f t="shared" si="0"/>
        <v>-4.3070000000000004</v>
      </c>
      <c r="I44" s="25"/>
      <c r="J44" s="39"/>
      <c r="K44" s="39"/>
      <c r="L44" s="40"/>
      <c r="M44" s="11" t="s">
        <v>102</v>
      </c>
    </row>
    <row r="45" spans="1:13">
      <c r="A45" s="84" t="s">
        <v>104</v>
      </c>
      <c r="B45" s="367" t="s">
        <v>795</v>
      </c>
      <c r="C45" s="72"/>
      <c r="D45" s="4">
        <v>0.21683500301481054</v>
      </c>
      <c r="E45" s="2">
        <v>8</v>
      </c>
      <c r="F45" s="10">
        <v>142</v>
      </c>
      <c r="G45" s="6">
        <v>0.6</v>
      </c>
      <c r="H45" s="14">
        <f t="shared" si="0"/>
        <v>-1.27</v>
      </c>
      <c r="I45" s="25"/>
      <c r="J45" s="39"/>
      <c r="K45" s="39"/>
      <c r="L45" s="40"/>
      <c r="M45" s="11" t="s">
        <v>105</v>
      </c>
    </row>
    <row r="46" spans="1:13">
      <c r="A46" s="82" t="s">
        <v>107</v>
      </c>
      <c r="B46" s="366" t="s">
        <v>796</v>
      </c>
      <c r="C46" s="71"/>
      <c r="D46" s="12">
        <v>0.18255878892749886</v>
      </c>
      <c r="E46" s="10">
        <v>20</v>
      </c>
      <c r="F46" s="10">
        <v>267</v>
      </c>
      <c r="G46" s="6">
        <v>1.58</v>
      </c>
      <c r="H46" s="14">
        <f t="shared" si="0"/>
        <v>-3.5</v>
      </c>
      <c r="I46" s="25"/>
      <c r="J46" s="39"/>
      <c r="K46" s="39"/>
      <c r="L46" s="40"/>
      <c r="M46" s="11" t="s">
        <v>108</v>
      </c>
    </row>
    <row r="47" spans="1:13">
      <c r="A47" s="81" t="s">
        <v>110</v>
      </c>
      <c r="B47" s="366" t="s">
        <v>797</v>
      </c>
      <c r="C47" s="71"/>
      <c r="D47" s="12">
        <v>0.16704647063532602</v>
      </c>
      <c r="E47" s="10">
        <v>6</v>
      </c>
      <c r="F47" s="10">
        <v>110.00000000000001</v>
      </c>
      <c r="G47" s="6">
        <v>3.36</v>
      </c>
      <c r="H47" s="14">
        <f t="shared" si="0"/>
        <v>-3.71</v>
      </c>
      <c r="I47" s="25"/>
      <c r="J47" s="39"/>
      <c r="K47" s="39"/>
      <c r="L47" s="40"/>
      <c r="M47" s="11" t="s">
        <v>111</v>
      </c>
    </row>
    <row r="48" spans="1:13">
      <c r="A48" s="82" t="s">
        <v>82</v>
      </c>
      <c r="B48" s="366" t="s">
        <v>798</v>
      </c>
      <c r="C48" s="71"/>
      <c r="D48" s="12">
        <v>0.17164501312359953</v>
      </c>
      <c r="E48" s="10">
        <v>7</v>
      </c>
      <c r="F48" s="10">
        <v>182</v>
      </c>
      <c r="G48" s="6">
        <v>2.67</v>
      </c>
      <c r="H48" s="14">
        <f t="shared" si="0"/>
        <v>-3.74</v>
      </c>
      <c r="I48" s="25"/>
      <c r="J48" s="39"/>
      <c r="K48" s="39"/>
      <c r="L48" s="40"/>
      <c r="M48" s="11" t="s">
        <v>113</v>
      </c>
    </row>
    <row r="49" spans="1:13">
      <c r="A49" s="84" t="s">
        <v>115</v>
      </c>
      <c r="B49" s="367" t="s">
        <v>799</v>
      </c>
      <c r="C49" s="72"/>
      <c r="D49" s="4">
        <v>0.12558353028546052</v>
      </c>
      <c r="E49" s="2">
        <v>4</v>
      </c>
      <c r="F49" s="10">
        <v>222.00000000000003</v>
      </c>
      <c r="G49" s="6">
        <v>2.56</v>
      </c>
      <c r="H49" s="14">
        <f t="shared" si="0"/>
        <v>-4.03</v>
      </c>
      <c r="I49" s="25"/>
      <c r="J49" s="39"/>
      <c r="K49" s="39"/>
      <c r="L49" s="40"/>
      <c r="M49" s="11" t="s">
        <v>116</v>
      </c>
    </row>
    <row r="50" spans="1:13">
      <c r="A50" s="82" t="s">
        <v>118</v>
      </c>
      <c r="B50" s="366" t="s">
        <v>800</v>
      </c>
      <c r="C50" s="71"/>
      <c r="D50" s="12">
        <v>0.1568133990664792</v>
      </c>
      <c r="E50" s="10">
        <v>6</v>
      </c>
      <c r="F50" s="10">
        <v>151</v>
      </c>
      <c r="G50" s="6">
        <v>3.27</v>
      </c>
      <c r="H50" s="14">
        <f t="shared" si="0"/>
        <v>-4.03</v>
      </c>
      <c r="I50" s="25"/>
      <c r="J50" s="39"/>
      <c r="K50" s="39"/>
      <c r="L50" s="40"/>
      <c r="M50" s="11" t="s">
        <v>119</v>
      </c>
    </row>
    <row r="51" spans="1:13">
      <c r="A51" s="85" t="s">
        <v>84</v>
      </c>
      <c r="B51" s="367" t="s">
        <v>801</v>
      </c>
      <c r="C51" s="72"/>
      <c r="D51" s="4">
        <v>0.12789394574374285</v>
      </c>
      <c r="E51" s="2">
        <v>5</v>
      </c>
      <c r="F51" s="10">
        <v>330</v>
      </c>
      <c r="G51" s="6">
        <v>2.87</v>
      </c>
      <c r="H51" s="14">
        <f t="shared" si="0"/>
        <v>-5.42</v>
      </c>
      <c r="I51" s="25"/>
      <c r="J51" s="39"/>
      <c r="K51" s="39"/>
      <c r="L51" s="40"/>
      <c r="M51" s="11" t="s">
        <v>120</v>
      </c>
    </row>
    <row r="52" spans="1:13">
      <c r="A52" s="82" t="s">
        <v>121</v>
      </c>
      <c r="B52" s="366" t="s">
        <v>802</v>
      </c>
      <c r="C52" s="71"/>
      <c r="D52" s="12">
        <v>0.18012800124370357</v>
      </c>
      <c r="E52" s="10">
        <v>3</v>
      </c>
      <c r="F52" s="10">
        <v>100</v>
      </c>
      <c r="G52" s="6">
        <v>3.53</v>
      </c>
      <c r="H52" s="14">
        <f t="shared" si="0"/>
        <v>-3.78</v>
      </c>
      <c r="I52" s="23"/>
      <c r="J52" s="7"/>
      <c r="K52" s="7"/>
      <c r="L52" s="24"/>
      <c r="M52" s="11" t="s">
        <v>122</v>
      </c>
    </row>
    <row r="53" spans="1:13">
      <c r="A53" s="81" t="s">
        <v>123</v>
      </c>
      <c r="B53" s="366" t="s">
        <v>803</v>
      </c>
      <c r="C53" s="71"/>
      <c r="D53" s="12">
        <v>0.18062104750721683</v>
      </c>
      <c r="E53" s="10">
        <v>16</v>
      </c>
      <c r="F53" s="10">
        <v>262.5</v>
      </c>
      <c r="G53" s="6">
        <v>1.9</v>
      </c>
      <c r="H53" s="14">
        <f t="shared" si="0"/>
        <v>-3.7749999999999999</v>
      </c>
      <c r="I53" s="23"/>
      <c r="J53" s="7"/>
      <c r="K53" s="7"/>
      <c r="L53" s="24"/>
      <c r="M53" s="11" t="s">
        <v>124</v>
      </c>
    </row>
    <row r="54" spans="1:13">
      <c r="A54" s="84" t="s">
        <v>125</v>
      </c>
      <c r="B54" s="367" t="s">
        <v>804</v>
      </c>
      <c r="C54" s="72"/>
      <c r="D54" s="4">
        <v>0.22156244268660033</v>
      </c>
      <c r="E54" s="2">
        <v>4</v>
      </c>
      <c r="F54" s="10">
        <v>328.85</v>
      </c>
      <c r="G54" s="6">
        <v>1.87</v>
      </c>
      <c r="H54" s="14">
        <f t="shared" si="0"/>
        <v>-4.4085000000000001</v>
      </c>
      <c r="I54" s="23"/>
      <c r="J54" s="7"/>
      <c r="K54" s="7"/>
      <c r="L54" s="24"/>
      <c r="M54" s="11" t="s">
        <v>126</v>
      </c>
    </row>
    <row r="55" spans="1:13">
      <c r="A55" s="82" t="s">
        <v>127</v>
      </c>
      <c r="B55" s="366" t="s">
        <v>805</v>
      </c>
      <c r="C55" s="71"/>
      <c r="D55" s="12">
        <v>0.18450811780713378</v>
      </c>
      <c r="E55" s="10">
        <v>33</v>
      </c>
      <c r="F55" s="10">
        <v>167.5</v>
      </c>
      <c r="G55" s="6">
        <v>4.3600000000000003</v>
      </c>
      <c r="H55" s="14">
        <f t="shared" si="0"/>
        <v>-5.2850000000000001</v>
      </c>
      <c r="I55" s="23"/>
      <c r="J55" s="7"/>
      <c r="K55" s="7"/>
      <c r="L55" s="24"/>
      <c r="M55" s="11" t="s">
        <v>128</v>
      </c>
    </row>
    <row r="56" spans="1:13">
      <c r="A56" s="82" t="s">
        <v>86</v>
      </c>
      <c r="B56" s="366" t="s">
        <v>806</v>
      </c>
      <c r="C56" s="71"/>
      <c r="D56" s="12">
        <v>0.15609203233531485</v>
      </c>
      <c r="E56" s="10">
        <v>3</v>
      </c>
      <c r="F56" s="10">
        <v>223</v>
      </c>
      <c r="G56" s="6">
        <v>2.99</v>
      </c>
      <c r="H56" s="14">
        <f t="shared" si="0"/>
        <v>-4.4700000000000006</v>
      </c>
      <c r="I56" s="23"/>
      <c r="J56" s="7"/>
      <c r="K56" s="7"/>
      <c r="L56" s="24"/>
      <c r="M56" s="11" t="s">
        <v>129</v>
      </c>
    </row>
    <row r="57" spans="1:13">
      <c r="A57" s="82" t="s">
        <v>89</v>
      </c>
      <c r="B57" s="366" t="s">
        <v>807</v>
      </c>
      <c r="C57" s="71"/>
      <c r="D57" s="12">
        <v>0.20872343532408041</v>
      </c>
      <c r="E57" s="10">
        <v>3</v>
      </c>
      <c r="F57" s="10">
        <v>210.5</v>
      </c>
      <c r="G57" s="6">
        <v>2.72</v>
      </c>
      <c r="H57" s="14">
        <f t="shared" si="0"/>
        <v>-4.0750000000000002</v>
      </c>
      <c r="I57" s="26"/>
      <c r="J57" s="27"/>
      <c r="K57" s="27"/>
      <c r="L57" s="28"/>
      <c r="M57" s="11" t="s">
        <v>130</v>
      </c>
    </row>
    <row r="58" spans="1:13">
      <c r="A58" s="84" t="s">
        <v>131</v>
      </c>
      <c r="B58" s="367" t="s">
        <v>808</v>
      </c>
      <c r="C58" s="72"/>
      <c r="D58" s="4">
        <v>0.1297319013416561</v>
      </c>
      <c r="E58" s="2">
        <v>3</v>
      </c>
      <c r="F58" s="10">
        <v>209.75</v>
      </c>
      <c r="G58" s="6">
        <v>3.37</v>
      </c>
      <c r="H58" s="14">
        <f t="shared" si="0"/>
        <v>-4.7175000000000002</v>
      </c>
      <c r="J58" s="14"/>
      <c r="K58" s="14"/>
      <c r="L58" s="14"/>
      <c r="M58" s="11" t="s">
        <v>132</v>
      </c>
    </row>
    <row r="59" spans="1:13">
      <c r="A59" s="81" t="s">
        <v>92</v>
      </c>
      <c r="B59" s="366" t="s">
        <v>809</v>
      </c>
      <c r="C59" s="71"/>
      <c r="D59" s="12">
        <v>0.14124198841117766</v>
      </c>
      <c r="E59" s="10">
        <v>3</v>
      </c>
      <c r="F59" s="10">
        <v>53.5</v>
      </c>
      <c r="G59" s="6">
        <v>3.43</v>
      </c>
      <c r="H59" s="14">
        <f t="shared" si="0"/>
        <v>-3.2150000000000003</v>
      </c>
      <c r="I59" s="70" t="s">
        <v>133</v>
      </c>
      <c r="J59" s="871">
        <v>2666</v>
      </c>
      <c r="K59" s="872"/>
      <c r="L59" s="14"/>
      <c r="M59" s="11" t="s">
        <v>134</v>
      </c>
    </row>
    <row r="60" spans="1:13">
      <c r="A60" s="81" t="s">
        <v>135</v>
      </c>
      <c r="B60" s="366" t="s">
        <v>810</v>
      </c>
      <c r="C60" s="71"/>
      <c r="D60" s="12">
        <v>0.17069281866408892</v>
      </c>
      <c r="E60" s="10">
        <v>6</v>
      </c>
      <c r="F60" s="10">
        <v>270</v>
      </c>
      <c r="G60" s="6">
        <v>0.05</v>
      </c>
      <c r="H60" s="14">
        <f t="shared" si="0"/>
        <v>-2</v>
      </c>
      <c r="I60" s="70" t="s">
        <v>136</v>
      </c>
      <c r="J60" s="873" t="s">
        <v>811</v>
      </c>
      <c r="K60" s="874"/>
      <c r="L60" s="14"/>
      <c r="M60" s="11" t="s">
        <v>137</v>
      </c>
    </row>
    <row r="61" spans="1:13">
      <c r="A61" s="82" t="s">
        <v>138</v>
      </c>
      <c r="B61" s="366" t="s">
        <v>812</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s="366" t="s">
        <v>813</v>
      </c>
      <c r="C62" s="71"/>
      <c r="D62" s="12">
        <v>0.18021422622763517</v>
      </c>
      <c r="E62" s="10">
        <v>5</v>
      </c>
      <c r="F62" s="10">
        <v>214.5</v>
      </c>
      <c r="G62" s="6">
        <v>3.61</v>
      </c>
      <c r="H62" s="14">
        <f t="shared" si="0"/>
        <v>-5.0049999999999999</v>
      </c>
      <c r="I62" s="14"/>
      <c r="J62" s="14"/>
      <c r="K62" s="14"/>
      <c r="L62" s="14"/>
      <c r="M62" s="11" t="s">
        <v>142</v>
      </c>
    </row>
    <row r="63" spans="1:13">
      <c r="A63" s="82" t="s">
        <v>143</v>
      </c>
      <c r="B63" s="366" t="s">
        <v>814</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s="366" t="s">
        <v>815</v>
      </c>
      <c r="C64" s="71"/>
      <c r="D64" s="12">
        <v>0.17</v>
      </c>
      <c r="E64" s="10">
        <v>3</v>
      </c>
      <c r="F64" s="10">
        <v>189</v>
      </c>
      <c r="G64" s="6">
        <v>1.34</v>
      </c>
      <c r="H64" s="14">
        <f t="shared" si="0"/>
        <v>-2.4800000000000004</v>
      </c>
      <c r="I64" s="20" t="s">
        <v>816</v>
      </c>
      <c r="J64" s="21"/>
      <c r="K64" s="21"/>
      <c r="L64" s="22"/>
      <c r="M64" s="11" t="s">
        <v>148</v>
      </c>
    </row>
    <row r="65" spans="1:13">
      <c r="A65" s="82" t="s">
        <v>149</v>
      </c>
      <c r="B65" s="366" t="s">
        <v>817</v>
      </c>
      <c r="C65" s="71"/>
      <c r="D65" s="12">
        <v>0.19794493160510693</v>
      </c>
      <c r="E65" s="10">
        <v>4</v>
      </c>
      <c r="F65" s="10">
        <v>243.5</v>
      </c>
      <c r="G65" s="6">
        <v>1.34</v>
      </c>
      <c r="H65" s="14">
        <f t="shared" si="0"/>
        <v>-3.0250000000000004</v>
      </c>
      <c r="I65" s="23" t="s">
        <v>818</v>
      </c>
      <c r="J65" s="7"/>
      <c r="K65" s="7"/>
      <c r="L65" s="24"/>
      <c r="M65" s="11" t="s">
        <v>151</v>
      </c>
    </row>
    <row r="66" spans="1:13">
      <c r="A66" s="81" t="s">
        <v>95</v>
      </c>
      <c r="B66" s="366" t="s">
        <v>819</v>
      </c>
      <c r="C66" s="71"/>
      <c r="D66" s="12">
        <v>0.21056099074293383</v>
      </c>
      <c r="E66" s="10">
        <v>3</v>
      </c>
      <c r="F66" s="10">
        <v>36.5</v>
      </c>
      <c r="G66" s="6">
        <v>2.74</v>
      </c>
      <c r="H66" s="14">
        <f t="shared" si="0"/>
        <v>-2.3550000000000004</v>
      </c>
      <c r="I66" s="23" t="s">
        <v>820</v>
      </c>
      <c r="J66" s="7"/>
      <c r="K66" s="7"/>
      <c r="L66" s="24"/>
      <c r="M66" s="11" t="s">
        <v>152</v>
      </c>
    </row>
    <row r="67" spans="1:13">
      <c r="A67" s="83" t="s">
        <v>153</v>
      </c>
      <c r="B67" s="366" t="s">
        <v>821</v>
      </c>
      <c r="C67" s="71"/>
      <c r="D67" s="12">
        <v>0.21092434073951916</v>
      </c>
      <c r="E67" s="10">
        <v>10</v>
      </c>
      <c r="F67" s="10">
        <v>186</v>
      </c>
      <c r="G67" s="6">
        <v>3.4</v>
      </c>
      <c r="H67" s="14">
        <f t="shared" si="0"/>
        <v>-4.51</v>
      </c>
      <c r="I67" s="23" t="s">
        <v>822</v>
      </c>
      <c r="J67" s="7"/>
      <c r="K67" s="7"/>
      <c r="L67" s="24"/>
      <c r="M67" s="11" t="s">
        <v>154</v>
      </c>
    </row>
    <row r="68" spans="1:13">
      <c r="A68" s="81" t="s">
        <v>98</v>
      </c>
      <c r="B68" s="366" t="s">
        <v>823</v>
      </c>
      <c r="C68" s="71"/>
      <c r="D68" s="12">
        <v>0.18695478693957188</v>
      </c>
      <c r="E68" s="10">
        <v>3</v>
      </c>
      <c r="F68" s="10">
        <v>252.99999999999997</v>
      </c>
      <c r="G68" s="6">
        <v>2.35</v>
      </c>
      <c r="H68" s="14">
        <f t="shared" si="0"/>
        <v>-4.13</v>
      </c>
      <c r="I68" s="23" t="s">
        <v>635</v>
      </c>
      <c r="J68" s="7"/>
      <c r="K68" s="7"/>
      <c r="L68" s="24"/>
      <c r="M68" s="11" t="s">
        <v>155</v>
      </c>
    </row>
    <row r="69" spans="1:13">
      <c r="A69" s="83" t="s">
        <v>156</v>
      </c>
      <c r="B69" s="366" t="s">
        <v>824</v>
      </c>
      <c r="C69" s="71"/>
      <c r="D69" s="12">
        <v>0.20491085989689112</v>
      </c>
      <c r="E69" s="10">
        <v>23</v>
      </c>
      <c r="F69" s="10">
        <v>111.00000000000001</v>
      </c>
      <c r="G69" s="6">
        <v>3.68</v>
      </c>
      <c r="H69" s="14">
        <f t="shared" si="0"/>
        <v>-4.04</v>
      </c>
      <c r="I69" s="23" t="s">
        <v>825</v>
      </c>
      <c r="J69" s="7"/>
      <c r="K69" s="7"/>
      <c r="L69" s="24"/>
      <c r="M69" s="11" t="s">
        <v>157</v>
      </c>
    </row>
    <row r="70" spans="1:13">
      <c r="A70" s="81" t="s">
        <v>158</v>
      </c>
      <c r="B70" s="366" t="s">
        <v>826</v>
      </c>
      <c r="C70" s="71"/>
      <c r="D70" s="12">
        <v>0.15545016183846921</v>
      </c>
      <c r="E70" s="10">
        <v>6</v>
      </c>
      <c r="F70" s="10">
        <v>250</v>
      </c>
      <c r="G70" s="6">
        <v>-0.04</v>
      </c>
      <c r="H70" s="14">
        <f t="shared" si="0"/>
        <v>-1.71</v>
      </c>
      <c r="I70" s="23" t="s">
        <v>827</v>
      </c>
      <c r="J70" s="7"/>
      <c r="K70" s="7"/>
      <c r="L70" s="24"/>
      <c r="M70" s="11" t="s">
        <v>159</v>
      </c>
    </row>
    <row r="71" spans="1:13">
      <c r="A71" s="82" t="s">
        <v>160</v>
      </c>
      <c r="B71" s="366" t="s">
        <v>828</v>
      </c>
      <c r="C71" s="71"/>
      <c r="D71" s="12">
        <v>0.13261436390895148</v>
      </c>
      <c r="E71" s="10">
        <v>3</v>
      </c>
      <c r="F71" s="10">
        <v>250</v>
      </c>
      <c r="G71" s="6">
        <v>-1.97</v>
      </c>
      <c r="H71" s="14">
        <f t="shared" si="0"/>
        <v>0.21999999999999975</v>
      </c>
      <c r="I71" s="23"/>
      <c r="J71" s="7"/>
      <c r="K71" s="7"/>
      <c r="L71" s="24"/>
      <c r="M71" s="11" t="s">
        <v>161</v>
      </c>
    </row>
    <row r="72" spans="1:13">
      <c r="A72" s="82" t="s">
        <v>162</v>
      </c>
      <c r="B72" s="366" t="s">
        <v>829</v>
      </c>
      <c r="C72" s="71"/>
      <c r="D72" s="12">
        <v>0.21159815676624968</v>
      </c>
      <c r="E72" s="10">
        <v>9</v>
      </c>
      <c r="F72" s="10">
        <v>208.5</v>
      </c>
      <c r="G72" s="6">
        <v>2.08</v>
      </c>
      <c r="H72" s="14">
        <f t="shared" si="0"/>
        <v>-3.415</v>
      </c>
      <c r="I72" s="23"/>
      <c r="J72" s="7"/>
      <c r="K72" s="7"/>
      <c r="L72" s="24"/>
      <c r="M72" s="11" t="s">
        <v>163</v>
      </c>
    </row>
    <row r="73" spans="1:13">
      <c r="A73" s="82" t="s">
        <v>164</v>
      </c>
      <c r="B73" s="366" t="s">
        <v>830</v>
      </c>
      <c r="C73" s="71"/>
      <c r="D73" s="12">
        <v>0.1900151243705871</v>
      </c>
      <c r="E73" s="10">
        <v>15</v>
      </c>
      <c r="F73" s="10">
        <v>220.00000000000003</v>
      </c>
      <c r="G73" s="6">
        <v>2.69</v>
      </c>
      <c r="H73" s="14">
        <f t="shared" si="0"/>
        <v>-4.1400000000000006</v>
      </c>
      <c r="I73" s="23"/>
      <c r="J73" s="7"/>
      <c r="K73" s="7"/>
      <c r="L73" s="24"/>
      <c r="M73" s="11" t="s">
        <v>165</v>
      </c>
    </row>
    <row r="74" spans="1:13">
      <c r="A74" s="82" t="s">
        <v>166</v>
      </c>
      <c r="B74" s="366" t="s">
        <v>831</v>
      </c>
      <c r="C74" s="71"/>
      <c r="D74" s="12">
        <v>0.16978183023026608</v>
      </c>
      <c r="E74" s="10">
        <v>10</v>
      </c>
      <c r="F74" s="10">
        <v>151</v>
      </c>
      <c r="G74" s="6">
        <v>4.43</v>
      </c>
      <c r="H74" s="14">
        <f t="shared" si="0"/>
        <v>-5.1899999999999995</v>
      </c>
      <c r="I74" s="23"/>
      <c r="J74" s="7"/>
      <c r="K74" s="7"/>
      <c r="L74" s="24"/>
      <c r="M74" s="11" t="s">
        <v>167</v>
      </c>
    </row>
    <row r="75" spans="1:13">
      <c r="A75" s="83" t="s">
        <v>100</v>
      </c>
      <c r="B75" s="366" t="s">
        <v>832</v>
      </c>
      <c r="C75" s="71"/>
      <c r="D75" s="12">
        <v>0.19416214604145643</v>
      </c>
      <c r="E75" s="10">
        <v>7</v>
      </c>
      <c r="F75" s="10">
        <v>154.5</v>
      </c>
      <c r="G75" s="6">
        <v>4.22</v>
      </c>
      <c r="H75" s="14">
        <f t="shared" si="0"/>
        <v>-5.0149999999999997</v>
      </c>
      <c r="I75" s="23"/>
      <c r="J75" s="7"/>
      <c r="K75" s="7"/>
      <c r="L75" s="24"/>
      <c r="M75" s="11" t="s">
        <v>168</v>
      </c>
    </row>
    <row r="76" spans="1:13">
      <c r="A76" s="82" t="s">
        <v>169</v>
      </c>
      <c r="B76" s="366" t="s">
        <v>833</v>
      </c>
      <c r="C76" s="71"/>
      <c r="D76" s="12">
        <v>0.16048013551961601</v>
      </c>
      <c r="E76" s="10">
        <v>5</v>
      </c>
      <c r="F76" s="10">
        <v>167.75</v>
      </c>
      <c r="G76" s="6">
        <v>2.87</v>
      </c>
      <c r="H76" s="14">
        <f t="shared" si="0"/>
        <v>-3.7975000000000003</v>
      </c>
      <c r="I76" s="23"/>
      <c r="J76" s="7"/>
      <c r="K76" s="7"/>
      <c r="L76" s="24"/>
      <c r="M76" s="11" t="s">
        <v>170</v>
      </c>
    </row>
    <row r="77" spans="1:13">
      <c r="A77" s="84" t="s">
        <v>171</v>
      </c>
      <c r="B77" s="367" t="s">
        <v>834</v>
      </c>
      <c r="C77" s="72"/>
      <c r="D77" s="4">
        <v>0.22239504833634874</v>
      </c>
      <c r="E77" s="2">
        <v>21</v>
      </c>
      <c r="F77" s="10">
        <v>159</v>
      </c>
      <c r="G77" s="6">
        <v>3.93</v>
      </c>
      <c r="H77" s="14">
        <f t="shared" si="0"/>
        <v>-4.7700000000000005</v>
      </c>
      <c r="I77" s="23"/>
      <c r="J77" s="7"/>
      <c r="K77" s="7"/>
      <c r="L77" s="24"/>
      <c r="M77" s="11" t="s">
        <v>172</v>
      </c>
    </row>
    <row r="78" spans="1:13">
      <c r="A78" s="82" t="s">
        <v>173</v>
      </c>
      <c r="B78" s="366" t="s">
        <v>835</v>
      </c>
      <c r="C78" s="71"/>
      <c r="D78" s="12">
        <v>0.21209434799218393</v>
      </c>
      <c r="E78" s="10">
        <v>5</v>
      </c>
      <c r="F78" s="10">
        <v>213.49999999999997</v>
      </c>
      <c r="G78" s="6">
        <v>3.04</v>
      </c>
      <c r="H78" s="14">
        <f t="shared" si="0"/>
        <v>-4.4249999999999998</v>
      </c>
      <c r="I78" s="23"/>
      <c r="J78" s="7"/>
      <c r="K78" s="7"/>
      <c r="L78" s="24"/>
      <c r="M78" s="11" t="s">
        <v>174</v>
      </c>
    </row>
    <row r="79" spans="1:13">
      <c r="A79" s="82" t="s">
        <v>175</v>
      </c>
      <c r="B79" s="366" t="s">
        <v>836</v>
      </c>
      <c r="C79" s="71"/>
      <c r="D79" s="12">
        <v>0.1407224156406931</v>
      </c>
      <c r="E79" s="10">
        <v>11</v>
      </c>
      <c r="F79" s="10">
        <v>146</v>
      </c>
      <c r="G79" s="6">
        <v>4.21</v>
      </c>
      <c r="H79" s="14">
        <f t="shared" si="0"/>
        <v>-4.92</v>
      </c>
      <c r="I79" s="23"/>
      <c r="J79" s="7"/>
      <c r="K79" s="7"/>
      <c r="L79" s="24"/>
      <c r="M79" s="11" t="s">
        <v>176</v>
      </c>
    </row>
    <row r="80" spans="1:13">
      <c r="A80" s="82" t="s">
        <v>177</v>
      </c>
      <c r="B80" s="366" t="s">
        <v>837</v>
      </c>
      <c r="C80" s="71"/>
      <c r="D80" s="12">
        <v>0.21748916450754371</v>
      </c>
      <c r="E80" s="10">
        <v>5</v>
      </c>
      <c r="F80" s="10">
        <v>92.333333333333329</v>
      </c>
      <c r="G80" s="6">
        <v>4.21</v>
      </c>
      <c r="H80" s="14">
        <f t="shared" si="0"/>
        <v>-4.3833333333333329</v>
      </c>
      <c r="I80" s="23"/>
      <c r="J80" s="7"/>
      <c r="K80" s="7"/>
      <c r="L80" s="24"/>
      <c r="M80" s="11" t="s">
        <v>178</v>
      </c>
    </row>
    <row r="81" spans="1:13">
      <c r="A81" s="81" t="s">
        <v>179</v>
      </c>
      <c r="B81" s="366" t="s">
        <v>838</v>
      </c>
      <c r="C81" s="71"/>
      <c r="D81" s="12">
        <v>0.20531013145176411</v>
      </c>
      <c r="E81" s="10">
        <v>8</v>
      </c>
      <c r="F81" s="10">
        <v>256</v>
      </c>
      <c r="G81" s="6">
        <v>2.71</v>
      </c>
      <c r="H81" s="14">
        <f t="shared" si="0"/>
        <v>-4.5199999999999996</v>
      </c>
      <c r="I81" s="23"/>
      <c r="J81" s="7"/>
      <c r="K81" s="7"/>
      <c r="L81" s="24"/>
      <c r="M81" s="11" t="s">
        <v>180</v>
      </c>
    </row>
    <row r="82" spans="1:13">
      <c r="A82" s="81" t="s">
        <v>181</v>
      </c>
      <c r="B82" s="366" t="s">
        <v>839</v>
      </c>
      <c r="C82" s="71"/>
      <c r="D82" s="12">
        <v>0.21176785142223761</v>
      </c>
      <c r="E82" s="10">
        <v>3</v>
      </c>
      <c r="F82" s="10">
        <v>80</v>
      </c>
      <c r="G82" s="6">
        <v>3.37</v>
      </c>
      <c r="H82" s="14">
        <f t="shared" si="0"/>
        <v>-3.42</v>
      </c>
      <c r="I82" s="23"/>
      <c r="J82" s="7"/>
      <c r="K82" s="7"/>
      <c r="L82" s="24"/>
      <c r="M82" s="11" t="s">
        <v>182</v>
      </c>
    </row>
    <row r="83" spans="1:13">
      <c r="A83" s="81" t="s">
        <v>183</v>
      </c>
      <c r="B83" s="366" t="s">
        <v>840</v>
      </c>
      <c r="C83" s="71"/>
      <c r="D83" s="12">
        <v>0.16217657762412213</v>
      </c>
      <c r="E83" s="10">
        <v>17</v>
      </c>
      <c r="F83" s="10">
        <v>153</v>
      </c>
      <c r="G83" s="6">
        <v>3.04</v>
      </c>
      <c r="H83" s="14">
        <f t="shared" si="0"/>
        <v>-3.8200000000000003</v>
      </c>
      <c r="I83" s="23"/>
      <c r="J83" s="7"/>
      <c r="K83" s="7"/>
      <c r="L83" s="24"/>
      <c r="M83" s="11" t="s">
        <v>184</v>
      </c>
    </row>
    <row r="84" spans="1:13">
      <c r="A84" s="82" t="s">
        <v>185</v>
      </c>
      <c r="B84" s="366" t="s">
        <v>841</v>
      </c>
      <c r="C84" s="71"/>
      <c r="D84" s="12">
        <v>0.20448827496623867</v>
      </c>
      <c r="E84" s="10">
        <v>3</v>
      </c>
      <c r="F84" s="10">
        <v>349.84</v>
      </c>
      <c r="G84" s="6">
        <v>4.75</v>
      </c>
      <c r="H84" s="14">
        <f t="shared" si="0"/>
        <v>-7.4984000000000002</v>
      </c>
      <c r="I84" s="23"/>
      <c r="J84" s="7"/>
      <c r="K84" s="7"/>
      <c r="L84" s="24"/>
      <c r="M84" s="11" t="s">
        <v>186</v>
      </c>
    </row>
    <row r="85" spans="1:13">
      <c r="A85" s="82" t="s">
        <v>187</v>
      </c>
      <c r="B85" s="366" t="s">
        <v>842</v>
      </c>
      <c r="C85" s="71"/>
      <c r="D85" s="12">
        <v>0.14358294446577732</v>
      </c>
      <c r="E85" s="10">
        <v>6</v>
      </c>
      <c r="F85" s="10">
        <v>248</v>
      </c>
      <c r="G85" s="6">
        <v>2.65</v>
      </c>
      <c r="H85" s="14">
        <f t="shared" si="0"/>
        <v>-4.38</v>
      </c>
      <c r="I85" s="23"/>
      <c r="J85" s="7"/>
      <c r="K85" s="7"/>
      <c r="L85" s="24"/>
      <c r="M85" s="11" t="s">
        <v>188</v>
      </c>
    </row>
    <row r="86" spans="1:13">
      <c r="A86" s="82" t="s">
        <v>189</v>
      </c>
      <c r="B86" s="366" t="s">
        <v>843</v>
      </c>
      <c r="C86" s="71"/>
      <c r="D86" s="12">
        <v>0.15384096988991314</v>
      </c>
      <c r="E86" s="10">
        <v>11</v>
      </c>
      <c r="F86" s="10">
        <v>173</v>
      </c>
      <c r="G86" s="6">
        <v>2.1800000000000002</v>
      </c>
      <c r="H86" s="14">
        <f t="shared" si="0"/>
        <v>-3.16</v>
      </c>
      <c r="I86" s="23"/>
      <c r="J86" s="7"/>
      <c r="K86" s="7"/>
      <c r="L86" s="24"/>
      <c r="M86" s="11" t="s">
        <v>190</v>
      </c>
    </row>
    <row r="87" spans="1:13">
      <c r="A87" s="82" t="s">
        <v>191</v>
      </c>
      <c r="B87" s="366" t="s">
        <v>844</v>
      </c>
      <c r="C87" s="71"/>
      <c r="D87" s="12">
        <v>0.14176528631434945</v>
      </c>
      <c r="E87" s="10">
        <v>5</v>
      </c>
      <c r="F87" s="10">
        <v>143.75</v>
      </c>
      <c r="G87" s="6">
        <v>2.76</v>
      </c>
      <c r="H87" s="14">
        <f t="shared" ref="H87:H122" si="1">0.5-G87-0.01*(F87-25)</f>
        <v>-3.4474999999999998</v>
      </c>
      <c r="I87" s="23"/>
      <c r="J87" s="7"/>
      <c r="K87" s="7"/>
      <c r="L87" s="24"/>
      <c r="M87" s="11" t="s">
        <v>192</v>
      </c>
    </row>
    <row r="88" spans="1:13">
      <c r="A88" s="82" t="s">
        <v>193</v>
      </c>
      <c r="B88" s="366" t="s">
        <v>845</v>
      </c>
      <c r="C88" s="71"/>
      <c r="D88" s="12">
        <v>0.16213928191469343</v>
      </c>
      <c r="E88" s="10">
        <v>19</v>
      </c>
      <c r="F88" s="10">
        <v>220.5</v>
      </c>
      <c r="G88" s="6">
        <v>1.27</v>
      </c>
      <c r="H88" s="14">
        <f t="shared" si="1"/>
        <v>-2.7250000000000001</v>
      </c>
      <c r="I88" s="23"/>
      <c r="J88" s="7"/>
      <c r="K88" s="7"/>
      <c r="L88" s="24"/>
      <c r="M88" s="11" t="s">
        <v>194</v>
      </c>
    </row>
    <row r="89" spans="1:13">
      <c r="A89" s="82" t="s">
        <v>195</v>
      </c>
      <c r="B89" s="366" t="s">
        <v>846</v>
      </c>
      <c r="C89" s="71"/>
      <c r="D89" s="12">
        <v>0.16127920198135692</v>
      </c>
      <c r="E89" s="10">
        <v>5</v>
      </c>
      <c r="F89" s="10">
        <v>214</v>
      </c>
      <c r="G89" s="6">
        <v>3.83</v>
      </c>
      <c r="H89" s="14">
        <f t="shared" si="1"/>
        <v>-5.2200000000000006</v>
      </c>
      <c r="I89" s="23"/>
      <c r="J89" s="7"/>
      <c r="K89" s="7"/>
      <c r="L89" s="24"/>
      <c r="M89" s="11" t="s">
        <v>196</v>
      </c>
    </row>
    <row r="90" spans="1:13">
      <c r="A90" s="83" t="s">
        <v>197</v>
      </c>
      <c r="B90" s="366" t="s">
        <v>847</v>
      </c>
      <c r="C90" s="71"/>
      <c r="D90" s="12">
        <v>0.13869006117838048</v>
      </c>
      <c r="E90" s="10">
        <v>3</v>
      </c>
      <c r="F90" s="10">
        <v>176</v>
      </c>
      <c r="G90" s="6">
        <v>2.88</v>
      </c>
      <c r="H90" s="14">
        <f t="shared" si="1"/>
        <v>-3.8899999999999997</v>
      </c>
      <c r="I90" s="23"/>
      <c r="J90" s="7"/>
      <c r="K90" s="7"/>
      <c r="L90" s="24"/>
      <c r="M90" s="11" t="s">
        <v>198</v>
      </c>
    </row>
    <row r="91" spans="1:13">
      <c r="A91" s="85" t="s">
        <v>199</v>
      </c>
      <c r="B91" s="367" t="s">
        <v>848</v>
      </c>
      <c r="C91" s="72"/>
      <c r="D91" s="4">
        <v>0.1259834086188602</v>
      </c>
      <c r="E91" s="2">
        <v>14</v>
      </c>
      <c r="F91" s="10">
        <v>253.5</v>
      </c>
      <c r="G91" s="6">
        <v>1.54</v>
      </c>
      <c r="H91" s="14">
        <f t="shared" si="1"/>
        <v>-3.3250000000000002</v>
      </c>
      <c r="I91" s="23"/>
      <c r="J91" s="7"/>
      <c r="K91" s="7"/>
      <c r="L91" s="24"/>
      <c r="M91" s="11" t="s">
        <v>200</v>
      </c>
    </row>
    <row r="92" spans="1:13">
      <c r="A92" s="82" t="s">
        <v>201</v>
      </c>
      <c r="B92" s="366" t="s">
        <v>849</v>
      </c>
      <c r="C92" s="71"/>
      <c r="D92" s="12">
        <v>0.16504944177542516</v>
      </c>
      <c r="E92" s="10">
        <v>5</v>
      </c>
      <c r="F92" s="10">
        <v>205.50000000000003</v>
      </c>
      <c r="G92" s="6">
        <v>2.4500000000000002</v>
      </c>
      <c r="H92" s="14">
        <f t="shared" si="1"/>
        <v>-3.7550000000000008</v>
      </c>
      <c r="I92" s="23"/>
      <c r="J92" s="7"/>
      <c r="K92" s="7"/>
      <c r="L92" s="24"/>
      <c r="M92" s="11" t="s">
        <v>202</v>
      </c>
    </row>
    <row r="93" spans="1:13">
      <c r="A93" s="83" t="s">
        <v>203</v>
      </c>
      <c r="B93" s="366" t="s">
        <v>850</v>
      </c>
      <c r="C93" s="71"/>
      <c r="D93" s="12">
        <v>0.19426266518058349</v>
      </c>
      <c r="E93" s="10">
        <v>3</v>
      </c>
      <c r="F93" s="10">
        <v>96</v>
      </c>
      <c r="G93" s="6">
        <v>3.49</v>
      </c>
      <c r="H93" s="14">
        <f t="shared" si="1"/>
        <v>-3.7</v>
      </c>
      <c r="I93" s="23"/>
      <c r="J93" s="7"/>
      <c r="K93" s="7"/>
      <c r="L93" s="24"/>
      <c r="M93" s="11" t="s">
        <v>204</v>
      </c>
    </row>
    <row r="94" spans="1:13">
      <c r="A94" s="82" t="s">
        <v>205</v>
      </c>
      <c r="B94" s="366" t="s">
        <v>851</v>
      </c>
      <c r="C94" s="71"/>
      <c r="D94" s="12">
        <v>0.18894337149737056</v>
      </c>
      <c r="E94" s="10">
        <v>12</v>
      </c>
      <c r="F94" s="10">
        <v>147.25</v>
      </c>
      <c r="G94" s="6">
        <v>3.86</v>
      </c>
      <c r="H94" s="14">
        <f t="shared" si="1"/>
        <v>-4.5824999999999996</v>
      </c>
      <c r="I94" s="23"/>
      <c r="J94" s="7"/>
      <c r="K94" s="7"/>
      <c r="L94" s="24"/>
      <c r="M94" s="11" t="s">
        <v>206</v>
      </c>
    </row>
    <row r="95" spans="1:13">
      <c r="A95" s="82" t="s">
        <v>207</v>
      </c>
      <c r="B95" s="366" t="s">
        <v>852</v>
      </c>
      <c r="C95" s="71"/>
      <c r="D95" s="12">
        <v>0.17391407185160324</v>
      </c>
      <c r="E95" s="10">
        <v>6</v>
      </c>
      <c r="F95" s="10">
        <v>97</v>
      </c>
      <c r="G95" s="6">
        <v>3.94</v>
      </c>
      <c r="H95" s="14">
        <f t="shared" si="1"/>
        <v>-4.16</v>
      </c>
      <c r="I95" s="23"/>
      <c r="J95" s="7"/>
      <c r="K95" s="7"/>
      <c r="L95" s="24"/>
      <c r="M95" s="11" t="s">
        <v>208</v>
      </c>
    </row>
    <row r="96" spans="1:13">
      <c r="A96" s="81" t="s">
        <v>209</v>
      </c>
      <c r="B96" s="366" t="s">
        <v>853</v>
      </c>
      <c r="C96" s="71"/>
      <c r="D96" s="12">
        <v>0.13764369691033657</v>
      </c>
      <c r="E96" s="10">
        <v>10</v>
      </c>
      <c r="F96" s="10">
        <v>134.5</v>
      </c>
      <c r="G96" s="6">
        <v>2.04</v>
      </c>
      <c r="H96" s="14">
        <f t="shared" si="1"/>
        <v>-2.6349999999999998</v>
      </c>
      <c r="I96" s="23"/>
      <c r="J96" s="7"/>
      <c r="K96" s="7"/>
      <c r="L96" s="24"/>
      <c r="M96" s="11" t="s">
        <v>210</v>
      </c>
    </row>
    <row r="97" spans="1:13">
      <c r="A97" s="82" t="s">
        <v>211</v>
      </c>
      <c r="B97" s="366" t="s">
        <v>854</v>
      </c>
      <c r="C97" s="71"/>
      <c r="D97" s="12">
        <v>0.16245746888591447</v>
      </c>
      <c r="E97" s="10">
        <v>7</v>
      </c>
      <c r="F97" s="10">
        <v>139</v>
      </c>
      <c r="G97" s="6">
        <v>2.66</v>
      </c>
      <c r="H97" s="14">
        <f t="shared" si="1"/>
        <v>-3.3000000000000003</v>
      </c>
      <c r="I97" s="23"/>
      <c r="J97" s="7"/>
      <c r="K97" s="7"/>
      <c r="L97" s="24"/>
      <c r="M97" s="11" t="s">
        <v>212</v>
      </c>
    </row>
    <row r="98" spans="1:13">
      <c r="A98" s="82" t="s">
        <v>213</v>
      </c>
      <c r="B98" s="366" t="s">
        <v>855</v>
      </c>
      <c r="C98" s="71"/>
      <c r="D98" s="12">
        <v>0.15322122505052199</v>
      </c>
      <c r="E98" s="10">
        <v>9</v>
      </c>
      <c r="F98" s="10">
        <v>170</v>
      </c>
      <c r="G98" s="6">
        <v>1.91</v>
      </c>
      <c r="H98" s="14">
        <f t="shared" si="1"/>
        <v>-2.86</v>
      </c>
      <c r="I98" s="23"/>
      <c r="J98" s="7"/>
      <c r="K98" s="7"/>
      <c r="L98" s="24"/>
      <c r="M98" s="11" t="s">
        <v>214</v>
      </c>
    </row>
    <row r="99" spans="1:13">
      <c r="A99" s="81" t="s">
        <v>215</v>
      </c>
      <c r="B99" s="366" t="s">
        <v>856</v>
      </c>
      <c r="C99" s="71"/>
      <c r="D99" s="12">
        <v>0.15273607916541068</v>
      </c>
      <c r="E99" s="10">
        <v>10</v>
      </c>
      <c r="F99" s="10">
        <v>326</v>
      </c>
      <c r="G99" s="6">
        <v>2.44</v>
      </c>
      <c r="H99" s="14">
        <f t="shared" si="1"/>
        <v>-4.95</v>
      </c>
      <c r="I99" s="23"/>
      <c r="J99" s="7"/>
      <c r="K99" s="7"/>
      <c r="L99" s="24"/>
      <c r="M99" s="11" t="s">
        <v>216</v>
      </c>
    </row>
    <row r="100" spans="1:13">
      <c r="A100" s="82" t="s">
        <v>217</v>
      </c>
      <c r="B100" s="366" t="s">
        <v>857</v>
      </c>
      <c r="C100" s="71"/>
      <c r="D100" s="12">
        <v>0.18404701512102448</v>
      </c>
      <c r="E100" s="10">
        <v>5</v>
      </c>
      <c r="F100" s="10">
        <v>232.50000000000003</v>
      </c>
      <c r="G100" s="6">
        <v>1.8</v>
      </c>
      <c r="H100" s="14">
        <f t="shared" si="1"/>
        <v>-3.375</v>
      </c>
      <c r="I100" s="23"/>
      <c r="J100" s="7"/>
      <c r="K100" s="7"/>
      <c r="L100" s="24"/>
      <c r="M100" s="11" t="s">
        <v>218</v>
      </c>
    </row>
    <row r="101" spans="1:13">
      <c r="A101" s="82" t="s">
        <v>219</v>
      </c>
      <c r="B101" s="366" t="s">
        <v>858</v>
      </c>
      <c r="C101" s="71"/>
      <c r="D101" s="12">
        <v>0.13604063752604376</v>
      </c>
      <c r="E101" s="10">
        <v>4</v>
      </c>
      <c r="F101" s="10">
        <v>281.5</v>
      </c>
      <c r="G101" s="6">
        <v>0.54</v>
      </c>
      <c r="H101" s="14">
        <f t="shared" si="1"/>
        <v>-2.605</v>
      </c>
      <c r="I101" s="23"/>
      <c r="J101" s="7"/>
      <c r="K101" s="7"/>
      <c r="L101" s="24"/>
      <c r="M101" s="11" t="s">
        <v>220</v>
      </c>
    </row>
    <row r="102" spans="1:13">
      <c r="A102" s="82" t="s">
        <v>221</v>
      </c>
      <c r="B102" s="366" t="s">
        <v>859</v>
      </c>
      <c r="C102" s="71"/>
      <c r="D102" s="12">
        <v>0.19798964803022484</v>
      </c>
      <c r="E102" s="10">
        <v>4</v>
      </c>
      <c r="F102" s="10">
        <v>197.1</v>
      </c>
      <c r="G102" s="6">
        <v>2.2000000000000002</v>
      </c>
      <c r="H102" s="14">
        <f t="shared" si="1"/>
        <v>-3.4210000000000003</v>
      </c>
      <c r="I102" s="23"/>
      <c r="J102" s="7"/>
      <c r="K102" s="7"/>
      <c r="L102" s="24"/>
      <c r="M102" s="11" t="s">
        <v>222</v>
      </c>
    </row>
    <row r="103" spans="1:13">
      <c r="A103" s="83" t="s">
        <v>223</v>
      </c>
      <c r="B103" s="366" t="s">
        <v>860</v>
      </c>
      <c r="C103" s="71"/>
      <c r="D103" s="12">
        <v>0.13486720020739137</v>
      </c>
      <c r="E103" s="10">
        <v>4</v>
      </c>
      <c r="F103" s="10">
        <v>33</v>
      </c>
      <c r="G103" s="6">
        <v>4.24</v>
      </c>
      <c r="H103" s="14">
        <f t="shared" si="1"/>
        <v>-3.8200000000000003</v>
      </c>
      <c r="I103" s="23"/>
      <c r="J103" s="7"/>
      <c r="K103" s="7"/>
      <c r="L103" s="24"/>
      <c r="M103" s="11" t="s">
        <v>224</v>
      </c>
    </row>
    <row r="104" spans="1:13">
      <c r="A104" s="82" t="s">
        <v>225</v>
      </c>
      <c r="B104" s="366" t="s">
        <v>861</v>
      </c>
      <c r="C104" s="71"/>
      <c r="D104" s="12">
        <v>0.18801274760604275</v>
      </c>
      <c r="E104" s="10">
        <v>11</v>
      </c>
      <c r="F104" s="10">
        <v>60</v>
      </c>
      <c r="G104" s="6">
        <v>4.24</v>
      </c>
      <c r="H104" s="14">
        <f t="shared" si="1"/>
        <v>-4.09</v>
      </c>
      <c r="I104" s="23"/>
      <c r="J104" s="7"/>
      <c r="K104" s="7"/>
      <c r="L104" s="24"/>
      <c r="M104" s="11" t="s">
        <v>226</v>
      </c>
    </row>
    <row r="105" spans="1:13">
      <c r="A105" s="82" t="s">
        <v>227</v>
      </c>
      <c r="B105" s="366" t="s">
        <v>862</v>
      </c>
      <c r="C105" s="71"/>
      <c r="D105" s="12">
        <v>0.1664014074224209</v>
      </c>
      <c r="E105" s="10">
        <v>4</v>
      </c>
      <c r="F105" s="10">
        <v>130.5</v>
      </c>
      <c r="G105" s="6">
        <v>5.22</v>
      </c>
      <c r="H105" s="14">
        <f t="shared" si="1"/>
        <v>-5.7749999999999995</v>
      </c>
      <c r="I105" s="23"/>
      <c r="J105" s="7"/>
      <c r="K105" s="7"/>
      <c r="L105" s="24"/>
      <c r="M105" s="11" t="s">
        <v>228</v>
      </c>
    </row>
    <row r="106" spans="1:13">
      <c r="A106" s="83" t="s">
        <v>103</v>
      </c>
      <c r="B106" s="366" t="s">
        <v>863</v>
      </c>
      <c r="C106" s="71"/>
      <c r="D106" s="12">
        <v>0.17506472136100007</v>
      </c>
      <c r="E106" s="10">
        <v>7</v>
      </c>
      <c r="F106" s="10">
        <v>254</v>
      </c>
      <c r="G106" s="6">
        <v>2.97</v>
      </c>
      <c r="H106" s="14">
        <f t="shared" si="1"/>
        <v>-4.76</v>
      </c>
      <c r="I106" s="23"/>
      <c r="J106" s="7"/>
      <c r="K106" s="7"/>
      <c r="L106" s="24"/>
      <c r="M106" s="11" t="s">
        <v>229</v>
      </c>
    </row>
    <row r="107" spans="1:13">
      <c r="A107" s="83" t="s">
        <v>230</v>
      </c>
      <c r="B107" s="366" t="s">
        <v>864</v>
      </c>
      <c r="C107" s="71"/>
      <c r="D107" s="12">
        <v>0.1605416460069265</v>
      </c>
      <c r="E107" s="10">
        <v>5</v>
      </c>
      <c r="F107" s="10">
        <v>121</v>
      </c>
      <c r="G107" s="6">
        <v>5.91</v>
      </c>
      <c r="H107" s="14">
        <f t="shared" si="1"/>
        <v>-6.37</v>
      </c>
      <c r="I107" s="23"/>
      <c r="J107" s="7"/>
      <c r="K107" s="7"/>
      <c r="L107" s="24"/>
      <c r="M107" s="11" t="s">
        <v>231</v>
      </c>
    </row>
    <row r="108" spans="1:13">
      <c r="A108" s="82" t="s">
        <v>232</v>
      </c>
      <c r="B108" s="366" t="s">
        <v>865</v>
      </c>
      <c r="C108" s="71"/>
      <c r="D108" s="12">
        <v>0.15756984748208766</v>
      </c>
      <c r="E108" s="10">
        <v>5</v>
      </c>
      <c r="F108" s="10">
        <v>206.99999999999997</v>
      </c>
      <c r="G108" s="6">
        <v>2.56</v>
      </c>
      <c r="H108" s="14">
        <f t="shared" si="1"/>
        <v>-3.88</v>
      </c>
      <c r="I108" s="23"/>
      <c r="J108" s="7"/>
      <c r="K108" s="7"/>
      <c r="L108" s="24"/>
      <c r="M108" s="11" t="s">
        <v>233</v>
      </c>
    </row>
    <row r="109" spans="1:13">
      <c r="A109" s="81" t="s">
        <v>234</v>
      </c>
      <c r="B109" s="366" t="s">
        <v>866</v>
      </c>
      <c r="C109" s="71"/>
      <c r="D109" s="12">
        <v>0.16160362353179636</v>
      </c>
      <c r="E109" s="10">
        <v>6</v>
      </c>
      <c r="F109" s="10">
        <v>134.5</v>
      </c>
      <c r="G109" s="6">
        <v>4.8499999999999996</v>
      </c>
      <c r="H109" s="14">
        <f t="shared" si="1"/>
        <v>-5.4449999999999994</v>
      </c>
      <c r="I109" s="23"/>
      <c r="J109" s="7"/>
      <c r="K109" s="7"/>
      <c r="L109" s="24"/>
      <c r="M109" s="11" t="s">
        <v>235</v>
      </c>
    </row>
    <row r="110" spans="1:13">
      <c r="A110" s="81" t="s">
        <v>236</v>
      </c>
      <c r="B110" s="366" t="s">
        <v>867</v>
      </c>
      <c r="C110" s="71"/>
      <c r="D110" s="12">
        <v>0.18685765827673947</v>
      </c>
      <c r="E110" s="10">
        <v>6</v>
      </c>
      <c r="F110" s="10">
        <v>275</v>
      </c>
      <c r="G110" s="6">
        <v>2.09</v>
      </c>
      <c r="H110" s="14">
        <f t="shared" si="1"/>
        <v>-4.09</v>
      </c>
      <c r="I110" s="23"/>
      <c r="J110" s="7"/>
      <c r="K110" s="7"/>
      <c r="L110" s="24"/>
      <c r="M110" s="11" t="s">
        <v>237</v>
      </c>
    </row>
    <row r="111" spans="1:13">
      <c r="A111" s="82" t="s">
        <v>238</v>
      </c>
      <c r="B111" s="366" t="s">
        <v>868</v>
      </c>
      <c r="C111" s="71"/>
      <c r="D111" s="12">
        <v>0.13950112944748669</v>
      </c>
      <c r="E111" s="10">
        <v>9</v>
      </c>
      <c r="F111" s="10">
        <v>220.00000000000003</v>
      </c>
      <c r="G111" s="6">
        <v>1.8</v>
      </c>
      <c r="H111" s="14">
        <f t="shared" si="1"/>
        <v>-3.2500000000000004</v>
      </c>
      <c r="I111" s="23"/>
      <c r="J111" s="7"/>
      <c r="K111" s="7"/>
      <c r="L111" s="24"/>
      <c r="M111" s="11" t="s">
        <v>239</v>
      </c>
    </row>
    <row r="112" spans="1:13">
      <c r="A112" s="85" t="s">
        <v>240</v>
      </c>
      <c r="B112" s="367" t="s">
        <v>869</v>
      </c>
      <c r="C112" s="72"/>
      <c r="D112" s="4">
        <v>0.22014005046870977</v>
      </c>
      <c r="E112" s="2">
        <v>9</v>
      </c>
      <c r="F112" s="10">
        <v>202</v>
      </c>
      <c r="G112" s="6">
        <v>1.53</v>
      </c>
      <c r="H112" s="14">
        <f t="shared" si="1"/>
        <v>-2.8</v>
      </c>
      <c r="I112" s="23"/>
      <c r="J112" s="7"/>
      <c r="K112" s="7"/>
      <c r="L112" s="24"/>
      <c r="M112" s="11" t="s">
        <v>241</v>
      </c>
    </row>
    <row r="113" spans="1:28">
      <c r="A113" s="82" t="s">
        <v>242</v>
      </c>
      <c r="B113" s="366" t="s">
        <v>870</v>
      </c>
      <c r="C113" s="71"/>
      <c r="D113" s="12">
        <v>0.14014083879485537</v>
      </c>
      <c r="E113" s="10">
        <v>3</v>
      </c>
      <c r="F113" s="10">
        <v>243.00000000000003</v>
      </c>
      <c r="G113" s="6">
        <v>1.48</v>
      </c>
      <c r="H113" s="14">
        <f t="shared" si="1"/>
        <v>-3.16</v>
      </c>
      <c r="I113" s="23"/>
      <c r="J113" s="7"/>
      <c r="K113" s="7"/>
      <c r="L113" s="24"/>
      <c r="M113" s="11" t="s">
        <v>243</v>
      </c>
    </row>
    <row r="114" spans="1:28">
      <c r="A114" s="83" t="s">
        <v>244</v>
      </c>
      <c r="B114" s="366" t="s">
        <v>871</v>
      </c>
      <c r="C114" s="71"/>
      <c r="D114" s="12">
        <v>0.13726989684757951</v>
      </c>
      <c r="E114" s="10">
        <v>3</v>
      </c>
      <c r="F114" s="10">
        <v>191</v>
      </c>
      <c r="G114" s="6">
        <v>1.67</v>
      </c>
      <c r="H114" s="14">
        <f t="shared" si="1"/>
        <v>-2.83</v>
      </c>
      <c r="I114" s="23"/>
      <c r="J114" s="7"/>
      <c r="K114" s="7"/>
      <c r="L114" s="24"/>
      <c r="M114" s="11" t="s">
        <v>245</v>
      </c>
    </row>
    <row r="115" spans="1:28">
      <c r="A115" s="82" t="s">
        <v>246</v>
      </c>
      <c r="B115" s="366" t="s">
        <v>872</v>
      </c>
      <c r="C115" s="71"/>
      <c r="D115" s="12">
        <v>0.21357402153711522</v>
      </c>
      <c r="E115" s="10">
        <v>7</v>
      </c>
      <c r="F115" s="10">
        <v>183.5</v>
      </c>
      <c r="G115" s="6">
        <v>4.37</v>
      </c>
      <c r="H115" s="14">
        <f t="shared" si="1"/>
        <v>-5.4550000000000001</v>
      </c>
      <c r="I115" s="23"/>
      <c r="J115" s="7"/>
      <c r="K115" s="7"/>
      <c r="L115" s="24"/>
      <c r="M115" s="11" t="s">
        <v>247</v>
      </c>
    </row>
    <row r="116" spans="1:28">
      <c r="A116" s="82" t="s">
        <v>248</v>
      </c>
      <c r="B116" s="366" t="s">
        <v>873</v>
      </c>
      <c r="C116" s="71"/>
      <c r="D116" s="12">
        <v>0.10564411177747912</v>
      </c>
      <c r="E116" s="10">
        <v>3</v>
      </c>
      <c r="F116" s="10">
        <v>149</v>
      </c>
      <c r="G116" s="6">
        <v>2.62</v>
      </c>
      <c r="H116" s="14">
        <f t="shared" si="1"/>
        <v>-3.3600000000000003</v>
      </c>
      <c r="I116" s="23"/>
      <c r="J116" s="7"/>
      <c r="K116" s="7"/>
      <c r="L116" s="24"/>
      <c r="M116" s="11" t="s">
        <v>249</v>
      </c>
    </row>
    <row r="117" spans="1:28">
      <c r="A117" s="81" t="s">
        <v>250</v>
      </c>
      <c r="B117" s="366" t="s">
        <v>874</v>
      </c>
      <c r="C117" s="71"/>
      <c r="D117" s="12">
        <v>0.14623917640453388</v>
      </c>
      <c r="E117" s="10">
        <v>8</v>
      </c>
      <c r="F117" s="10">
        <v>165</v>
      </c>
      <c r="G117" s="6">
        <v>-0.37</v>
      </c>
      <c r="H117" s="14">
        <f t="shared" si="1"/>
        <v>-0.53000000000000014</v>
      </c>
      <c r="I117" s="23"/>
      <c r="J117" s="7"/>
      <c r="K117" s="7"/>
      <c r="L117" s="24"/>
      <c r="M117" s="11" t="s">
        <v>251</v>
      </c>
    </row>
    <row r="118" spans="1:28">
      <c r="A118" s="82" t="s">
        <v>252</v>
      </c>
      <c r="B118" s="366" t="s">
        <v>875</v>
      </c>
      <c r="C118" s="71"/>
      <c r="D118" s="12">
        <v>0.16291639539032501</v>
      </c>
      <c r="E118" s="10">
        <v>10</v>
      </c>
      <c r="F118" s="10">
        <v>225</v>
      </c>
      <c r="G118" s="6">
        <v>0.81</v>
      </c>
      <c r="H118" s="14">
        <f t="shared" si="1"/>
        <v>-2.31</v>
      </c>
      <c r="I118" s="23"/>
      <c r="J118" s="7"/>
      <c r="K118" s="7"/>
      <c r="L118" s="24"/>
      <c r="M118" s="11" t="s">
        <v>253</v>
      </c>
    </row>
    <row r="119" spans="1:28">
      <c r="A119" s="82" t="s">
        <v>254</v>
      </c>
      <c r="B119" s="366" t="s">
        <v>876</v>
      </c>
      <c r="C119" s="71"/>
      <c r="D119" s="12">
        <v>0.21166647357477791</v>
      </c>
      <c r="E119" s="10">
        <v>5</v>
      </c>
      <c r="F119" s="10">
        <v>270</v>
      </c>
      <c r="G119" s="6">
        <v>0.62</v>
      </c>
      <c r="H119" s="14">
        <f t="shared" si="1"/>
        <v>-2.5700000000000003</v>
      </c>
      <c r="I119" s="23"/>
      <c r="J119" s="7"/>
      <c r="K119" s="7"/>
      <c r="L119" s="24"/>
      <c r="M119" s="11" t="s">
        <v>255</v>
      </c>
    </row>
    <row r="120" spans="1:28">
      <c r="A120" s="81" t="s">
        <v>256</v>
      </c>
      <c r="B120" s="366" t="s">
        <v>877</v>
      </c>
      <c r="C120" s="71"/>
      <c r="D120" s="12">
        <v>0.14175650298978676</v>
      </c>
      <c r="E120" s="10">
        <v>9</v>
      </c>
      <c r="F120" s="10">
        <v>312.66666666666669</v>
      </c>
      <c r="G120" s="6">
        <v>0.83</v>
      </c>
      <c r="H120" s="14">
        <f t="shared" si="1"/>
        <v>-3.206666666666667</v>
      </c>
      <c r="I120" s="23"/>
      <c r="J120" s="7"/>
      <c r="K120" s="7"/>
      <c r="L120" s="24"/>
      <c r="M120" s="11" t="s">
        <v>257</v>
      </c>
    </row>
    <row r="121" spans="1:28">
      <c r="A121" s="82" t="s">
        <v>258</v>
      </c>
      <c r="B121" s="366" t="s">
        <v>878</v>
      </c>
      <c r="C121" s="71"/>
      <c r="D121" s="12">
        <v>0.2034688635346244</v>
      </c>
      <c r="E121" s="10">
        <v>11</v>
      </c>
      <c r="F121" s="10">
        <v>161</v>
      </c>
      <c r="G121" s="6">
        <v>3.61</v>
      </c>
      <c r="H121" s="14">
        <f t="shared" si="1"/>
        <v>-4.47</v>
      </c>
      <c r="I121" s="23"/>
      <c r="J121" s="7"/>
      <c r="K121" s="7"/>
      <c r="L121" s="24"/>
      <c r="M121" s="11" t="s">
        <v>259</v>
      </c>
    </row>
    <row r="122" spans="1:28">
      <c r="A122" s="81" t="s">
        <v>109</v>
      </c>
      <c r="B122" s="366" t="s">
        <v>879</v>
      </c>
      <c r="C122" s="71"/>
      <c r="D122" s="12">
        <v>0.20579636821699754</v>
      </c>
      <c r="E122" s="10">
        <v>3</v>
      </c>
      <c r="F122" s="10">
        <v>300</v>
      </c>
      <c r="G122" s="6">
        <v>-1.06</v>
      </c>
      <c r="H122" s="14">
        <f t="shared" si="1"/>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s="365" t="s">
        <v>880</v>
      </c>
      <c r="C129" s="73" t="s">
        <v>30</v>
      </c>
      <c r="D129" s="12">
        <v>0.50033555401430185</v>
      </c>
      <c r="E129" s="10">
        <v>3</v>
      </c>
      <c r="F129" s="10">
        <v>180</v>
      </c>
      <c r="G129" s="1">
        <v>1.91</v>
      </c>
      <c r="H129" s="14">
        <f t="shared" ref="H129:H160" si="2">0.5-G129-0.01*(F129-25)</f>
        <v>-2.96</v>
      </c>
      <c r="I129" s="53" t="s">
        <v>31</v>
      </c>
      <c r="J129" s="54"/>
      <c r="K129" s="14"/>
      <c r="L129" s="14"/>
      <c r="M129" s="3" t="s">
        <v>269</v>
      </c>
    </row>
    <row r="130" spans="1:13">
      <c r="A130" s="82" t="s">
        <v>270</v>
      </c>
      <c r="B130" s="368" t="s">
        <v>881</v>
      </c>
      <c r="C130" s="73" t="s">
        <v>36</v>
      </c>
      <c r="D130" s="12">
        <v>0.5</v>
      </c>
      <c r="E130" s="6">
        <v>5</v>
      </c>
      <c r="F130" s="10">
        <v>156</v>
      </c>
      <c r="G130" s="1">
        <v>6.94</v>
      </c>
      <c r="H130" s="14">
        <f t="shared" si="2"/>
        <v>-7.75</v>
      </c>
      <c r="I130" s="53" t="s">
        <v>37</v>
      </c>
      <c r="J130" s="54"/>
      <c r="K130" s="14"/>
      <c r="L130" s="14"/>
      <c r="M130" s="3" t="s">
        <v>271</v>
      </c>
    </row>
    <row r="131" spans="1:13">
      <c r="A131" s="83" t="s">
        <v>272</v>
      </c>
      <c r="B131" s="366" t="s">
        <v>882</v>
      </c>
      <c r="C131" s="73" t="s">
        <v>41</v>
      </c>
      <c r="D131" s="12">
        <v>0.6530957900260097</v>
      </c>
      <c r="E131" s="10">
        <v>3</v>
      </c>
      <c r="F131" s="10">
        <v>208</v>
      </c>
      <c r="G131" s="1">
        <v>5.18</v>
      </c>
      <c r="H131" s="14">
        <f t="shared" si="2"/>
        <v>-6.51</v>
      </c>
      <c r="I131" s="53" t="s">
        <v>42</v>
      </c>
      <c r="J131" s="54"/>
      <c r="K131" s="14"/>
      <c r="L131" s="14"/>
      <c r="M131" s="3" t="s">
        <v>273</v>
      </c>
    </row>
    <row r="132" spans="1:13">
      <c r="A132" s="82" t="s">
        <v>274</v>
      </c>
      <c r="B132" s="366" t="s">
        <v>883</v>
      </c>
      <c r="C132" s="73" t="s">
        <v>46</v>
      </c>
      <c r="D132" s="12">
        <v>0.59285217963150294</v>
      </c>
      <c r="E132" s="10">
        <v>3</v>
      </c>
      <c r="F132" s="10">
        <v>100</v>
      </c>
      <c r="G132" s="1">
        <v>2.37</v>
      </c>
      <c r="H132" s="14">
        <f t="shared" si="2"/>
        <v>-2.62</v>
      </c>
      <c r="I132" s="15" t="s">
        <v>47</v>
      </c>
      <c r="J132" s="29" t="s">
        <v>32</v>
      </c>
      <c r="K132" s="14"/>
      <c r="L132" s="14"/>
      <c r="M132" s="3" t="s">
        <v>275</v>
      </c>
    </row>
    <row r="133" spans="1:13">
      <c r="A133" s="82" t="s">
        <v>276</v>
      </c>
      <c r="B133" s="366" t="s">
        <v>884</v>
      </c>
      <c r="C133" s="73" t="s">
        <v>51</v>
      </c>
      <c r="D133" s="12">
        <v>0.51067901383936642</v>
      </c>
      <c r="E133" s="10">
        <v>5</v>
      </c>
      <c r="F133" s="10">
        <v>217</v>
      </c>
      <c r="G133" s="1">
        <v>3.19</v>
      </c>
      <c r="H133" s="14">
        <f t="shared" si="2"/>
        <v>-4.6099999999999994</v>
      </c>
      <c r="I133" s="15" t="s">
        <v>52</v>
      </c>
      <c r="J133" s="29"/>
      <c r="K133" s="14"/>
      <c r="L133" s="14"/>
      <c r="M133" s="3" t="s">
        <v>277</v>
      </c>
    </row>
    <row r="134" spans="1:13">
      <c r="A134" s="82" t="s">
        <v>278</v>
      </c>
      <c r="B134" s="366" t="s">
        <v>885</v>
      </c>
      <c r="C134" s="71"/>
      <c r="D134" s="12">
        <v>0.83065522865171437</v>
      </c>
      <c r="E134" s="10">
        <v>3</v>
      </c>
      <c r="F134" s="10">
        <v>209.50000000000003</v>
      </c>
      <c r="G134" s="1">
        <v>4.41</v>
      </c>
      <c r="H134" s="14">
        <f t="shared" si="2"/>
        <v>-5.7550000000000008</v>
      </c>
      <c r="I134" s="15" t="s">
        <v>56</v>
      </c>
      <c r="J134" s="29"/>
      <c r="K134" s="14"/>
      <c r="L134" s="14"/>
      <c r="M134" s="3" t="s">
        <v>279</v>
      </c>
    </row>
    <row r="135" spans="1:13">
      <c r="A135" s="82" t="s">
        <v>280</v>
      </c>
      <c r="B135" s="366" t="s">
        <v>886</v>
      </c>
      <c r="C135" s="71"/>
      <c r="D135" s="12">
        <v>0.51097181417141646</v>
      </c>
      <c r="E135" s="10">
        <v>6</v>
      </c>
      <c r="F135" s="10">
        <v>97.5</v>
      </c>
      <c r="G135" s="1">
        <v>5.19</v>
      </c>
      <c r="H135" s="14">
        <f t="shared" si="2"/>
        <v>-5.415</v>
      </c>
      <c r="I135" s="15" t="s">
        <v>60</v>
      </c>
      <c r="J135" s="31"/>
      <c r="K135" s="14"/>
      <c r="L135" s="14"/>
      <c r="M135" s="3" t="s">
        <v>281</v>
      </c>
    </row>
    <row r="136" spans="1:13">
      <c r="A136" s="81" t="s">
        <v>282</v>
      </c>
      <c r="B136" s="366" t="s">
        <v>887</v>
      </c>
      <c r="C136" s="71"/>
      <c r="D136" s="12">
        <v>0.92735432696895004</v>
      </c>
      <c r="E136" s="10">
        <v>5</v>
      </c>
      <c r="F136" s="10">
        <v>211</v>
      </c>
      <c r="G136" s="1">
        <v>7.49</v>
      </c>
      <c r="H136" s="14">
        <f t="shared" si="2"/>
        <v>-8.85</v>
      </c>
      <c r="I136" s="30" t="s">
        <v>64</v>
      </c>
      <c r="J136" s="32"/>
      <c r="K136" s="33"/>
      <c r="L136" s="34"/>
      <c r="M136" s="3" t="s">
        <v>283</v>
      </c>
    </row>
    <row r="137" spans="1:13">
      <c r="A137" s="82" t="s">
        <v>112</v>
      </c>
      <c r="B137" s="366" t="s">
        <v>888</v>
      </c>
      <c r="C137" s="71"/>
      <c r="D137" s="12">
        <v>0.68239272333923895</v>
      </c>
      <c r="E137" s="10">
        <v>3</v>
      </c>
      <c r="F137" s="10">
        <v>177</v>
      </c>
      <c r="G137" s="1">
        <v>3.37</v>
      </c>
      <c r="H137" s="14">
        <f t="shared" si="2"/>
        <v>-4.3900000000000006</v>
      </c>
      <c r="J137" s="14"/>
      <c r="K137" s="14"/>
      <c r="L137" s="14"/>
      <c r="M137" s="3" t="s">
        <v>284</v>
      </c>
    </row>
    <row r="138" spans="1:13">
      <c r="A138" s="82" t="s">
        <v>285</v>
      </c>
      <c r="B138" s="366" t="s">
        <v>889</v>
      </c>
      <c r="C138" s="71"/>
      <c r="D138" s="12">
        <v>0.520951861602862</v>
      </c>
      <c r="E138" s="10">
        <v>10</v>
      </c>
      <c r="F138" s="10">
        <v>228.6</v>
      </c>
      <c r="G138" s="1">
        <v>4.22</v>
      </c>
      <c r="H138" s="14">
        <f t="shared" si="2"/>
        <v>-5.7560000000000002</v>
      </c>
      <c r="I138" s="16" t="s">
        <v>286</v>
      </c>
      <c r="J138" s="17"/>
      <c r="K138" s="17"/>
      <c r="L138" s="18"/>
      <c r="M138" s="3" t="s">
        <v>287</v>
      </c>
    </row>
    <row r="139" spans="1:13">
      <c r="A139" s="81" t="s">
        <v>288</v>
      </c>
      <c r="B139" s="366" t="s">
        <v>890</v>
      </c>
      <c r="C139" s="71"/>
      <c r="D139" s="12">
        <v>0.53906642829149898</v>
      </c>
      <c r="E139" s="10">
        <v>3</v>
      </c>
      <c r="F139" s="10">
        <v>161.5</v>
      </c>
      <c r="G139" s="1">
        <v>-0.21</v>
      </c>
      <c r="H139" s="14">
        <f t="shared" si="2"/>
        <v>-0.65500000000000003</v>
      </c>
      <c r="I139" s="20" t="s">
        <v>783</v>
      </c>
      <c r="J139" s="21"/>
      <c r="K139" s="21"/>
      <c r="L139" s="22"/>
      <c r="M139" s="3" t="s">
        <v>289</v>
      </c>
    </row>
    <row r="140" spans="1:13">
      <c r="A140" s="81" t="s">
        <v>290</v>
      </c>
      <c r="B140" s="366" t="s">
        <v>891</v>
      </c>
      <c r="C140" s="71"/>
      <c r="D140" s="12">
        <v>0.56233984781338708</v>
      </c>
      <c r="E140" s="10">
        <v>11</v>
      </c>
      <c r="F140" s="10">
        <v>213.49999999999997</v>
      </c>
      <c r="G140" s="1">
        <v>3.04</v>
      </c>
      <c r="H140" s="14">
        <f t="shared" si="2"/>
        <v>-4.4249999999999998</v>
      </c>
      <c r="I140" s="23"/>
      <c r="J140" s="7"/>
      <c r="K140" s="7"/>
      <c r="L140" s="24"/>
      <c r="M140" s="3" t="s">
        <v>291</v>
      </c>
    </row>
    <row r="141" spans="1:13">
      <c r="A141" s="83" t="s">
        <v>292</v>
      </c>
      <c r="B141" s="366" t="s">
        <v>892</v>
      </c>
      <c r="C141" s="71"/>
      <c r="D141" s="12">
        <v>0.54710381306524825</v>
      </c>
      <c r="E141" s="10">
        <v>4</v>
      </c>
      <c r="F141" s="10">
        <v>168.5</v>
      </c>
      <c r="G141" s="1">
        <v>3.35</v>
      </c>
      <c r="H141" s="14">
        <f t="shared" si="2"/>
        <v>-4.2850000000000001</v>
      </c>
      <c r="I141" s="23"/>
      <c r="J141" s="7"/>
      <c r="K141" s="7"/>
      <c r="L141" s="24"/>
      <c r="M141" s="3" t="s">
        <v>293</v>
      </c>
    </row>
    <row r="142" spans="1:13">
      <c r="A142" s="81" t="s">
        <v>114</v>
      </c>
      <c r="B142" s="366" t="s">
        <v>893</v>
      </c>
      <c r="C142" s="71"/>
      <c r="D142" s="12">
        <v>0.54612637818466869</v>
      </c>
      <c r="E142" s="10">
        <v>3</v>
      </c>
      <c r="F142" s="13">
        <v>124.1</v>
      </c>
      <c r="G142" s="1">
        <v>2.81</v>
      </c>
      <c r="H142" s="14">
        <f t="shared" si="2"/>
        <v>-3.3010000000000002</v>
      </c>
      <c r="I142" s="25"/>
      <c r="J142" s="7"/>
      <c r="K142" s="7"/>
      <c r="L142" s="24"/>
      <c r="M142" s="3" t="s">
        <v>294</v>
      </c>
    </row>
    <row r="143" spans="1:13">
      <c r="A143" s="81" t="s">
        <v>295</v>
      </c>
      <c r="B143" s="366" t="s">
        <v>894</v>
      </c>
      <c r="C143" s="71"/>
      <c r="D143" s="12">
        <v>0.51160213896594608</v>
      </c>
      <c r="E143" s="10">
        <v>4</v>
      </c>
      <c r="F143" s="10">
        <v>165</v>
      </c>
      <c r="G143" s="1">
        <v>4.8899999999999997</v>
      </c>
      <c r="H143" s="14">
        <f t="shared" si="2"/>
        <v>-5.79</v>
      </c>
      <c r="I143" s="25"/>
      <c r="J143" s="7"/>
      <c r="K143" s="7"/>
      <c r="L143" s="24"/>
      <c r="M143" s="3" t="s">
        <v>296</v>
      </c>
    </row>
    <row r="144" spans="1:13">
      <c r="A144" s="81" t="s">
        <v>117</v>
      </c>
      <c r="B144" s="366" t="s">
        <v>895</v>
      </c>
      <c r="C144" s="71"/>
      <c r="D144" s="12">
        <v>0.65141515533308314</v>
      </c>
      <c r="E144" s="10">
        <v>4</v>
      </c>
      <c r="F144" s="10">
        <v>161.1</v>
      </c>
      <c r="G144" s="1">
        <v>4.76</v>
      </c>
      <c r="H144" s="14">
        <f t="shared" si="2"/>
        <v>-5.6209999999999996</v>
      </c>
      <c r="I144" s="25"/>
      <c r="J144" s="7"/>
      <c r="K144" s="7"/>
      <c r="L144" s="24"/>
      <c r="M144" s="3" t="s">
        <v>297</v>
      </c>
    </row>
    <row r="145" spans="1:28">
      <c r="A145" s="83" t="s">
        <v>298</v>
      </c>
      <c r="B145" s="366" t="s">
        <v>896</v>
      </c>
      <c r="C145" s="71"/>
      <c r="D145" s="12">
        <v>0.65883215509381909</v>
      </c>
      <c r="E145" s="10">
        <v>3</v>
      </c>
      <c r="F145" s="10">
        <v>155</v>
      </c>
      <c r="G145" s="1">
        <v>3.74</v>
      </c>
      <c r="H145" s="14">
        <f t="shared" si="2"/>
        <v>-4.54</v>
      </c>
      <c r="I145" s="25"/>
      <c r="J145" s="7"/>
      <c r="K145" s="7"/>
      <c r="L145" s="24"/>
      <c r="M145" s="3" t="s">
        <v>299</v>
      </c>
    </row>
    <row r="146" spans="1:28">
      <c r="A146" s="82" t="s">
        <v>300</v>
      </c>
      <c r="B146" s="366" t="s">
        <v>897</v>
      </c>
      <c r="C146" s="71"/>
      <c r="D146" s="12">
        <v>0.61400477095750339</v>
      </c>
      <c r="E146" s="10">
        <v>3</v>
      </c>
      <c r="F146" s="10">
        <v>165.4</v>
      </c>
      <c r="G146" s="1">
        <v>5.58</v>
      </c>
      <c r="H146" s="14">
        <f t="shared" si="2"/>
        <v>-6.484</v>
      </c>
      <c r="I146" s="25"/>
      <c r="J146" s="7"/>
      <c r="K146" s="7"/>
      <c r="L146" s="24"/>
      <c r="M146" s="3" t="s">
        <v>301</v>
      </c>
    </row>
    <row r="147" spans="1:28">
      <c r="A147" s="82" t="s">
        <v>302</v>
      </c>
      <c r="B147" s="366" t="s">
        <v>898</v>
      </c>
      <c r="C147" s="71"/>
      <c r="D147" s="12">
        <v>0.50406532001413251</v>
      </c>
      <c r="E147" s="10">
        <v>6</v>
      </c>
      <c r="F147" s="10">
        <v>161</v>
      </c>
      <c r="G147" s="1">
        <v>6.45</v>
      </c>
      <c r="H147" s="14">
        <f t="shared" si="2"/>
        <v>-7.3100000000000005</v>
      </c>
      <c r="I147" s="26"/>
      <c r="J147" s="27"/>
      <c r="K147" s="27"/>
      <c r="L147" s="28"/>
      <c r="M147" s="3" t="s">
        <v>303</v>
      </c>
    </row>
    <row r="148" spans="1:28">
      <c r="A148" s="82" t="s">
        <v>304</v>
      </c>
      <c r="B148" s="366" t="s">
        <v>899</v>
      </c>
      <c r="C148" s="71"/>
      <c r="D148" s="12">
        <v>0.75493366325441691</v>
      </c>
      <c r="E148" s="10">
        <v>4</v>
      </c>
      <c r="F148" s="10">
        <v>193.5</v>
      </c>
      <c r="G148" s="1">
        <v>5.41</v>
      </c>
      <c r="H148" s="14">
        <f t="shared" si="2"/>
        <v>-6.5950000000000006</v>
      </c>
      <c r="J148" s="14"/>
      <c r="K148" s="14"/>
      <c r="L148" s="14"/>
      <c r="M148" s="3" t="s">
        <v>305</v>
      </c>
    </row>
    <row r="149" spans="1:28">
      <c r="A149" s="82" t="s">
        <v>306</v>
      </c>
      <c r="B149" s="366" t="s">
        <v>900</v>
      </c>
      <c r="C149" s="71"/>
      <c r="D149" s="12">
        <v>0.50089358058597189</v>
      </c>
      <c r="E149" s="10">
        <v>3</v>
      </c>
      <c r="F149" s="10">
        <v>156</v>
      </c>
      <c r="G149" s="1">
        <v>2.9</v>
      </c>
      <c r="H149" s="14">
        <f t="shared" si="2"/>
        <v>-3.71</v>
      </c>
      <c r="I149" s="70" t="s">
        <v>133</v>
      </c>
      <c r="J149" s="871">
        <v>2666</v>
      </c>
      <c r="K149" s="872"/>
      <c r="L149" s="14"/>
      <c r="M149" s="3" t="s">
        <v>307</v>
      </c>
    </row>
    <row r="150" spans="1:28">
      <c r="A150" s="83" t="s">
        <v>308</v>
      </c>
      <c r="B150" s="366" t="s">
        <v>901</v>
      </c>
      <c r="C150" s="71"/>
      <c r="D150" s="12">
        <v>0.6587984329866341</v>
      </c>
      <c r="E150" s="10">
        <v>4</v>
      </c>
      <c r="F150" s="10">
        <v>183.5</v>
      </c>
      <c r="G150" s="1">
        <v>3.16</v>
      </c>
      <c r="H150" s="14">
        <f t="shared" si="2"/>
        <v>-4.2450000000000001</v>
      </c>
      <c r="I150" s="70" t="s">
        <v>136</v>
      </c>
      <c r="J150" s="873" t="s">
        <v>811</v>
      </c>
      <c r="K150" s="874"/>
      <c r="L150" s="14"/>
      <c r="M150" s="3" t="s">
        <v>309</v>
      </c>
    </row>
    <row r="151" spans="1:28">
      <c r="A151" s="83" t="s">
        <v>310</v>
      </c>
      <c r="B151" s="366" t="s">
        <v>902</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s="366" t="s">
        <v>903</v>
      </c>
      <c r="C152" s="71"/>
      <c r="D152" s="12">
        <v>0.57115657899345518</v>
      </c>
      <c r="E152" s="10">
        <v>7</v>
      </c>
      <c r="F152" s="10">
        <v>177</v>
      </c>
      <c r="G152" s="1">
        <v>3.17</v>
      </c>
      <c r="H152" s="14">
        <f t="shared" si="2"/>
        <v>-4.1899999999999995</v>
      </c>
      <c r="I152" s="14"/>
      <c r="J152" s="14"/>
      <c r="K152" s="14"/>
      <c r="L152" s="14"/>
      <c r="M152" s="3" t="s">
        <v>313</v>
      </c>
    </row>
    <row r="153" spans="1:28">
      <c r="A153" s="81" t="s">
        <v>314</v>
      </c>
      <c r="B153" s="366" t="s">
        <v>904</v>
      </c>
      <c r="C153" s="71"/>
      <c r="D153" s="12">
        <v>0.55807775121880254</v>
      </c>
      <c r="E153" s="10">
        <v>6</v>
      </c>
      <c r="F153" s="10">
        <v>145</v>
      </c>
      <c r="G153" s="1">
        <v>6.08</v>
      </c>
      <c r="H153" s="14">
        <f t="shared" si="2"/>
        <v>-6.78</v>
      </c>
      <c r="I153" s="19" t="s">
        <v>144</v>
      </c>
      <c r="J153" s="17"/>
      <c r="K153" s="17"/>
      <c r="L153" s="18"/>
      <c r="M153" s="3" t="s">
        <v>315</v>
      </c>
    </row>
    <row r="154" spans="1:28">
      <c r="A154" s="81" t="s">
        <v>316</v>
      </c>
      <c r="B154" s="366" t="s">
        <v>905</v>
      </c>
      <c r="C154" s="71"/>
      <c r="D154" s="12">
        <v>0.66417698790166113</v>
      </c>
      <c r="E154" s="10">
        <v>3</v>
      </c>
      <c r="F154" s="13">
        <v>175.8</v>
      </c>
      <c r="G154" s="1">
        <v>4.62</v>
      </c>
      <c r="H154" s="14">
        <f t="shared" si="2"/>
        <v>-5.6280000000000001</v>
      </c>
      <c r="I154" s="20" t="s">
        <v>816</v>
      </c>
      <c r="J154" s="21"/>
      <c r="K154" s="21"/>
      <c r="L154" s="22"/>
      <c r="M154" s="3" t="s">
        <v>317</v>
      </c>
    </row>
    <row r="155" spans="1:28">
      <c r="A155" s="82" t="s">
        <v>318</v>
      </c>
      <c r="B155" s="366" t="s">
        <v>906</v>
      </c>
      <c r="C155" s="71"/>
      <c r="D155" s="12">
        <v>0.57716593661781801</v>
      </c>
      <c r="E155" s="10">
        <v>3</v>
      </c>
      <c r="F155" s="10">
        <v>349.84</v>
      </c>
      <c r="G155" s="1">
        <v>3.09</v>
      </c>
      <c r="H155" s="14">
        <f t="shared" si="2"/>
        <v>-5.8384</v>
      </c>
      <c r="I155" s="23" t="s">
        <v>818</v>
      </c>
      <c r="J155" s="7"/>
      <c r="K155" s="7"/>
      <c r="L155" s="24"/>
      <c r="M155" s="3" t="s">
        <v>319</v>
      </c>
    </row>
    <row r="156" spans="1:28">
      <c r="A156" s="83" t="s">
        <v>320</v>
      </c>
      <c r="B156" s="366" t="s">
        <v>907</v>
      </c>
      <c r="C156" s="71"/>
      <c r="D156" s="12">
        <v>0.70324590282883903</v>
      </c>
      <c r="E156" s="10">
        <v>3</v>
      </c>
      <c r="F156" s="10">
        <v>204</v>
      </c>
      <c r="G156" s="1">
        <v>0.88</v>
      </c>
      <c r="H156" s="14">
        <f t="shared" si="2"/>
        <v>-2.17</v>
      </c>
      <c r="I156" s="23" t="s">
        <v>820</v>
      </c>
      <c r="J156" s="7"/>
      <c r="K156" s="7"/>
      <c r="L156" s="24"/>
      <c r="M156" s="3" t="s">
        <v>321</v>
      </c>
    </row>
    <row r="157" spans="1:28">
      <c r="A157" s="82" t="s">
        <v>322</v>
      </c>
      <c r="B157" s="366" t="s">
        <v>908</v>
      </c>
      <c r="C157" s="71"/>
      <c r="D157" s="12">
        <v>0.7237903588794764</v>
      </c>
      <c r="E157" s="10">
        <v>7</v>
      </c>
      <c r="F157" s="10">
        <v>97.8</v>
      </c>
      <c r="G157" s="1">
        <v>6</v>
      </c>
      <c r="H157" s="14">
        <f t="shared" si="2"/>
        <v>-6.2279999999999998</v>
      </c>
      <c r="I157" s="23" t="s">
        <v>822</v>
      </c>
      <c r="J157" s="7"/>
      <c r="K157" s="7"/>
      <c r="L157" s="24"/>
      <c r="M157" s="3" t="s">
        <v>323</v>
      </c>
    </row>
    <row r="158" spans="1:28">
      <c r="A158" s="82" t="s">
        <v>324</v>
      </c>
      <c r="B158" s="366" t="s">
        <v>909</v>
      </c>
      <c r="C158" s="71"/>
      <c r="D158" s="12">
        <v>0.84033450922624497</v>
      </c>
      <c r="E158" s="10">
        <v>5</v>
      </c>
      <c r="F158" s="10">
        <v>262</v>
      </c>
      <c r="G158" s="1">
        <v>7.26</v>
      </c>
      <c r="H158" s="14">
        <f t="shared" si="2"/>
        <v>-9.129999999999999</v>
      </c>
      <c r="I158" s="23" t="s">
        <v>635</v>
      </c>
      <c r="J158" s="7"/>
      <c r="K158" s="7"/>
      <c r="L158" s="24"/>
      <c r="M158" s="3" t="s">
        <v>325</v>
      </c>
    </row>
    <row r="159" spans="1:28">
      <c r="A159" s="82" t="s">
        <v>326</v>
      </c>
      <c r="B159" s="366" t="s">
        <v>910</v>
      </c>
      <c r="C159" s="71"/>
      <c r="D159" s="12">
        <v>0.70969645885144073</v>
      </c>
      <c r="E159" s="10">
        <v>11</v>
      </c>
      <c r="F159" s="10">
        <v>149.6</v>
      </c>
      <c r="G159" s="1">
        <v>6.45</v>
      </c>
      <c r="H159" s="14">
        <f t="shared" si="2"/>
        <v>-7.1959999999999997</v>
      </c>
      <c r="I159" s="875" t="s">
        <v>911</v>
      </c>
      <c r="J159" s="876"/>
      <c r="K159" s="7"/>
      <c r="L159" s="24"/>
      <c r="M159" s="3" t="s">
        <v>327</v>
      </c>
    </row>
    <row r="160" spans="1:28" s="62" customFormat="1">
      <c r="A160" s="81" t="s">
        <v>328</v>
      </c>
      <c r="B160" s="366" t="s">
        <v>912</v>
      </c>
      <c r="C160" s="71"/>
      <c r="D160" s="12">
        <v>0.49644864464459931</v>
      </c>
      <c r="E160" s="10">
        <v>4</v>
      </c>
      <c r="F160" s="10">
        <v>304.5</v>
      </c>
      <c r="G160" s="1">
        <v>2.69</v>
      </c>
      <c r="H160" s="14">
        <f t="shared" si="2"/>
        <v>-4.9849999999999994</v>
      </c>
      <c r="I160" s="23" t="s">
        <v>913</v>
      </c>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43" t="s">
        <v>914</v>
      </c>
      <c r="B194" s="44"/>
      <c r="C194" s="44"/>
      <c r="D194" s="44"/>
      <c r="E194" s="44"/>
      <c r="F194" s="44"/>
      <c r="G194" s="44"/>
      <c r="H194" s="44"/>
      <c r="I194" s="44"/>
      <c r="J194" s="44"/>
      <c r="K194" s="44"/>
      <c r="L194" s="44"/>
      <c r="M194" s="48"/>
      <c r="N194" s="44"/>
      <c r="O194" s="44"/>
      <c r="P194" s="44"/>
      <c r="Q194" s="45"/>
    </row>
  </sheetData>
  <mergeCells count="5">
    <mergeCell ref="J59:K59"/>
    <mergeCell ref="J60:K60"/>
    <mergeCell ref="J149:K149"/>
    <mergeCell ref="J150:K150"/>
    <mergeCell ref="I159:J159"/>
  </mergeCells>
  <pageMargins left="0" right="0" top="0" bottom="0" header="0.3" footer="0.3"/>
  <pageSetup scale="54" orientation="landscape"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6C2C5-CB63-49BA-A4EF-5D7F58F7F35D}">
  <dimension ref="A1:AB194"/>
  <sheetViews>
    <sheetView workbookViewId="0">
      <selection activeCell="B4" sqref="B4:B9"/>
    </sheetView>
  </sheetViews>
  <sheetFormatPr baseColWidth="10" defaultColWidth="9.1640625" defaultRowHeight="15"/>
  <cols>
    <col min="1" max="1" width="18.83203125" style="369" customWidth="1"/>
    <col min="2" max="3" width="11.33203125" style="369" customWidth="1"/>
    <col min="4" max="4" width="7.6640625" style="369" customWidth="1"/>
    <col min="5" max="5" width="7.83203125" style="369" customWidth="1"/>
    <col min="6" max="6" width="10.1640625" style="369" customWidth="1"/>
    <col min="7" max="7" width="11.5" style="369" customWidth="1"/>
    <col min="8" max="8" width="9.1640625" style="369"/>
    <col min="9" max="9" width="13.1640625" style="369" customWidth="1"/>
    <col min="10" max="10" width="4.5" style="369" customWidth="1"/>
    <col min="11" max="12" width="9.1640625" style="369"/>
    <col min="13" max="13" width="9" style="372" customWidth="1"/>
    <col min="14" max="16384" width="9.1640625" style="369"/>
  </cols>
  <sheetData>
    <row r="1" spans="1:25" ht="34">
      <c r="B1" s="370" t="s">
        <v>0</v>
      </c>
      <c r="C1" s="371"/>
      <c r="Y1" s="373"/>
    </row>
    <row r="2" spans="1:25" s="372" customFormat="1" ht="21">
      <c r="B2" s="374" t="s">
        <v>1</v>
      </c>
      <c r="C2" s="375"/>
      <c r="Y2" s="376"/>
    </row>
    <row r="3" spans="1:25" s="372" customFormat="1" ht="19">
      <c r="B3" s="377" t="s">
        <v>2</v>
      </c>
      <c r="C3" s="375"/>
      <c r="Y3" s="378"/>
    </row>
    <row r="4" spans="1:25">
      <c r="A4" s="379" t="s">
        <v>3</v>
      </c>
      <c r="B4" s="380"/>
      <c r="C4" s="381"/>
      <c r="D4" s="381"/>
      <c r="E4" s="381"/>
      <c r="F4" s="381"/>
      <c r="G4" s="381"/>
      <c r="H4" s="381"/>
      <c r="I4" s="381"/>
      <c r="J4" s="381"/>
      <c r="K4" s="381"/>
      <c r="L4" s="381"/>
      <c r="M4" s="382"/>
      <c r="N4" s="381"/>
      <c r="O4" s="381"/>
      <c r="P4" s="381"/>
      <c r="Q4" s="381"/>
      <c r="R4" s="383"/>
    </row>
    <row r="5" spans="1:25">
      <c r="A5" s="379" t="s">
        <v>4</v>
      </c>
      <c r="B5" s="384"/>
      <c r="C5" s="384"/>
      <c r="D5" s="384"/>
      <c r="E5" s="384"/>
      <c r="F5" s="384"/>
      <c r="G5" s="384"/>
      <c r="H5" s="384"/>
      <c r="I5" s="384"/>
      <c r="J5" s="384"/>
      <c r="K5" s="384"/>
      <c r="L5" s="384"/>
      <c r="M5" s="385"/>
      <c r="N5" s="384"/>
      <c r="O5" s="384"/>
      <c r="P5" s="384"/>
      <c r="Q5" s="384"/>
      <c r="R5" s="386"/>
    </row>
    <row r="6" spans="1:25">
      <c r="A6" s="387" t="s">
        <v>5</v>
      </c>
      <c r="B6" s="380"/>
      <c r="C6" s="381"/>
      <c r="D6" s="381"/>
      <c r="E6" s="381"/>
      <c r="F6" s="381"/>
      <c r="G6" s="381"/>
      <c r="H6" s="381"/>
      <c r="I6" s="381"/>
      <c r="J6" s="381"/>
      <c r="K6" s="381"/>
      <c r="L6" s="381"/>
      <c r="M6" s="382"/>
      <c r="N6" s="381"/>
      <c r="O6" s="381"/>
      <c r="P6" s="381"/>
      <c r="Q6" s="381"/>
      <c r="R6" s="383"/>
    </row>
    <row r="7" spans="1:25">
      <c r="A7" s="388"/>
      <c r="B7" s="389"/>
      <c r="C7" s="384"/>
      <c r="D7" s="384"/>
      <c r="E7" s="384"/>
      <c r="F7" s="384"/>
      <c r="G7" s="384"/>
      <c r="H7" s="384"/>
      <c r="I7" s="384"/>
      <c r="J7" s="384"/>
      <c r="K7" s="384"/>
      <c r="L7" s="384"/>
      <c r="M7" s="385"/>
      <c r="N7" s="384"/>
      <c r="O7" s="384"/>
      <c r="P7" s="384"/>
      <c r="Q7" s="384"/>
      <c r="R7" s="386"/>
    </row>
    <row r="8" spans="1:25">
      <c r="A8" s="387" t="s">
        <v>6</v>
      </c>
      <c r="B8" s="390"/>
      <c r="C8" s="381"/>
      <c r="D8" s="381"/>
      <c r="E8" s="381"/>
      <c r="F8" s="391"/>
      <c r="G8" s="381"/>
      <c r="H8" s="381"/>
      <c r="I8" s="381"/>
      <c r="J8" s="381"/>
      <c r="K8" s="381"/>
      <c r="L8" s="381"/>
      <c r="M8" s="382"/>
      <c r="N8" s="381"/>
      <c r="O8" s="381"/>
      <c r="P8" s="381"/>
      <c r="Q8" s="381"/>
      <c r="R8" s="383"/>
    </row>
    <row r="9" spans="1:25">
      <c r="A9" s="392" t="s">
        <v>7</v>
      </c>
      <c r="B9" s="393"/>
      <c r="C9" s="393"/>
      <c r="D9" s="393"/>
      <c r="E9" s="393"/>
      <c r="F9" s="393"/>
      <c r="G9" s="393"/>
      <c r="H9" s="393"/>
      <c r="I9" s="393"/>
      <c r="J9" s="393"/>
      <c r="K9" s="393"/>
      <c r="L9" s="393"/>
      <c r="M9" s="394"/>
      <c r="N9" s="393"/>
      <c r="O9" s="393"/>
      <c r="P9" s="393"/>
      <c r="Q9" s="393"/>
      <c r="R9" s="395"/>
    </row>
    <row r="10" spans="1:25">
      <c r="A10" s="396"/>
    </row>
    <row r="11" spans="1:25" s="397" customFormat="1" ht="26">
      <c r="A11" s="397" t="s">
        <v>915</v>
      </c>
    </row>
    <row r="12" spans="1:25">
      <c r="B12" s="398" t="s">
        <v>916</v>
      </c>
    </row>
    <row r="13" spans="1:25" s="400" customFormat="1">
      <c r="A13" s="399" t="s">
        <v>917</v>
      </c>
    </row>
    <row r="14" spans="1:25">
      <c r="B14" s="401" t="s">
        <v>32</v>
      </c>
      <c r="C14" s="369" t="s">
        <v>11</v>
      </c>
    </row>
    <row r="15" spans="1:25" s="400" customFormat="1">
      <c r="A15" s="399" t="s">
        <v>12</v>
      </c>
    </row>
    <row r="16" spans="1:25">
      <c r="B16" s="401"/>
      <c r="C16" s="369" t="s">
        <v>11</v>
      </c>
    </row>
    <row r="17" spans="1:28" s="400" customFormat="1">
      <c r="A17" s="399" t="s">
        <v>13</v>
      </c>
    </row>
    <row r="18" spans="1:28">
      <c r="B18" s="380"/>
      <c r="C18" s="381"/>
      <c r="D18" s="381"/>
      <c r="E18" s="381"/>
      <c r="F18" s="381"/>
      <c r="G18" s="381"/>
      <c r="H18" s="381"/>
      <c r="I18" s="381"/>
      <c r="J18" s="381"/>
      <c r="K18" s="381"/>
      <c r="L18" s="381"/>
      <c r="M18" s="382"/>
      <c r="N18" s="381"/>
      <c r="O18" s="381"/>
      <c r="P18" s="381"/>
      <c r="Q18" s="381"/>
      <c r="R18" s="383"/>
      <c r="S18" s="369" t="s">
        <v>15</v>
      </c>
    </row>
    <row r="20" spans="1:28" s="402" customFormat="1">
      <c r="A20" s="402" t="s">
        <v>918</v>
      </c>
    </row>
    <row r="21" spans="1:28" s="406" customFormat="1" ht="35" thickBot="1">
      <c r="A21" s="403" t="s">
        <v>919</v>
      </c>
      <c r="B21" s="404"/>
      <c r="C21" s="404"/>
      <c r="D21" s="404"/>
      <c r="E21" s="404"/>
      <c r="F21" s="404"/>
      <c r="G21" s="404"/>
      <c r="H21" s="404"/>
      <c r="I21" s="404"/>
      <c r="J21" s="404"/>
      <c r="K21" s="404"/>
      <c r="L21" s="404"/>
      <c r="M21" s="405"/>
      <c r="N21" s="372"/>
      <c r="O21" s="372"/>
      <c r="P21" s="372"/>
      <c r="Q21" s="372"/>
      <c r="R21" s="372"/>
      <c r="S21" s="372"/>
      <c r="T21" s="372"/>
      <c r="U21" s="372"/>
      <c r="V21" s="372"/>
      <c r="W21" s="372"/>
      <c r="X21" s="372"/>
      <c r="Y21" s="372"/>
      <c r="Z21" s="372"/>
      <c r="AA21" s="372"/>
      <c r="AB21" s="372"/>
    </row>
    <row r="22" spans="1:28" ht="41.25" customHeight="1" thickBot="1">
      <c r="A22" s="407" t="s">
        <v>18</v>
      </c>
      <c r="B22" s="408" t="s">
        <v>920</v>
      </c>
      <c r="C22" s="408" t="s">
        <v>921</v>
      </c>
      <c r="D22" s="408" t="s">
        <v>21</v>
      </c>
      <c r="E22" s="408" t="s">
        <v>22</v>
      </c>
      <c r="F22" s="408" t="s">
        <v>23</v>
      </c>
      <c r="G22" s="409" t="s">
        <v>922</v>
      </c>
      <c r="H22" s="409" t="s">
        <v>923</v>
      </c>
      <c r="I22" s="410"/>
      <c r="J22" s="411" t="s">
        <v>27</v>
      </c>
      <c r="K22" s="411"/>
      <c r="L22" s="411"/>
      <c r="M22" s="412" t="s">
        <v>28</v>
      </c>
      <c r="N22" s="413"/>
      <c r="O22" s="413"/>
      <c r="P22" s="413"/>
      <c r="Q22" s="413"/>
      <c r="R22" s="413"/>
      <c r="S22" s="413"/>
      <c r="T22" s="414"/>
      <c r="U22" s="406"/>
      <c r="V22" s="406"/>
      <c r="W22" s="406"/>
      <c r="X22" s="406"/>
      <c r="Y22" s="406"/>
      <c r="Z22" s="406"/>
      <c r="AA22" s="406"/>
      <c r="AB22" s="406"/>
    </row>
    <row r="23" spans="1:28">
      <c r="A23" s="415" t="s">
        <v>29</v>
      </c>
      <c r="B23" s="416">
        <v>-1.4036911999999999</v>
      </c>
      <c r="C23" s="417" t="s">
        <v>30</v>
      </c>
      <c r="D23" s="418">
        <v>0.17592262140645501</v>
      </c>
      <c r="E23" s="419">
        <v>11</v>
      </c>
      <c r="F23" s="419">
        <v>258.5</v>
      </c>
      <c r="G23" s="420">
        <v>-0.86</v>
      </c>
      <c r="H23" s="421">
        <f t="shared" ref="H23:H86" si="0">0.5-G23-0.01*(F23-25)</f>
        <v>-0.97500000000000009</v>
      </c>
      <c r="I23" s="422" t="s">
        <v>31</v>
      </c>
      <c r="J23" s="423"/>
      <c r="K23" s="421"/>
      <c r="L23" s="421"/>
      <c r="M23" s="424" t="s">
        <v>33</v>
      </c>
    </row>
    <row r="24" spans="1:28">
      <c r="A24" s="425" t="s">
        <v>35</v>
      </c>
      <c r="B24" s="416">
        <v>-2.0843117000000002</v>
      </c>
      <c r="C24" s="417" t="s">
        <v>36</v>
      </c>
      <c r="D24" s="418">
        <v>0.14701293131372201</v>
      </c>
      <c r="E24" s="419">
        <v>16</v>
      </c>
      <c r="F24" s="419">
        <v>142.4</v>
      </c>
      <c r="G24" s="420">
        <v>1.31</v>
      </c>
      <c r="H24" s="421">
        <f t="shared" si="0"/>
        <v>-1.9840000000000002</v>
      </c>
      <c r="I24" s="422" t="s">
        <v>37</v>
      </c>
      <c r="J24" s="423"/>
      <c r="K24" s="421"/>
      <c r="L24" s="421"/>
      <c r="M24" s="424" t="s">
        <v>38</v>
      </c>
    </row>
    <row r="25" spans="1:28">
      <c r="A25" s="415" t="s">
        <v>40</v>
      </c>
      <c r="B25" s="416">
        <v>-3.2759147</v>
      </c>
      <c r="C25" s="417" t="s">
        <v>41</v>
      </c>
      <c r="D25" s="418">
        <v>0.15746026945991601</v>
      </c>
      <c r="E25" s="419">
        <v>4</v>
      </c>
      <c r="F25" s="419">
        <v>92</v>
      </c>
      <c r="G25" s="420">
        <v>2.5299999999999998</v>
      </c>
      <c r="H25" s="421">
        <f t="shared" si="0"/>
        <v>-2.6999999999999997</v>
      </c>
      <c r="I25" s="422" t="s">
        <v>42</v>
      </c>
      <c r="J25" s="423"/>
      <c r="K25" s="421"/>
      <c r="L25" s="421"/>
      <c r="M25" s="424" t="s">
        <v>43</v>
      </c>
    </row>
    <row r="26" spans="1:28">
      <c r="A26" s="425" t="s">
        <v>45</v>
      </c>
      <c r="B26" s="416">
        <v>-2.4516179999999999</v>
      </c>
      <c r="C26" s="417" t="s">
        <v>46</v>
      </c>
      <c r="D26" s="418">
        <v>0.169992225074696</v>
      </c>
      <c r="E26" s="419">
        <v>3</v>
      </c>
      <c r="F26" s="419">
        <v>234</v>
      </c>
      <c r="G26" s="420">
        <v>3.19</v>
      </c>
      <c r="H26" s="421">
        <f t="shared" si="0"/>
        <v>-4.7799999999999994</v>
      </c>
      <c r="I26" s="426" t="s">
        <v>47</v>
      </c>
      <c r="J26" s="427"/>
      <c r="K26" s="421"/>
      <c r="L26" s="421"/>
      <c r="M26" s="424" t="s">
        <v>48</v>
      </c>
    </row>
    <row r="27" spans="1:28">
      <c r="A27" s="425" t="s">
        <v>50</v>
      </c>
      <c r="B27" s="416">
        <v>-5.1689816000000004</v>
      </c>
      <c r="C27" s="417" t="s">
        <v>51</v>
      </c>
      <c r="D27" s="418">
        <v>0.21168830858587201</v>
      </c>
      <c r="E27" s="419">
        <v>3</v>
      </c>
      <c r="F27" s="419">
        <v>139.25</v>
      </c>
      <c r="G27" s="420">
        <v>4.8600000000000003</v>
      </c>
      <c r="H27" s="421">
        <f t="shared" si="0"/>
        <v>-5.5025000000000004</v>
      </c>
      <c r="I27" s="426" t="s">
        <v>52</v>
      </c>
      <c r="J27" s="427"/>
      <c r="K27" s="421"/>
      <c r="L27" s="421"/>
      <c r="M27" s="424" t="s">
        <v>53</v>
      </c>
    </row>
    <row r="28" spans="1:28">
      <c r="A28" s="415" t="s">
        <v>55</v>
      </c>
      <c r="B28" s="416">
        <v>-5.9634219999999996</v>
      </c>
      <c r="C28" s="428"/>
      <c r="D28" s="418">
        <v>0.18412396392404201</v>
      </c>
      <c r="E28" s="419">
        <v>3</v>
      </c>
      <c r="F28" s="419">
        <v>224</v>
      </c>
      <c r="G28" s="420">
        <v>5.51</v>
      </c>
      <c r="H28" s="421">
        <f t="shared" si="0"/>
        <v>-7</v>
      </c>
      <c r="I28" s="426" t="s">
        <v>56</v>
      </c>
      <c r="J28" s="427"/>
      <c r="K28" s="421"/>
      <c r="L28" s="421"/>
      <c r="M28" s="424" t="s">
        <v>57</v>
      </c>
    </row>
    <row r="29" spans="1:28">
      <c r="A29" s="415" t="s">
        <v>59</v>
      </c>
      <c r="B29" s="416">
        <v>-2.5378500000000002</v>
      </c>
      <c r="C29" s="428"/>
      <c r="D29" s="418">
        <v>0.149337338745232</v>
      </c>
      <c r="E29" s="419">
        <v>6</v>
      </c>
      <c r="F29" s="419">
        <v>172.5</v>
      </c>
      <c r="G29" s="420">
        <v>1.78</v>
      </c>
      <c r="H29" s="421">
        <f t="shared" si="0"/>
        <v>-2.7549999999999999</v>
      </c>
      <c r="I29" s="426" t="s">
        <v>60</v>
      </c>
      <c r="J29" s="429"/>
      <c r="K29" s="421"/>
      <c r="L29" s="421"/>
      <c r="M29" s="424" t="s">
        <v>61</v>
      </c>
    </row>
    <row r="30" spans="1:28" ht="21" customHeight="1">
      <c r="A30" s="415" t="s">
        <v>63</v>
      </c>
      <c r="B30" s="416">
        <v>-2.1477162999999999</v>
      </c>
      <c r="C30" s="428"/>
      <c r="D30" s="418">
        <v>0.14842266063120099</v>
      </c>
      <c r="E30" s="419">
        <v>4</v>
      </c>
      <c r="F30" s="419">
        <v>207.5</v>
      </c>
      <c r="G30" s="420">
        <v>1.86</v>
      </c>
      <c r="H30" s="421">
        <f t="shared" si="0"/>
        <v>-3.1850000000000001</v>
      </c>
      <c r="I30" s="430" t="s">
        <v>64</v>
      </c>
      <c r="J30" s="889" t="s">
        <v>924</v>
      </c>
      <c r="K30" s="890"/>
      <c r="L30" s="891"/>
      <c r="M30" s="424" t="s">
        <v>65</v>
      </c>
    </row>
    <row r="31" spans="1:28">
      <c r="A31" s="431" t="s">
        <v>66</v>
      </c>
      <c r="B31" s="416">
        <v>-2.5784286999999999</v>
      </c>
      <c r="C31" s="428"/>
      <c r="D31" s="418">
        <v>0.16179731069006001</v>
      </c>
      <c r="E31" s="419">
        <v>10</v>
      </c>
      <c r="F31" s="419">
        <v>166.5</v>
      </c>
      <c r="G31" s="420">
        <v>0.79</v>
      </c>
      <c r="H31" s="421">
        <f t="shared" si="0"/>
        <v>-1.7050000000000001</v>
      </c>
      <c r="J31" s="421"/>
      <c r="K31" s="421"/>
      <c r="L31" s="421"/>
      <c r="M31" s="424" t="s">
        <v>67</v>
      </c>
    </row>
    <row r="32" spans="1:28">
      <c r="A32" s="425" t="s">
        <v>68</v>
      </c>
      <c r="B32" s="416">
        <v>-3.6894952999999999</v>
      </c>
      <c r="C32" s="428"/>
      <c r="D32" s="418">
        <v>0.21543706061278201</v>
      </c>
      <c r="E32" s="419">
        <v>6</v>
      </c>
      <c r="F32" s="419">
        <v>231.5</v>
      </c>
      <c r="G32" s="420">
        <v>2.4300000000000002</v>
      </c>
      <c r="H32" s="421">
        <f t="shared" si="0"/>
        <v>-3.9950000000000001</v>
      </c>
      <c r="I32" s="432" t="s">
        <v>69</v>
      </c>
      <c r="J32" s="433"/>
      <c r="K32" s="433"/>
      <c r="L32" s="434"/>
      <c r="M32" s="424" t="s">
        <v>70</v>
      </c>
    </row>
    <row r="33" spans="1:13">
      <c r="A33" s="435" t="s">
        <v>71</v>
      </c>
      <c r="B33" s="416">
        <v>-4.0274479999999997</v>
      </c>
      <c r="C33" s="436"/>
      <c r="D33" s="437">
        <v>0.129125206050696</v>
      </c>
      <c r="E33" s="438">
        <v>3</v>
      </c>
      <c r="F33" s="439">
        <v>192.7</v>
      </c>
      <c r="G33" s="420">
        <v>2.63</v>
      </c>
      <c r="H33" s="421">
        <f t="shared" si="0"/>
        <v>-3.8069999999999995</v>
      </c>
      <c r="I33" s="880" t="s">
        <v>925</v>
      </c>
      <c r="J33" s="881"/>
      <c r="K33" s="881"/>
      <c r="L33" s="882"/>
      <c r="M33" s="424" t="s">
        <v>72</v>
      </c>
    </row>
    <row r="34" spans="1:13">
      <c r="A34" s="415" t="s">
        <v>74</v>
      </c>
      <c r="B34" s="416">
        <v>-7.3716353999999997</v>
      </c>
      <c r="C34" s="428"/>
      <c r="D34" s="418">
        <v>0.14911462098310899</v>
      </c>
      <c r="E34" s="419">
        <v>6</v>
      </c>
      <c r="F34" s="419">
        <v>167</v>
      </c>
      <c r="G34" s="420">
        <v>6.32</v>
      </c>
      <c r="H34" s="421">
        <f t="shared" si="0"/>
        <v>-7.24</v>
      </c>
      <c r="I34" s="883"/>
      <c r="J34" s="884"/>
      <c r="K34" s="884"/>
      <c r="L34" s="885"/>
      <c r="M34" s="424" t="s">
        <v>75</v>
      </c>
    </row>
    <row r="35" spans="1:13">
      <c r="A35" s="425" t="s">
        <v>77</v>
      </c>
      <c r="B35" s="416">
        <v>-3.7682628999999999</v>
      </c>
      <c r="C35" s="428"/>
      <c r="D35" s="418">
        <v>0.15809078703524701</v>
      </c>
      <c r="E35" s="419">
        <v>15</v>
      </c>
      <c r="F35" s="419">
        <v>191.5</v>
      </c>
      <c r="G35" s="420">
        <v>3.39</v>
      </c>
      <c r="H35" s="421">
        <f t="shared" si="0"/>
        <v>-4.5549999999999997</v>
      </c>
      <c r="I35" s="883"/>
      <c r="J35" s="884"/>
      <c r="K35" s="884"/>
      <c r="L35" s="885"/>
      <c r="M35" s="424" t="s">
        <v>78</v>
      </c>
    </row>
    <row r="36" spans="1:13">
      <c r="A36" s="431" t="s">
        <v>80</v>
      </c>
      <c r="B36" s="416">
        <v>-3.7087015999999999</v>
      </c>
      <c r="C36" s="428"/>
      <c r="D36" s="418">
        <v>0.191150308906822</v>
      </c>
      <c r="E36" s="419">
        <v>3</v>
      </c>
      <c r="F36" s="419">
        <v>246.2</v>
      </c>
      <c r="G36" s="420">
        <v>3.32</v>
      </c>
      <c r="H36" s="421">
        <f t="shared" si="0"/>
        <v>-5.032</v>
      </c>
      <c r="I36" s="883"/>
      <c r="J36" s="884"/>
      <c r="K36" s="884"/>
      <c r="L36" s="885"/>
      <c r="M36" s="424" t="s">
        <v>81</v>
      </c>
    </row>
    <row r="37" spans="1:13">
      <c r="A37" s="431" t="s">
        <v>73</v>
      </c>
      <c r="B37" s="416">
        <v>-2.8829693999999999</v>
      </c>
      <c r="C37" s="428"/>
      <c r="D37" s="418">
        <v>0.19050575600734301</v>
      </c>
      <c r="E37" s="419">
        <v>4</v>
      </c>
      <c r="F37" s="419">
        <v>304</v>
      </c>
      <c r="G37" s="420">
        <v>1.74</v>
      </c>
      <c r="H37" s="421">
        <f t="shared" si="0"/>
        <v>-4.03</v>
      </c>
      <c r="I37" s="877"/>
      <c r="J37" s="878"/>
      <c r="K37" s="878"/>
      <c r="L37" s="879"/>
      <c r="M37" s="424" t="s">
        <v>83</v>
      </c>
    </row>
    <row r="38" spans="1:13">
      <c r="A38" s="415" t="s">
        <v>76</v>
      </c>
      <c r="B38" s="416">
        <v>-2.9547338000000001</v>
      </c>
      <c r="C38" s="428"/>
      <c r="D38" s="418">
        <v>0.13682393527498099</v>
      </c>
      <c r="E38" s="419">
        <v>7</v>
      </c>
      <c r="F38" s="419">
        <v>187</v>
      </c>
      <c r="G38" s="420">
        <v>-0.87</v>
      </c>
      <c r="H38" s="421">
        <f t="shared" si="0"/>
        <v>-0.25</v>
      </c>
      <c r="I38" s="877"/>
      <c r="J38" s="878"/>
      <c r="K38" s="878"/>
      <c r="L38" s="879"/>
      <c r="M38" s="440" t="s">
        <v>85</v>
      </c>
    </row>
    <row r="39" spans="1:13">
      <c r="A39" s="415" t="s">
        <v>87</v>
      </c>
      <c r="B39" s="416">
        <v>-2.7139053</v>
      </c>
      <c r="C39" s="428"/>
      <c r="D39" s="418">
        <v>0.20462356367491999</v>
      </c>
      <c r="E39" s="419">
        <v>4</v>
      </c>
      <c r="F39" s="419">
        <v>221.5</v>
      </c>
      <c r="G39" s="420">
        <v>0.71</v>
      </c>
      <c r="H39" s="421">
        <f t="shared" si="0"/>
        <v>-2.1749999999999998</v>
      </c>
      <c r="I39" s="877"/>
      <c r="J39" s="878"/>
      <c r="K39" s="878"/>
      <c r="L39" s="879"/>
      <c r="M39" s="424" t="s">
        <v>88</v>
      </c>
    </row>
    <row r="40" spans="1:13">
      <c r="A40" s="415" t="s">
        <v>90</v>
      </c>
      <c r="B40" s="416">
        <v>-4.6483163999999997</v>
      </c>
      <c r="C40" s="428"/>
      <c r="D40" s="418">
        <v>0.182746025644655</v>
      </c>
      <c r="E40" s="419">
        <v>6</v>
      </c>
      <c r="F40" s="419">
        <v>157.833333333333</v>
      </c>
      <c r="G40" s="420">
        <v>3.51</v>
      </c>
      <c r="H40" s="421">
        <f t="shared" si="0"/>
        <v>-4.3383333333333294</v>
      </c>
      <c r="I40" s="441"/>
      <c r="J40" s="384"/>
      <c r="K40" s="384"/>
      <c r="L40" s="386"/>
      <c r="M40" s="424" t="s">
        <v>91</v>
      </c>
    </row>
    <row r="41" spans="1:13">
      <c r="A41" s="435" t="s">
        <v>93</v>
      </c>
      <c r="B41" s="416">
        <v>-2.1002958</v>
      </c>
      <c r="C41" s="436"/>
      <c r="D41" s="437">
        <v>0.12610247911779701</v>
      </c>
      <c r="E41" s="438">
        <v>8</v>
      </c>
      <c r="F41" s="419">
        <v>140</v>
      </c>
      <c r="G41" s="420">
        <v>0.35</v>
      </c>
      <c r="H41" s="421">
        <f t="shared" si="0"/>
        <v>-1</v>
      </c>
      <c r="I41" s="441"/>
      <c r="J41" s="384"/>
      <c r="K41" s="384"/>
      <c r="L41" s="386"/>
      <c r="M41" s="424" t="s">
        <v>94</v>
      </c>
    </row>
    <row r="42" spans="1:13">
      <c r="A42" s="425" t="s">
        <v>96</v>
      </c>
      <c r="B42" s="416">
        <v>-2.7815318000000002</v>
      </c>
      <c r="C42" s="428"/>
      <c r="D42" s="418">
        <v>0.14493441954544001</v>
      </c>
      <c r="E42" s="419">
        <v>7</v>
      </c>
      <c r="F42" s="419">
        <v>127.933333333333</v>
      </c>
      <c r="G42" s="420">
        <v>1.74</v>
      </c>
      <c r="H42" s="421">
        <f t="shared" si="0"/>
        <v>-2.2693333333333299</v>
      </c>
      <c r="I42" s="441"/>
      <c r="J42" s="384"/>
      <c r="K42" s="384"/>
      <c r="L42" s="386"/>
      <c r="M42" s="424" t="s">
        <v>97</v>
      </c>
    </row>
    <row r="43" spans="1:13">
      <c r="A43" s="425" t="s">
        <v>79</v>
      </c>
      <c r="B43" s="416">
        <v>-4.981414</v>
      </c>
      <c r="C43" s="428"/>
      <c r="D43" s="418">
        <v>0.148613886268708</v>
      </c>
      <c r="E43" s="419">
        <v>7</v>
      </c>
      <c r="F43" s="419">
        <v>176</v>
      </c>
      <c r="G43" s="420">
        <v>4.4800000000000004</v>
      </c>
      <c r="H43" s="421">
        <f t="shared" si="0"/>
        <v>-5.49</v>
      </c>
      <c r="I43" s="441"/>
      <c r="J43" s="384"/>
      <c r="K43" s="384"/>
      <c r="L43" s="386"/>
      <c r="M43" s="424" t="s">
        <v>99</v>
      </c>
    </row>
    <row r="44" spans="1:13">
      <c r="A44" s="442" t="s">
        <v>101</v>
      </c>
      <c r="B44" s="416">
        <v>-4.1847560000000001</v>
      </c>
      <c r="C44" s="436"/>
      <c r="D44" s="437">
        <v>0.12807114954002</v>
      </c>
      <c r="E44" s="438">
        <v>3</v>
      </c>
      <c r="F44" s="419">
        <v>159.69999999999999</v>
      </c>
      <c r="G44" s="420">
        <v>3.46</v>
      </c>
      <c r="H44" s="421">
        <f t="shared" si="0"/>
        <v>-4.3070000000000004</v>
      </c>
      <c r="I44" s="441"/>
      <c r="J44" s="384"/>
      <c r="K44" s="384"/>
      <c r="L44" s="386"/>
      <c r="M44" s="424" t="s">
        <v>102</v>
      </c>
    </row>
    <row r="45" spans="1:13">
      <c r="A45" s="435" t="s">
        <v>104</v>
      </c>
      <c r="B45" s="416">
        <v>-1.1403274999999999</v>
      </c>
      <c r="C45" s="436"/>
      <c r="D45" s="437">
        <v>0.21683500301481101</v>
      </c>
      <c r="E45" s="438">
        <v>8</v>
      </c>
      <c r="F45" s="419">
        <v>142</v>
      </c>
      <c r="G45" s="420">
        <v>0.6</v>
      </c>
      <c r="H45" s="421">
        <f t="shared" si="0"/>
        <v>-1.27</v>
      </c>
      <c r="I45" s="441"/>
      <c r="J45" s="384"/>
      <c r="K45" s="384"/>
      <c r="L45" s="386"/>
      <c r="M45" s="424" t="s">
        <v>105</v>
      </c>
    </row>
    <row r="46" spans="1:13">
      <c r="A46" s="425" t="s">
        <v>107</v>
      </c>
      <c r="B46" s="416">
        <v>-3.4190407</v>
      </c>
      <c r="C46" s="428"/>
      <c r="D46" s="418">
        <v>0.18255878892749899</v>
      </c>
      <c r="E46" s="419">
        <v>20</v>
      </c>
      <c r="F46" s="419">
        <v>267</v>
      </c>
      <c r="G46" s="420">
        <v>1.58</v>
      </c>
      <c r="H46" s="421">
        <f t="shared" si="0"/>
        <v>-3.5</v>
      </c>
      <c r="I46" s="441"/>
      <c r="J46" s="384"/>
      <c r="K46" s="384"/>
      <c r="L46" s="386"/>
      <c r="M46" s="424" t="s">
        <v>108</v>
      </c>
    </row>
    <row r="47" spans="1:13">
      <c r="A47" s="415" t="s">
        <v>110</v>
      </c>
      <c r="B47" s="416">
        <v>-4.1189530000000003</v>
      </c>
      <c r="C47" s="428"/>
      <c r="D47" s="418">
        <v>0.16704647063532599</v>
      </c>
      <c r="E47" s="419">
        <v>6</v>
      </c>
      <c r="F47" s="419">
        <v>110</v>
      </c>
      <c r="G47" s="420">
        <v>3.36</v>
      </c>
      <c r="H47" s="421">
        <f t="shared" si="0"/>
        <v>-3.71</v>
      </c>
      <c r="I47" s="441"/>
      <c r="J47" s="384"/>
      <c r="K47" s="384"/>
      <c r="L47" s="386"/>
      <c r="M47" s="424" t="s">
        <v>111</v>
      </c>
    </row>
    <row r="48" spans="1:13">
      <c r="A48" s="425" t="s">
        <v>82</v>
      </c>
      <c r="B48" s="416">
        <v>-3.8235114000000001</v>
      </c>
      <c r="C48" s="428"/>
      <c r="D48" s="418">
        <v>0.1716450131236</v>
      </c>
      <c r="E48" s="419">
        <v>7</v>
      </c>
      <c r="F48" s="419">
        <v>182</v>
      </c>
      <c r="G48" s="420">
        <v>2.67</v>
      </c>
      <c r="H48" s="421">
        <f t="shared" si="0"/>
        <v>-3.74</v>
      </c>
      <c r="I48" s="441"/>
      <c r="J48" s="384"/>
      <c r="K48" s="384"/>
      <c r="L48" s="386"/>
      <c r="M48" s="424" t="s">
        <v>113</v>
      </c>
    </row>
    <row r="49" spans="1:13">
      <c r="A49" s="435" t="s">
        <v>115</v>
      </c>
      <c r="B49" s="416">
        <v>-4.2279986999999997</v>
      </c>
      <c r="C49" s="436"/>
      <c r="D49" s="437">
        <v>0.12558353028546099</v>
      </c>
      <c r="E49" s="438">
        <v>4</v>
      </c>
      <c r="F49" s="419">
        <v>222</v>
      </c>
      <c r="G49" s="420">
        <v>2.56</v>
      </c>
      <c r="H49" s="421">
        <f t="shared" si="0"/>
        <v>-4.03</v>
      </c>
      <c r="I49" s="441"/>
      <c r="J49" s="384"/>
      <c r="K49" s="384"/>
      <c r="L49" s="386"/>
      <c r="M49" s="424" t="s">
        <v>116</v>
      </c>
    </row>
    <row r="50" spans="1:13">
      <c r="A50" s="425" t="s">
        <v>118</v>
      </c>
      <c r="B50" s="416">
        <v>-1.4792236000000001</v>
      </c>
      <c r="C50" s="428"/>
      <c r="D50" s="418">
        <v>0.15681339906647901</v>
      </c>
      <c r="E50" s="419">
        <v>6</v>
      </c>
      <c r="F50" s="419">
        <v>151</v>
      </c>
      <c r="G50" s="420">
        <v>3.27</v>
      </c>
      <c r="H50" s="421">
        <f t="shared" si="0"/>
        <v>-4.03</v>
      </c>
      <c r="I50" s="441"/>
      <c r="J50" s="384"/>
      <c r="K50" s="384"/>
      <c r="L50" s="386"/>
      <c r="M50" s="424" t="s">
        <v>119</v>
      </c>
    </row>
    <row r="51" spans="1:13">
      <c r="A51" s="442" t="s">
        <v>84</v>
      </c>
      <c r="B51" s="416">
        <v>-3.6893628000000001</v>
      </c>
      <c r="C51" s="436"/>
      <c r="D51" s="437">
        <v>0.12789394574374299</v>
      </c>
      <c r="E51" s="438">
        <v>5</v>
      </c>
      <c r="F51" s="419">
        <v>330</v>
      </c>
      <c r="G51" s="420">
        <v>2.87</v>
      </c>
      <c r="H51" s="421">
        <f t="shared" si="0"/>
        <v>-5.42</v>
      </c>
      <c r="I51" s="441"/>
      <c r="J51" s="384"/>
      <c r="K51" s="384"/>
      <c r="L51" s="386"/>
      <c r="M51" s="424" t="s">
        <v>120</v>
      </c>
    </row>
    <row r="52" spans="1:13">
      <c r="A52" s="425" t="s">
        <v>121</v>
      </c>
      <c r="B52" s="416">
        <v>-3.0391924000000001</v>
      </c>
      <c r="C52" s="428"/>
      <c r="D52" s="418">
        <v>0.18012800124370401</v>
      </c>
      <c r="E52" s="419">
        <v>3</v>
      </c>
      <c r="F52" s="419">
        <v>100</v>
      </c>
      <c r="G52" s="420">
        <v>3.53</v>
      </c>
      <c r="H52" s="421">
        <f t="shared" si="0"/>
        <v>-3.78</v>
      </c>
      <c r="I52" s="443"/>
      <c r="J52" s="444"/>
      <c r="K52" s="444"/>
      <c r="L52" s="445"/>
      <c r="M52" s="424" t="s">
        <v>122</v>
      </c>
    </row>
    <row r="53" spans="1:13">
      <c r="A53" s="415" t="s">
        <v>123</v>
      </c>
      <c r="B53" s="416">
        <v>-3.9550052</v>
      </c>
      <c r="C53" s="428"/>
      <c r="D53" s="418">
        <v>0.180621047507217</v>
      </c>
      <c r="E53" s="419">
        <v>16</v>
      </c>
      <c r="F53" s="419">
        <v>262.5</v>
      </c>
      <c r="G53" s="420">
        <v>1.9</v>
      </c>
      <c r="H53" s="421">
        <f t="shared" si="0"/>
        <v>-3.7749999999999999</v>
      </c>
      <c r="I53" s="443"/>
      <c r="J53" s="444"/>
      <c r="K53" s="444"/>
      <c r="L53" s="445"/>
      <c r="M53" s="424" t="s">
        <v>124</v>
      </c>
    </row>
    <row r="54" spans="1:13">
      <c r="A54" s="435" t="s">
        <v>125</v>
      </c>
      <c r="B54" s="416">
        <v>-3.0086203</v>
      </c>
      <c r="C54" s="436"/>
      <c r="D54" s="437">
        <v>0.2215624426866</v>
      </c>
      <c r="E54" s="438">
        <v>4</v>
      </c>
      <c r="F54" s="419">
        <v>328.85</v>
      </c>
      <c r="G54" s="420">
        <v>1.87</v>
      </c>
      <c r="H54" s="421">
        <f t="shared" si="0"/>
        <v>-4.4085000000000001</v>
      </c>
      <c r="I54" s="443"/>
      <c r="J54" s="444"/>
      <c r="K54" s="444"/>
      <c r="L54" s="445"/>
      <c r="M54" s="424" t="s">
        <v>126</v>
      </c>
    </row>
    <row r="55" spans="1:13">
      <c r="A55" s="425" t="s">
        <v>127</v>
      </c>
      <c r="B55" s="416">
        <v>-4.1777296000000002</v>
      </c>
      <c r="C55" s="428"/>
      <c r="D55" s="418">
        <v>0.184508117807134</v>
      </c>
      <c r="E55" s="419">
        <v>33</v>
      </c>
      <c r="F55" s="419">
        <v>167.5</v>
      </c>
      <c r="G55" s="420">
        <v>4.3600000000000003</v>
      </c>
      <c r="H55" s="421">
        <f t="shared" si="0"/>
        <v>-5.2850000000000001</v>
      </c>
      <c r="I55" s="443"/>
      <c r="J55" s="444"/>
      <c r="K55" s="444"/>
      <c r="L55" s="445"/>
      <c r="M55" s="424" t="s">
        <v>128</v>
      </c>
    </row>
    <row r="56" spans="1:13">
      <c r="A56" s="425" t="s">
        <v>86</v>
      </c>
      <c r="B56" s="416">
        <v>-5.2300579999999997</v>
      </c>
      <c r="C56" s="428"/>
      <c r="D56" s="418">
        <v>0.15609203233531499</v>
      </c>
      <c r="E56" s="419">
        <v>3</v>
      </c>
      <c r="F56" s="419">
        <v>223</v>
      </c>
      <c r="G56" s="420">
        <v>2.99</v>
      </c>
      <c r="H56" s="421">
        <f t="shared" si="0"/>
        <v>-4.4700000000000006</v>
      </c>
      <c r="I56" s="443"/>
      <c r="J56" s="444"/>
      <c r="K56" s="444"/>
      <c r="L56" s="445"/>
      <c r="M56" s="424" t="s">
        <v>129</v>
      </c>
    </row>
    <row r="57" spans="1:13">
      <c r="A57" s="425" t="s">
        <v>89</v>
      </c>
      <c r="B57" s="416">
        <v>-4.1327759999999998</v>
      </c>
      <c r="C57" s="428"/>
      <c r="D57" s="418">
        <v>0.20872343532408</v>
      </c>
      <c r="E57" s="419">
        <v>3</v>
      </c>
      <c r="F57" s="419">
        <v>210.5</v>
      </c>
      <c r="G57" s="420">
        <v>2.72</v>
      </c>
      <c r="H57" s="421">
        <f t="shared" si="0"/>
        <v>-4.0750000000000002</v>
      </c>
      <c r="I57" s="389"/>
      <c r="J57" s="446"/>
      <c r="K57" s="446"/>
      <c r="L57" s="447"/>
      <c r="M57" s="424" t="s">
        <v>130</v>
      </c>
    </row>
    <row r="58" spans="1:13">
      <c r="A58" s="435" t="s">
        <v>131</v>
      </c>
      <c r="B58" s="416">
        <v>-3.7360715999999998</v>
      </c>
      <c r="C58" s="436"/>
      <c r="D58" s="437">
        <v>0.12973190134165599</v>
      </c>
      <c r="E58" s="438">
        <v>3</v>
      </c>
      <c r="F58" s="419">
        <v>209.75</v>
      </c>
      <c r="G58" s="420">
        <v>3.37</v>
      </c>
      <c r="H58" s="421">
        <f t="shared" si="0"/>
        <v>-4.7175000000000002</v>
      </c>
      <c r="J58" s="421"/>
      <c r="K58" s="421"/>
      <c r="L58" s="421"/>
      <c r="M58" s="424" t="s">
        <v>132</v>
      </c>
    </row>
    <row r="59" spans="1:13">
      <c r="A59" s="415" t="s">
        <v>92</v>
      </c>
      <c r="B59" s="416">
        <v>-3.4096790000000001</v>
      </c>
      <c r="C59" s="428"/>
      <c r="D59" s="418">
        <v>0.14124198841117799</v>
      </c>
      <c r="E59" s="419">
        <v>3</v>
      </c>
      <c r="F59" s="419">
        <v>53.5</v>
      </c>
      <c r="G59" s="420">
        <v>3.43</v>
      </c>
      <c r="H59" s="421">
        <f t="shared" si="0"/>
        <v>-3.2150000000000003</v>
      </c>
      <c r="I59" s="448" t="s">
        <v>133</v>
      </c>
      <c r="J59" s="449">
        <v>8000</v>
      </c>
      <c r="K59" s="450"/>
      <c r="L59" s="421"/>
      <c r="M59" s="424" t="s">
        <v>134</v>
      </c>
    </row>
    <row r="60" spans="1:13">
      <c r="A60" s="415" t="s">
        <v>135</v>
      </c>
      <c r="B60" s="416">
        <v>-1.0356334</v>
      </c>
      <c r="C60" s="428"/>
      <c r="D60" s="418">
        <v>0.170692818664089</v>
      </c>
      <c r="E60" s="419">
        <v>6</v>
      </c>
      <c r="F60" s="419">
        <v>270</v>
      </c>
      <c r="G60" s="420">
        <v>0.05</v>
      </c>
      <c r="H60" s="421">
        <f t="shared" si="0"/>
        <v>-2</v>
      </c>
      <c r="I60" s="448" t="s">
        <v>136</v>
      </c>
      <c r="J60" s="449">
        <v>1961</v>
      </c>
      <c r="K60" s="450"/>
      <c r="L60" s="421"/>
      <c r="M60" s="424" t="s">
        <v>137</v>
      </c>
    </row>
    <row r="61" spans="1:13">
      <c r="A61" s="425" t="s">
        <v>138</v>
      </c>
      <c r="B61" s="416">
        <v>-1.8605859</v>
      </c>
      <c r="C61" s="428"/>
      <c r="D61" s="418">
        <v>0.206147596831632</v>
      </c>
      <c r="E61" s="419">
        <v>3</v>
      </c>
      <c r="F61" s="419">
        <v>143.75</v>
      </c>
      <c r="G61" s="420">
        <v>1.6</v>
      </c>
      <c r="H61" s="421">
        <f t="shared" si="0"/>
        <v>-2.2875000000000001</v>
      </c>
      <c r="I61" s="448" t="s">
        <v>139</v>
      </c>
      <c r="J61" s="451">
        <f>COUNTA(A23:A122)</f>
        <v>100</v>
      </c>
      <c r="K61" s="450"/>
      <c r="L61" s="421"/>
      <c r="M61" s="424" t="s">
        <v>140</v>
      </c>
    </row>
    <row r="62" spans="1:13">
      <c r="A62" s="415" t="s">
        <v>141</v>
      </c>
      <c r="B62" s="416">
        <v>-4.5214166999999996</v>
      </c>
      <c r="C62" s="428"/>
      <c r="D62" s="418">
        <v>0.180214226227635</v>
      </c>
      <c r="E62" s="419">
        <v>5</v>
      </c>
      <c r="F62" s="419">
        <v>214.5</v>
      </c>
      <c r="G62" s="420">
        <v>3.61</v>
      </c>
      <c r="H62" s="421">
        <f t="shared" si="0"/>
        <v>-5.0049999999999999</v>
      </c>
      <c r="I62" s="421"/>
      <c r="J62" s="421"/>
      <c r="K62" s="421"/>
      <c r="L62" s="421"/>
      <c r="M62" s="424" t="s">
        <v>142</v>
      </c>
    </row>
    <row r="63" spans="1:13">
      <c r="A63" s="425" t="s">
        <v>143</v>
      </c>
      <c r="B63" s="416">
        <v>-4.833113</v>
      </c>
      <c r="C63" s="428"/>
      <c r="D63" s="418">
        <v>0.19225415374507401</v>
      </c>
      <c r="E63" s="419">
        <v>8</v>
      </c>
      <c r="F63" s="419">
        <v>255.3</v>
      </c>
      <c r="G63" s="420">
        <v>3.82</v>
      </c>
      <c r="H63" s="421">
        <f t="shared" si="0"/>
        <v>-5.6230000000000002</v>
      </c>
      <c r="I63" s="452" t="s">
        <v>144</v>
      </c>
      <c r="J63" s="433"/>
      <c r="K63" s="433"/>
      <c r="L63" s="434"/>
      <c r="M63" s="424" t="s">
        <v>145</v>
      </c>
    </row>
    <row r="64" spans="1:13">
      <c r="A64" s="425" t="s">
        <v>146</v>
      </c>
      <c r="B64" s="416">
        <v>-2.7727325</v>
      </c>
      <c r="C64" s="428"/>
      <c r="D64" s="418">
        <v>0.17</v>
      </c>
      <c r="E64" s="419">
        <v>3</v>
      </c>
      <c r="F64" s="419">
        <v>189</v>
      </c>
      <c r="G64" s="420">
        <v>1.34</v>
      </c>
      <c r="H64" s="421">
        <f t="shared" si="0"/>
        <v>-2.4800000000000004</v>
      </c>
      <c r="I64" s="892" t="s">
        <v>926</v>
      </c>
      <c r="J64" s="893"/>
      <c r="K64" s="893"/>
      <c r="L64" s="894"/>
      <c r="M64" s="424" t="s">
        <v>148</v>
      </c>
    </row>
    <row r="65" spans="1:13">
      <c r="A65" s="425" t="s">
        <v>149</v>
      </c>
      <c r="B65" s="416">
        <v>-4.0295043000000001</v>
      </c>
      <c r="C65" s="428"/>
      <c r="D65" s="418">
        <v>0.19794493160510701</v>
      </c>
      <c r="E65" s="419">
        <v>4</v>
      </c>
      <c r="F65" s="419">
        <v>243.5</v>
      </c>
      <c r="G65" s="420">
        <v>1.34</v>
      </c>
      <c r="H65" s="421">
        <f t="shared" si="0"/>
        <v>-3.0250000000000004</v>
      </c>
      <c r="I65" s="895"/>
      <c r="J65" s="896"/>
      <c r="K65" s="896"/>
      <c r="L65" s="897"/>
      <c r="M65" s="424" t="s">
        <v>151</v>
      </c>
    </row>
    <row r="66" spans="1:13">
      <c r="A66" s="415" t="s">
        <v>95</v>
      </c>
      <c r="B66" s="416">
        <v>-2.8726232</v>
      </c>
      <c r="C66" s="428"/>
      <c r="D66" s="418">
        <v>0.210560990742934</v>
      </c>
      <c r="E66" s="419">
        <v>3</v>
      </c>
      <c r="F66" s="419">
        <v>36.5</v>
      </c>
      <c r="G66" s="420">
        <v>2.74</v>
      </c>
      <c r="H66" s="421">
        <f t="shared" si="0"/>
        <v>-2.3550000000000004</v>
      </c>
      <c r="I66" s="895"/>
      <c r="J66" s="896"/>
      <c r="K66" s="896"/>
      <c r="L66" s="897"/>
      <c r="M66" s="424" t="s">
        <v>152</v>
      </c>
    </row>
    <row r="67" spans="1:13">
      <c r="A67" s="431" t="s">
        <v>153</v>
      </c>
      <c r="B67" s="416">
        <v>-4.0643459999999996</v>
      </c>
      <c r="C67" s="428"/>
      <c r="D67" s="418">
        <v>0.21092434073951899</v>
      </c>
      <c r="E67" s="419">
        <v>10</v>
      </c>
      <c r="F67" s="419">
        <v>186</v>
      </c>
      <c r="G67" s="420">
        <v>3.4</v>
      </c>
      <c r="H67" s="421">
        <f t="shared" si="0"/>
        <v>-4.51</v>
      </c>
      <c r="I67" s="895"/>
      <c r="J67" s="896"/>
      <c r="K67" s="896"/>
      <c r="L67" s="897"/>
      <c r="M67" s="424" t="s">
        <v>154</v>
      </c>
    </row>
    <row r="68" spans="1:13">
      <c r="A68" s="415" t="s">
        <v>98</v>
      </c>
      <c r="B68" s="416">
        <v>-3.4329782</v>
      </c>
      <c r="C68" s="428"/>
      <c r="D68" s="418">
        <v>0.18695478693957199</v>
      </c>
      <c r="E68" s="419">
        <v>3</v>
      </c>
      <c r="F68" s="419">
        <v>253</v>
      </c>
      <c r="G68" s="420">
        <v>2.35</v>
      </c>
      <c r="H68" s="421">
        <f t="shared" si="0"/>
        <v>-4.1300000000000008</v>
      </c>
      <c r="I68" s="895"/>
      <c r="J68" s="896"/>
      <c r="K68" s="896"/>
      <c r="L68" s="897"/>
      <c r="M68" s="424" t="s">
        <v>155</v>
      </c>
    </row>
    <row r="69" spans="1:13">
      <c r="A69" s="431" t="s">
        <v>156</v>
      </c>
      <c r="B69" s="416">
        <v>-4.1760809999999999</v>
      </c>
      <c r="C69" s="428"/>
      <c r="D69" s="418">
        <v>0.20491085989689101</v>
      </c>
      <c r="E69" s="419">
        <v>23</v>
      </c>
      <c r="F69" s="419">
        <v>111</v>
      </c>
      <c r="G69" s="420">
        <v>3.68</v>
      </c>
      <c r="H69" s="421">
        <f t="shared" si="0"/>
        <v>-4.04</v>
      </c>
      <c r="I69" s="895"/>
      <c r="J69" s="896"/>
      <c r="K69" s="896"/>
      <c r="L69" s="897"/>
      <c r="M69" s="424" t="s">
        <v>157</v>
      </c>
    </row>
    <row r="70" spans="1:13">
      <c r="A70" s="415" t="s">
        <v>158</v>
      </c>
      <c r="B70" s="416">
        <v>-3.2166657000000001</v>
      </c>
      <c r="C70" s="428"/>
      <c r="D70" s="418">
        <v>0.15545016183846899</v>
      </c>
      <c r="E70" s="419">
        <v>6</v>
      </c>
      <c r="F70" s="419">
        <v>250</v>
      </c>
      <c r="G70" s="420">
        <v>-0.04</v>
      </c>
      <c r="H70" s="421">
        <f t="shared" si="0"/>
        <v>-1.71</v>
      </c>
      <c r="I70" s="895"/>
      <c r="J70" s="896"/>
      <c r="K70" s="896"/>
      <c r="L70" s="897"/>
      <c r="M70" s="424" t="s">
        <v>159</v>
      </c>
    </row>
    <row r="71" spans="1:13">
      <c r="A71" s="425" t="s">
        <v>160</v>
      </c>
      <c r="B71" s="416">
        <v>-1.4899693000000001</v>
      </c>
      <c r="C71" s="428"/>
      <c r="D71" s="418">
        <v>0.13261436390895101</v>
      </c>
      <c r="E71" s="419">
        <v>3</v>
      </c>
      <c r="F71" s="419">
        <v>250</v>
      </c>
      <c r="G71" s="420">
        <v>-1.97</v>
      </c>
      <c r="H71" s="421">
        <f t="shared" si="0"/>
        <v>0.21999999999999975</v>
      </c>
      <c r="I71" s="895"/>
      <c r="J71" s="896"/>
      <c r="K71" s="896"/>
      <c r="L71" s="897"/>
      <c r="M71" s="424" t="s">
        <v>161</v>
      </c>
    </row>
    <row r="72" spans="1:13">
      <c r="A72" s="425" t="s">
        <v>162</v>
      </c>
      <c r="B72" s="416">
        <v>-3.0141132000000002</v>
      </c>
      <c r="C72" s="428"/>
      <c r="D72" s="418">
        <v>0.21159815676624999</v>
      </c>
      <c r="E72" s="419">
        <v>9</v>
      </c>
      <c r="F72" s="419">
        <v>208.5</v>
      </c>
      <c r="G72" s="420">
        <v>2.08</v>
      </c>
      <c r="H72" s="421">
        <f t="shared" si="0"/>
        <v>-3.415</v>
      </c>
      <c r="I72" s="895"/>
      <c r="J72" s="896"/>
      <c r="K72" s="896"/>
      <c r="L72" s="897"/>
      <c r="M72" s="424" t="s">
        <v>163</v>
      </c>
    </row>
    <row r="73" spans="1:13">
      <c r="A73" s="425" t="s">
        <v>164</v>
      </c>
      <c r="B73" s="416">
        <v>-4.1649289999999999</v>
      </c>
      <c r="C73" s="428"/>
      <c r="D73" s="418">
        <v>0.19001512437058701</v>
      </c>
      <c r="E73" s="419">
        <v>15</v>
      </c>
      <c r="F73" s="419">
        <v>220</v>
      </c>
      <c r="G73" s="420">
        <v>2.69</v>
      </c>
      <c r="H73" s="421">
        <f t="shared" si="0"/>
        <v>-4.1399999999999997</v>
      </c>
      <c r="I73" s="895"/>
      <c r="J73" s="896"/>
      <c r="K73" s="896"/>
      <c r="L73" s="897"/>
      <c r="M73" s="424" t="s">
        <v>165</v>
      </c>
    </row>
    <row r="74" spans="1:13">
      <c r="A74" s="425" t="s">
        <v>166</v>
      </c>
      <c r="B74" s="416">
        <v>-4.6047459999999996</v>
      </c>
      <c r="C74" s="428"/>
      <c r="D74" s="418">
        <v>0.169781830230266</v>
      </c>
      <c r="E74" s="419">
        <v>10</v>
      </c>
      <c r="F74" s="419">
        <v>151</v>
      </c>
      <c r="G74" s="420">
        <v>4.43</v>
      </c>
      <c r="H74" s="421">
        <f t="shared" si="0"/>
        <v>-5.1899999999999995</v>
      </c>
      <c r="I74" s="895"/>
      <c r="J74" s="896"/>
      <c r="K74" s="896"/>
      <c r="L74" s="897"/>
      <c r="M74" s="424" t="s">
        <v>167</v>
      </c>
    </row>
    <row r="75" spans="1:13">
      <c r="A75" s="431" t="s">
        <v>100</v>
      </c>
      <c r="B75" s="416">
        <v>-5.2749275999999998</v>
      </c>
      <c r="C75" s="428"/>
      <c r="D75" s="418">
        <v>0.19416214604145601</v>
      </c>
      <c r="E75" s="419">
        <v>7</v>
      </c>
      <c r="F75" s="419">
        <v>154.5</v>
      </c>
      <c r="G75" s="420">
        <v>4.22</v>
      </c>
      <c r="H75" s="421">
        <f t="shared" si="0"/>
        <v>-5.0149999999999997</v>
      </c>
      <c r="I75" s="895"/>
      <c r="J75" s="896"/>
      <c r="K75" s="896"/>
      <c r="L75" s="897"/>
      <c r="M75" s="424" t="s">
        <v>168</v>
      </c>
    </row>
    <row r="76" spans="1:13">
      <c r="A76" s="425" t="s">
        <v>169</v>
      </c>
      <c r="B76" s="416">
        <v>-2.4124446000000002</v>
      </c>
      <c r="C76" s="428"/>
      <c r="D76" s="418">
        <v>0.16048013551961601</v>
      </c>
      <c r="E76" s="419">
        <v>5</v>
      </c>
      <c r="F76" s="419">
        <v>167.75</v>
      </c>
      <c r="G76" s="420">
        <v>2.87</v>
      </c>
      <c r="H76" s="421">
        <f t="shared" si="0"/>
        <v>-3.7975000000000003</v>
      </c>
      <c r="I76" s="895"/>
      <c r="J76" s="896"/>
      <c r="K76" s="896"/>
      <c r="L76" s="897"/>
      <c r="M76" s="424" t="s">
        <v>170</v>
      </c>
    </row>
    <row r="77" spans="1:13">
      <c r="A77" s="435" t="s">
        <v>171</v>
      </c>
      <c r="B77" s="416">
        <v>-4.5710949999999997</v>
      </c>
      <c r="C77" s="436"/>
      <c r="D77" s="437">
        <v>0.22239504833634899</v>
      </c>
      <c r="E77" s="438">
        <v>21</v>
      </c>
      <c r="F77" s="419">
        <v>159</v>
      </c>
      <c r="G77" s="420">
        <v>3.93</v>
      </c>
      <c r="H77" s="421">
        <f t="shared" si="0"/>
        <v>-4.7700000000000005</v>
      </c>
      <c r="I77" s="895"/>
      <c r="J77" s="896"/>
      <c r="K77" s="896"/>
      <c r="L77" s="897"/>
      <c r="M77" s="424" t="s">
        <v>172</v>
      </c>
    </row>
    <row r="78" spans="1:13">
      <c r="A78" s="425" t="s">
        <v>173</v>
      </c>
      <c r="B78" s="416">
        <v>-3.5279001999999999</v>
      </c>
      <c r="C78" s="428"/>
      <c r="D78" s="418">
        <v>0.21209434799218399</v>
      </c>
      <c r="E78" s="419">
        <v>5</v>
      </c>
      <c r="F78" s="419">
        <v>213.5</v>
      </c>
      <c r="G78" s="420">
        <v>3.04</v>
      </c>
      <c r="H78" s="421">
        <f t="shared" si="0"/>
        <v>-4.4249999999999998</v>
      </c>
      <c r="I78" s="895"/>
      <c r="J78" s="896"/>
      <c r="K78" s="896"/>
      <c r="L78" s="897"/>
      <c r="M78" s="424" t="s">
        <v>174</v>
      </c>
    </row>
    <row r="79" spans="1:13">
      <c r="A79" s="425" t="s">
        <v>175</v>
      </c>
      <c r="B79" s="416">
        <v>-4.5564499999999999</v>
      </c>
      <c r="C79" s="428"/>
      <c r="D79" s="418">
        <v>0.14072241564069299</v>
      </c>
      <c r="E79" s="419">
        <v>11</v>
      </c>
      <c r="F79" s="419">
        <v>146</v>
      </c>
      <c r="G79" s="420">
        <v>4.21</v>
      </c>
      <c r="H79" s="421">
        <f t="shared" si="0"/>
        <v>-4.92</v>
      </c>
      <c r="I79" s="895"/>
      <c r="J79" s="896"/>
      <c r="K79" s="896"/>
      <c r="L79" s="897"/>
      <c r="M79" s="424" t="s">
        <v>176</v>
      </c>
    </row>
    <row r="80" spans="1:13">
      <c r="A80" s="425" t="s">
        <v>177</v>
      </c>
      <c r="B80" s="416">
        <v>-3.4235112999999999</v>
      </c>
      <c r="C80" s="428"/>
      <c r="D80" s="418">
        <v>0.21748916450754399</v>
      </c>
      <c r="E80" s="419">
        <v>5</v>
      </c>
      <c r="F80" s="419">
        <v>92.3333333333333</v>
      </c>
      <c r="G80" s="420">
        <v>4.21</v>
      </c>
      <c r="H80" s="421">
        <f t="shared" si="0"/>
        <v>-4.3833333333333329</v>
      </c>
      <c r="I80" s="895"/>
      <c r="J80" s="896"/>
      <c r="K80" s="896"/>
      <c r="L80" s="897"/>
      <c r="M80" s="424" t="s">
        <v>178</v>
      </c>
    </row>
    <row r="81" spans="1:13">
      <c r="A81" s="415" t="s">
        <v>179</v>
      </c>
      <c r="B81" s="416">
        <v>-3.7798674000000001</v>
      </c>
      <c r="C81" s="428"/>
      <c r="D81" s="418">
        <v>0.20531013145176399</v>
      </c>
      <c r="E81" s="419">
        <v>8</v>
      </c>
      <c r="F81" s="419">
        <v>256</v>
      </c>
      <c r="G81" s="420">
        <v>2.71</v>
      </c>
      <c r="H81" s="421">
        <f t="shared" si="0"/>
        <v>-4.5199999999999996</v>
      </c>
      <c r="I81" s="895"/>
      <c r="J81" s="896"/>
      <c r="K81" s="896"/>
      <c r="L81" s="897"/>
      <c r="M81" s="424" t="s">
        <v>180</v>
      </c>
    </row>
    <row r="82" spans="1:13">
      <c r="A82" s="415" t="s">
        <v>181</v>
      </c>
      <c r="B82" s="416">
        <v>-4.4600058000000002</v>
      </c>
      <c r="C82" s="428"/>
      <c r="D82" s="418">
        <v>0.211767851422238</v>
      </c>
      <c r="E82" s="419">
        <v>3</v>
      </c>
      <c r="F82" s="419">
        <v>80</v>
      </c>
      <c r="G82" s="420">
        <v>3.37</v>
      </c>
      <c r="H82" s="421">
        <f t="shared" si="0"/>
        <v>-3.42</v>
      </c>
      <c r="I82" s="895"/>
      <c r="J82" s="896"/>
      <c r="K82" s="896"/>
      <c r="L82" s="897"/>
      <c r="M82" s="424" t="s">
        <v>182</v>
      </c>
    </row>
    <row r="83" spans="1:13">
      <c r="A83" s="415" t="s">
        <v>183</v>
      </c>
      <c r="B83" s="416">
        <v>-3.7883632</v>
      </c>
      <c r="C83" s="428"/>
      <c r="D83" s="418">
        <v>0.16217657762412199</v>
      </c>
      <c r="E83" s="419">
        <v>17</v>
      </c>
      <c r="F83" s="419">
        <v>153</v>
      </c>
      <c r="G83" s="420">
        <v>3.04</v>
      </c>
      <c r="H83" s="421">
        <f t="shared" si="0"/>
        <v>-3.8200000000000003</v>
      </c>
      <c r="I83" s="895"/>
      <c r="J83" s="896"/>
      <c r="K83" s="896"/>
      <c r="L83" s="897"/>
      <c r="M83" s="424" t="s">
        <v>184</v>
      </c>
    </row>
    <row r="84" spans="1:13">
      <c r="A84" s="425" t="s">
        <v>185</v>
      </c>
      <c r="B84" s="416">
        <v>-4.7971570000000003</v>
      </c>
      <c r="C84" s="428"/>
      <c r="D84" s="418">
        <v>0.204488274966239</v>
      </c>
      <c r="E84" s="419">
        <v>3</v>
      </c>
      <c r="F84" s="419">
        <v>349.84</v>
      </c>
      <c r="G84" s="420">
        <v>4.75</v>
      </c>
      <c r="H84" s="421">
        <f t="shared" si="0"/>
        <v>-7.4984000000000002</v>
      </c>
      <c r="I84" s="895"/>
      <c r="J84" s="896"/>
      <c r="K84" s="896"/>
      <c r="L84" s="897"/>
      <c r="M84" s="424" t="s">
        <v>186</v>
      </c>
    </row>
    <row r="85" spans="1:13">
      <c r="A85" s="425" t="s">
        <v>187</v>
      </c>
      <c r="B85" s="416">
        <v>-3.8409255</v>
      </c>
      <c r="C85" s="428"/>
      <c r="D85" s="418">
        <v>0.14358294446577699</v>
      </c>
      <c r="E85" s="419">
        <v>6</v>
      </c>
      <c r="F85" s="419">
        <v>248</v>
      </c>
      <c r="G85" s="420">
        <v>2.65</v>
      </c>
      <c r="H85" s="421">
        <f t="shared" si="0"/>
        <v>-4.38</v>
      </c>
      <c r="I85" s="895"/>
      <c r="J85" s="896"/>
      <c r="K85" s="896"/>
      <c r="L85" s="897"/>
      <c r="M85" s="424" t="s">
        <v>188</v>
      </c>
    </row>
    <row r="86" spans="1:13">
      <c r="A86" s="425" t="s">
        <v>189</v>
      </c>
      <c r="B86" s="416">
        <v>-3.8988833000000001</v>
      </c>
      <c r="C86" s="428"/>
      <c r="D86" s="418">
        <v>0.153840969889913</v>
      </c>
      <c r="E86" s="419">
        <v>11</v>
      </c>
      <c r="F86" s="419">
        <v>173</v>
      </c>
      <c r="G86" s="420">
        <v>2.1800000000000002</v>
      </c>
      <c r="H86" s="421">
        <f t="shared" si="0"/>
        <v>-3.16</v>
      </c>
      <c r="I86" s="895"/>
      <c r="J86" s="896"/>
      <c r="K86" s="896"/>
      <c r="L86" s="897"/>
      <c r="M86" s="424" t="s">
        <v>190</v>
      </c>
    </row>
    <row r="87" spans="1:13">
      <c r="A87" s="425" t="s">
        <v>191</v>
      </c>
      <c r="B87" s="416">
        <v>-4.183357</v>
      </c>
      <c r="C87" s="428"/>
      <c r="D87" s="418">
        <v>0.14176528631434901</v>
      </c>
      <c r="E87" s="419">
        <v>5</v>
      </c>
      <c r="F87" s="419">
        <v>143.75</v>
      </c>
      <c r="G87" s="420">
        <v>2.76</v>
      </c>
      <c r="H87" s="421">
        <f t="shared" ref="H87:H122" si="1">0.5-G87-0.01*(F87-25)</f>
        <v>-3.4474999999999998</v>
      </c>
      <c r="I87" s="895"/>
      <c r="J87" s="896"/>
      <c r="K87" s="896"/>
      <c r="L87" s="897"/>
      <c r="M87" s="424" t="s">
        <v>192</v>
      </c>
    </row>
    <row r="88" spans="1:13">
      <c r="A88" s="425" t="s">
        <v>193</v>
      </c>
      <c r="B88" s="416">
        <v>-2.7005667999999998</v>
      </c>
      <c r="C88" s="428"/>
      <c r="D88" s="418">
        <v>0.16213928191469301</v>
      </c>
      <c r="E88" s="419">
        <v>19</v>
      </c>
      <c r="F88" s="419">
        <v>220.5</v>
      </c>
      <c r="G88" s="420">
        <v>1.27</v>
      </c>
      <c r="H88" s="421">
        <f t="shared" si="1"/>
        <v>-2.7250000000000001</v>
      </c>
      <c r="I88" s="895"/>
      <c r="J88" s="896"/>
      <c r="K88" s="896"/>
      <c r="L88" s="897"/>
      <c r="M88" s="424" t="s">
        <v>194</v>
      </c>
    </row>
    <row r="89" spans="1:13">
      <c r="A89" s="425" t="s">
        <v>195</v>
      </c>
      <c r="B89" s="416">
        <v>-4.0234079999999999</v>
      </c>
      <c r="C89" s="428"/>
      <c r="D89" s="418">
        <v>0.16127920198135701</v>
      </c>
      <c r="E89" s="419">
        <v>5</v>
      </c>
      <c r="F89" s="419">
        <v>214</v>
      </c>
      <c r="G89" s="420">
        <v>3.83</v>
      </c>
      <c r="H89" s="421">
        <f t="shared" si="1"/>
        <v>-5.2200000000000006</v>
      </c>
      <c r="I89" s="895"/>
      <c r="J89" s="896"/>
      <c r="K89" s="896"/>
      <c r="L89" s="897"/>
      <c r="M89" s="424" t="s">
        <v>196</v>
      </c>
    </row>
    <row r="90" spans="1:13">
      <c r="A90" s="431" t="s">
        <v>197</v>
      </c>
      <c r="B90" s="416">
        <v>-4.1126775999999996</v>
      </c>
      <c r="C90" s="428"/>
      <c r="D90" s="418">
        <v>0.13869006117838001</v>
      </c>
      <c r="E90" s="419">
        <v>3</v>
      </c>
      <c r="F90" s="419">
        <v>176</v>
      </c>
      <c r="G90" s="420">
        <v>2.88</v>
      </c>
      <c r="H90" s="421">
        <f t="shared" si="1"/>
        <v>-3.8899999999999997</v>
      </c>
      <c r="I90" s="895"/>
      <c r="J90" s="896"/>
      <c r="K90" s="896"/>
      <c r="L90" s="897"/>
      <c r="M90" s="424" t="s">
        <v>198</v>
      </c>
    </row>
    <row r="91" spans="1:13">
      <c r="A91" s="442" t="s">
        <v>199</v>
      </c>
      <c r="B91" s="416">
        <v>-2.9003773000000002</v>
      </c>
      <c r="C91" s="436"/>
      <c r="D91" s="437">
        <v>0.12598340861886001</v>
      </c>
      <c r="E91" s="438">
        <v>14</v>
      </c>
      <c r="F91" s="419">
        <v>253.5</v>
      </c>
      <c r="G91" s="420">
        <v>1.54</v>
      </c>
      <c r="H91" s="421">
        <f t="shared" si="1"/>
        <v>-3.3250000000000002</v>
      </c>
      <c r="I91" s="895"/>
      <c r="J91" s="896"/>
      <c r="K91" s="896"/>
      <c r="L91" s="897"/>
      <c r="M91" s="424" t="s">
        <v>200</v>
      </c>
    </row>
    <row r="92" spans="1:13">
      <c r="A92" s="425" t="s">
        <v>201</v>
      </c>
      <c r="B92" s="416">
        <v>-4.2225647000000004</v>
      </c>
      <c r="C92" s="428"/>
      <c r="D92" s="418">
        <v>0.16504944177542499</v>
      </c>
      <c r="E92" s="419">
        <v>5</v>
      </c>
      <c r="F92" s="419">
        <v>205.5</v>
      </c>
      <c r="G92" s="420">
        <v>2.4500000000000002</v>
      </c>
      <c r="H92" s="421">
        <f t="shared" si="1"/>
        <v>-3.7549999999999999</v>
      </c>
      <c r="I92" s="895"/>
      <c r="J92" s="896"/>
      <c r="K92" s="896"/>
      <c r="L92" s="897"/>
      <c r="M92" s="424" t="s">
        <v>202</v>
      </c>
    </row>
    <row r="93" spans="1:13">
      <c r="A93" s="431" t="s">
        <v>203</v>
      </c>
      <c r="B93" s="416">
        <v>-4.4801393000000003</v>
      </c>
      <c r="C93" s="428"/>
      <c r="D93" s="418">
        <v>0.19426266518058299</v>
      </c>
      <c r="E93" s="419">
        <v>3</v>
      </c>
      <c r="F93" s="419">
        <v>96</v>
      </c>
      <c r="G93" s="420">
        <v>3.49</v>
      </c>
      <c r="H93" s="421">
        <f t="shared" si="1"/>
        <v>-3.7</v>
      </c>
      <c r="I93" s="895"/>
      <c r="J93" s="896"/>
      <c r="K93" s="896"/>
      <c r="L93" s="897"/>
      <c r="M93" s="424" t="s">
        <v>204</v>
      </c>
    </row>
    <row r="94" spans="1:13">
      <c r="A94" s="425" t="s">
        <v>205</v>
      </c>
      <c r="B94" s="416">
        <v>-4.8597526999999996</v>
      </c>
      <c r="C94" s="428"/>
      <c r="D94" s="418">
        <v>0.188943371497371</v>
      </c>
      <c r="E94" s="419">
        <v>12</v>
      </c>
      <c r="F94" s="419">
        <v>147.25</v>
      </c>
      <c r="G94" s="420">
        <v>3.86</v>
      </c>
      <c r="H94" s="421">
        <f t="shared" si="1"/>
        <v>-4.5824999999999996</v>
      </c>
      <c r="I94" s="895"/>
      <c r="J94" s="896"/>
      <c r="K94" s="896"/>
      <c r="L94" s="897"/>
      <c r="M94" s="424" t="s">
        <v>206</v>
      </c>
    </row>
    <row r="95" spans="1:13">
      <c r="A95" s="425" t="s">
        <v>207</v>
      </c>
      <c r="B95" s="416">
        <v>-4.4877871999999996</v>
      </c>
      <c r="C95" s="428"/>
      <c r="D95" s="418">
        <v>0.17391407185160301</v>
      </c>
      <c r="E95" s="419">
        <v>6</v>
      </c>
      <c r="F95" s="419">
        <v>97</v>
      </c>
      <c r="G95" s="420">
        <v>3.94</v>
      </c>
      <c r="H95" s="421">
        <f t="shared" si="1"/>
        <v>-4.16</v>
      </c>
      <c r="I95" s="895"/>
      <c r="J95" s="896"/>
      <c r="K95" s="896"/>
      <c r="L95" s="897"/>
      <c r="M95" s="424" t="s">
        <v>208</v>
      </c>
    </row>
    <row r="96" spans="1:13">
      <c r="A96" s="415" t="s">
        <v>209</v>
      </c>
      <c r="B96" s="416">
        <v>-2.4078849999999998</v>
      </c>
      <c r="C96" s="428"/>
      <c r="D96" s="418">
        <v>0.13764369691033701</v>
      </c>
      <c r="E96" s="419">
        <v>10</v>
      </c>
      <c r="F96" s="419">
        <v>134.5</v>
      </c>
      <c r="G96" s="420">
        <v>2.04</v>
      </c>
      <c r="H96" s="421">
        <f t="shared" si="1"/>
        <v>-2.6349999999999998</v>
      </c>
      <c r="I96" s="895"/>
      <c r="J96" s="896"/>
      <c r="K96" s="896"/>
      <c r="L96" s="897"/>
      <c r="M96" s="424" t="s">
        <v>210</v>
      </c>
    </row>
    <row r="97" spans="1:13">
      <c r="A97" s="425" t="s">
        <v>211</v>
      </c>
      <c r="B97" s="416">
        <v>-2.9473802999999998</v>
      </c>
      <c r="C97" s="428"/>
      <c r="D97" s="418">
        <v>0.162457468885914</v>
      </c>
      <c r="E97" s="419">
        <v>7</v>
      </c>
      <c r="F97" s="419">
        <v>139</v>
      </c>
      <c r="G97" s="420">
        <v>2.66</v>
      </c>
      <c r="H97" s="421">
        <f t="shared" si="1"/>
        <v>-3.3000000000000003</v>
      </c>
      <c r="I97" s="895"/>
      <c r="J97" s="896"/>
      <c r="K97" s="896"/>
      <c r="L97" s="897"/>
      <c r="M97" s="424" t="s">
        <v>212</v>
      </c>
    </row>
    <row r="98" spans="1:13">
      <c r="A98" s="425" t="s">
        <v>213</v>
      </c>
      <c r="B98" s="416">
        <v>-1.6516716</v>
      </c>
      <c r="C98" s="428"/>
      <c r="D98" s="418">
        <v>0.15322122505052199</v>
      </c>
      <c r="E98" s="419">
        <v>9</v>
      </c>
      <c r="F98" s="419">
        <v>170</v>
      </c>
      <c r="G98" s="420">
        <v>1.91</v>
      </c>
      <c r="H98" s="421">
        <f t="shared" si="1"/>
        <v>-2.86</v>
      </c>
      <c r="I98" s="895"/>
      <c r="J98" s="896"/>
      <c r="K98" s="896"/>
      <c r="L98" s="897"/>
      <c r="M98" s="424" t="s">
        <v>214</v>
      </c>
    </row>
    <row r="99" spans="1:13">
      <c r="A99" s="415" t="s">
        <v>215</v>
      </c>
      <c r="B99" s="416">
        <v>-2.4244610999999998</v>
      </c>
      <c r="C99" s="428"/>
      <c r="D99" s="418">
        <v>0.15273607916541099</v>
      </c>
      <c r="E99" s="419">
        <v>10</v>
      </c>
      <c r="F99" s="419">
        <v>326</v>
      </c>
      <c r="G99" s="420">
        <v>2.44</v>
      </c>
      <c r="H99" s="421">
        <f t="shared" si="1"/>
        <v>-4.95</v>
      </c>
      <c r="I99" s="895"/>
      <c r="J99" s="896"/>
      <c r="K99" s="896"/>
      <c r="L99" s="897"/>
      <c r="M99" s="424" t="s">
        <v>216</v>
      </c>
    </row>
    <row r="100" spans="1:13">
      <c r="A100" s="425" t="s">
        <v>217</v>
      </c>
      <c r="B100" s="416">
        <v>-4.20627</v>
      </c>
      <c r="C100" s="428"/>
      <c r="D100" s="418">
        <v>0.184047015121024</v>
      </c>
      <c r="E100" s="419">
        <v>5</v>
      </c>
      <c r="F100" s="419">
        <v>232.5</v>
      </c>
      <c r="G100" s="420">
        <v>1.8</v>
      </c>
      <c r="H100" s="421">
        <f t="shared" si="1"/>
        <v>-3.375</v>
      </c>
      <c r="I100" s="895"/>
      <c r="J100" s="896"/>
      <c r="K100" s="896"/>
      <c r="L100" s="897"/>
      <c r="M100" s="424" t="s">
        <v>218</v>
      </c>
    </row>
    <row r="101" spans="1:13">
      <c r="A101" s="425" t="s">
        <v>219</v>
      </c>
      <c r="B101" s="416">
        <v>-2.5021032999999999</v>
      </c>
      <c r="C101" s="428"/>
      <c r="D101" s="418">
        <v>0.13604063752604401</v>
      </c>
      <c r="E101" s="419">
        <v>4</v>
      </c>
      <c r="F101" s="419">
        <v>281.5</v>
      </c>
      <c r="G101" s="420">
        <v>0.54</v>
      </c>
      <c r="H101" s="421">
        <f t="shared" si="1"/>
        <v>-2.605</v>
      </c>
      <c r="I101" s="895"/>
      <c r="J101" s="896"/>
      <c r="K101" s="896"/>
      <c r="L101" s="897"/>
      <c r="M101" s="424" t="s">
        <v>220</v>
      </c>
    </row>
    <row r="102" spans="1:13">
      <c r="A102" s="425" t="s">
        <v>221</v>
      </c>
      <c r="B102" s="416">
        <v>-2.5481384</v>
      </c>
      <c r="C102" s="428"/>
      <c r="D102" s="418">
        <v>0.19798964803022501</v>
      </c>
      <c r="E102" s="419">
        <v>4</v>
      </c>
      <c r="F102" s="419">
        <v>197.1</v>
      </c>
      <c r="G102" s="420">
        <v>2.2000000000000002</v>
      </c>
      <c r="H102" s="421">
        <f t="shared" si="1"/>
        <v>-3.4210000000000003</v>
      </c>
      <c r="I102" s="895"/>
      <c r="J102" s="896"/>
      <c r="K102" s="896"/>
      <c r="L102" s="897"/>
      <c r="M102" s="424" t="s">
        <v>222</v>
      </c>
    </row>
    <row r="103" spans="1:13">
      <c r="A103" s="431" t="s">
        <v>223</v>
      </c>
      <c r="B103" s="416">
        <v>-3.4287497999999998</v>
      </c>
      <c r="C103" s="428"/>
      <c r="D103" s="418">
        <v>0.13486720020739101</v>
      </c>
      <c r="E103" s="419">
        <v>4</v>
      </c>
      <c r="F103" s="419">
        <v>33</v>
      </c>
      <c r="G103" s="420">
        <v>4.24</v>
      </c>
      <c r="H103" s="421">
        <f t="shared" si="1"/>
        <v>-3.8200000000000003</v>
      </c>
      <c r="I103" s="895"/>
      <c r="J103" s="896"/>
      <c r="K103" s="896"/>
      <c r="L103" s="897"/>
      <c r="M103" s="424" t="s">
        <v>224</v>
      </c>
    </row>
    <row r="104" spans="1:13">
      <c r="A104" s="425" t="s">
        <v>225</v>
      </c>
      <c r="B104" s="416">
        <v>-3.4904497000000001</v>
      </c>
      <c r="C104" s="428"/>
      <c r="D104" s="418">
        <v>0.188012747606043</v>
      </c>
      <c r="E104" s="419">
        <v>11</v>
      </c>
      <c r="F104" s="419">
        <v>60</v>
      </c>
      <c r="G104" s="420">
        <v>4.24</v>
      </c>
      <c r="H104" s="421">
        <f t="shared" si="1"/>
        <v>-4.09</v>
      </c>
      <c r="I104" s="895"/>
      <c r="J104" s="896"/>
      <c r="K104" s="896"/>
      <c r="L104" s="897"/>
      <c r="M104" s="424" t="s">
        <v>226</v>
      </c>
    </row>
    <row r="105" spans="1:13">
      <c r="A105" s="425" t="s">
        <v>227</v>
      </c>
      <c r="B105" s="416">
        <v>-4.6101020000000004</v>
      </c>
      <c r="C105" s="428"/>
      <c r="D105" s="418">
        <v>0.16640140742242099</v>
      </c>
      <c r="E105" s="419">
        <v>4</v>
      </c>
      <c r="F105" s="419">
        <v>130.5</v>
      </c>
      <c r="G105" s="420">
        <v>5.22</v>
      </c>
      <c r="H105" s="421">
        <f t="shared" si="1"/>
        <v>-5.7749999999999995</v>
      </c>
      <c r="I105" s="895"/>
      <c r="J105" s="896"/>
      <c r="K105" s="896"/>
      <c r="L105" s="897"/>
      <c r="M105" s="424" t="s">
        <v>228</v>
      </c>
    </row>
    <row r="106" spans="1:13">
      <c r="A106" s="431" t="s">
        <v>103</v>
      </c>
      <c r="B106" s="416">
        <v>-3.4624552999999998</v>
      </c>
      <c r="C106" s="428"/>
      <c r="D106" s="418">
        <v>0.17506472136099999</v>
      </c>
      <c r="E106" s="419">
        <v>7</v>
      </c>
      <c r="F106" s="419">
        <v>254</v>
      </c>
      <c r="G106" s="420">
        <v>2.97</v>
      </c>
      <c r="H106" s="421">
        <f t="shared" si="1"/>
        <v>-4.76</v>
      </c>
      <c r="I106" s="895"/>
      <c r="J106" s="896"/>
      <c r="K106" s="896"/>
      <c r="L106" s="897"/>
      <c r="M106" s="424" t="s">
        <v>229</v>
      </c>
    </row>
    <row r="107" spans="1:13">
      <c r="A107" s="431" t="s">
        <v>230</v>
      </c>
      <c r="B107" s="416">
        <v>-5.1154719999999996</v>
      </c>
      <c r="C107" s="428"/>
      <c r="D107" s="418">
        <v>0.160541646006926</v>
      </c>
      <c r="E107" s="419">
        <v>5</v>
      </c>
      <c r="F107" s="419">
        <v>121</v>
      </c>
      <c r="G107" s="420">
        <v>5.91</v>
      </c>
      <c r="H107" s="421">
        <f t="shared" si="1"/>
        <v>-6.37</v>
      </c>
      <c r="I107" s="895"/>
      <c r="J107" s="896"/>
      <c r="K107" s="896"/>
      <c r="L107" s="897"/>
      <c r="M107" s="424" t="s">
        <v>231</v>
      </c>
    </row>
    <row r="108" spans="1:13">
      <c r="A108" s="425" t="s">
        <v>232</v>
      </c>
      <c r="B108" s="416">
        <v>-3.5320507999999999</v>
      </c>
      <c r="C108" s="428"/>
      <c r="D108" s="418">
        <v>0.15756984748208799</v>
      </c>
      <c r="E108" s="419">
        <v>5</v>
      </c>
      <c r="F108" s="419">
        <v>207</v>
      </c>
      <c r="G108" s="420">
        <v>2.56</v>
      </c>
      <c r="H108" s="421">
        <f t="shared" si="1"/>
        <v>-3.88</v>
      </c>
      <c r="I108" s="895"/>
      <c r="J108" s="896"/>
      <c r="K108" s="896"/>
      <c r="L108" s="897"/>
      <c r="M108" s="424" t="s">
        <v>233</v>
      </c>
    </row>
    <row r="109" spans="1:13">
      <c r="A109" s="415" t="s">
        <v>234</v>
      </c>
      <c r="B109" s="416">
        <v>-5.5826187000000003</v>
      </c>
      <c r="C109" s="428"/>
      <c r="D109" s="418">
        <v>0.161603623531796</v>
      </c>
      <c r="E109" s="419">
        <v>6</v>
      </c>
      <c r="F109" s="419">
        <v>134.5</v>
      </c>
      <c r="G109" s="420">
        <v>4.8499999999999996</v>
      </c>
      <c r="H109" s="421">
        <f t="shared" si="1"/>
        <v>-5.4449999999999994</v>
      </c>
      <c r="I109" s="895"/>
      <c r="J109" s="896"/>
      <c r="K109" s="896"/>
      <c r="L109" s="897"/>
      <c r="M109" s="424" t="s">
        <v>235</v>
      </c>
    </row>
    <row r="110" spans="1:13">
      <c r="A110" s="415" t="s">
        <v>236</v>
      </c>
      <c r="B110" s="416">
        <v>-2.6752316999999999</v>
      </c>
      <c r="C110" s="428"/>
      <c r="D110" s="418">
        <v>0.186857658276739</v>
      </c>
      <c r="E110" s="419">
        <v>6</v>
      </c>
      <c r="F110" s="419">
        <v>275</v>
      </c>
      <c r="G110" s="420">
        <v>2.09</v>
      </c>
      <c r="H110" s="421">
        <f t="shared" si="1"/>
        <v>-4.09</v>
      </c>
      <c r="I110" s="895"/>
      <c r="J110" s="896"/>
      <c r="K110" s="896"/>
      <c r="L110" s="897"/>
      <c r="M110" s="424" t="s">
        <v>237</v>
      </c>
    </row>
    <row r="111" spans="1:13">
      <c r="A111" s="425" t="s">
        <v>238</v>
      </c>
      <c r="B111" s="416">
        <v>-3.5361767</v>
      </c>
      <c r="C111" s="428"/>
      <c r="D111" s="418">
        <v>0.13950112944748699</v>
      </c>
      <c r="E111" s="419">
        <v>9</v>
      </c>
      <c r="F111" s="419">
        <v>220</v>
      </c>
      <c r="G111" s="420">
        <v>1.8</v>
      </c>
      <c r="H111" s="421">
        <f t="shared" si="1"/>
        <v>-3.25</v>
      </c>
      <c r="I111" s="895"/>
      <c r="J111" s="896"/>
      <c r="K111" s="896"/>
      <c r="L111" s="897"/>
      <c r="M111" s="424" t="s">
        <v>239</v>
      </c>
    </row>
    <row r="112" spans="1:13">
      <c r="A112" s="442" t="s">
        <v>240</v>
      </c>
      <c r="B112" s="416">
        <v>-2.7110538000000002</v>
      </c>
      <c r="C112" s="436"/>
      <c r="D112" s="437">
        <v>0.22014005046870999</v>
      </c>
      <c r="E112" s="438">
        <v>9</v>
      </c>
      <c r="F112" s="419">
        <v>202</v>
      </c>
      <c r="G112" s="420">
        <v>1.53</v>
      </c>
      <c r="H112" s="421">
        <f t="shared" si="1"/>
        <v>-2.8</v>
      </c>
      <c r="I112" s="895"/>
      <c r="J112" s="896"/>
      <c r="K112" s="896"/>
      <c r="L112" s="897"/>
      <c r="M112" s="424" t="s">
        <v>241</v>
      </c>
    </row>
    <row r="113" spans="1:28">
      <c r="A113" s="425" t="s">
        <v>242</v>
      </c>
      <c r="B113" s="416">
        <v>-2.4406338000000001</v>
      </c>
      <c r="C113" s="428"/>
      <c r="D113" s="418">
        <v>0.140140838794855</v>
      </c>
      <c r="E113" s="419">
        <v>3</v>
      </c>
      <c r="F113" s="419">
        <v>243</v>
      </c>
      <c r="G113" s="420">
        <v>1.48</v>
      </c>
      <c r="H113" s="421">
        <f t="shared" si="1"/>
        <v>-3.16</v>
      </c>
      <c r="I113" s="895"/>
      <c r="J113" s="896"/>
      <c r="K113" s="896"/>
      <c r="L113" s="897"/>
      <c r="M113" s="424" t="s">
        <v>243</v>
      </c>
    </row>
    <row r="114" spans="1:28">
      <c r="A114" s="431" t="s">
        <v>244</v>
      </c>
      <c r="B114" s="416">
        <v>-2.7043056000000001</v>
      </c>
      <c r="C114" s="428"/>
      <c r="D114" s="418">
        <v>0.13726989684758001</v>
      </c>
      <c r="E114" s="419">
        <v>3</v>
      </c>
      <c r="F114" s="419">
        <v>191</v>
      </c>
      <c r="G114" s="420">
        <v>1.67</v>
      </c>
      <c r="H114" s="421">
        <f t="shared" si="1"/>
        <v>-2.83</v>
      </c>
      <c r="I114" s="895"/>
      <c r="J114" s="896"/>
      <c r="K114" s="896"/>
      <c r="L114" s="897"/>
      <c r="M114" s="424" t="s">
        <v>245</v>
      </c>
    </row>
    <row r="115" spans="1:28">
      <c r="A115" s="425" t="s">
        <v>246</v>
      </c>
      <c r="B115" s="416">
        <v>-4.7447824000000001</v>
      </c>
      <c r="C115" s="428"/>
      <c r="D115" s="418">
        <v>0.21357402153711499</v>
      </c>
      <c r="E115" s="419">
        <v>7</v>
      </c>
      <c r="F115" s="419">
        <v>183.5</v>
      </c>
      <c r="G115" s="420">
        <v>4.37</v>
      </c>
      <c r="H115" s="421">
        <f t="shared" si="1"/>
        <v>-5.4550000000000001</v>
      </c>
      <c r="I115" s="895"/>
      <c r="J115" s="896"/>
      <c r="K115" s="896"/>
      <c r="L115" s="897"/>
      <c r="M115" s="424" t="s">
        <v>247</v>
      </c>
    </row>
    <row r="116" spans="1:28">
      <c r="A116" s="425" t="s">
        <v>248</v>
      </c>
      <c r="B116" s="416">
        <v>-2.0766534999999999</v>
      </c>
      <c r="C116" s="428"/>
      <c r="D116" s="418">
        <v>0.105644111777479</v>
      </c>
      <c r="E116" s="419">
        <v>3</v>
      </c>
      <c r="F116" s="419">
        <v>149</v>
      </c>
      <c r="G116" s="420">
        <v>2.62</v>
      </c>
      <c r="H116" s="421">
        <f t="shared" si="1"/>
        <v>-3.3600000000000003</v>
      </c>
      <c r="I116" s="895"/>
      <c r="J116" s="896"/>
      <c r="K116" s="896"/>
      <c r="L116" s="897"/>
      <c r="M116" s="424" t="s">
        <v>249</v>
      </c>
    </row>
    <row r="117" spans="1:28">
      <c r="A117" s="415" t="s">
        <v>250</v>
      </c>
      <c r="B117" s="416">
        <v>-2.9333477000000001</v>
      </c>
      <c r="C117" s="428"/>
      <c r="D117" s="418">
        <v>0.14623917640453399</v>
      </c>
      <c r="E117" s="419">
        <v>8</v>
      </c>
      <c r="F117" s="419">
        <v>165</v>
      </c>
      <c r="G117" s="420">
        <v>-0.37</v>
      </c>
      <c r="H117" s="421">
        <f t="shared" si="1"/>
        <v>-0.53000000000000014</v>
      </c>
      <c r="I117" s="895"/>
      <c r="J117" s="896"/>
      <c r="K117" s="896"/>
      <c r="L117" s="897"/>
      <c r="M117" s="424" t="s">
        <v>251</v>
      </c>
    </row>
    <row r="118" spans="1:28">
      <c r="A118" s="425" t="s">
        <v>252</v>
      </c>
      <c r="B118" s="416">
        <v>-2.235589</v>
      </c>
      <c r="C118" s="428"/>
      <c r="D118" s="418">
        <v>0.16291639539032499</v>
      </c>
      <c r="E118" s="419">
        <v>10</v>
      </c>
      <c r="F118" s="419">
        <v>225</v>
      </c>
      <c r="G118" s="420">
        <v>0.81</v>
      </c>
      <c r="H118" s="421">
        <f t="shared" si="1"/>
        <v>-2.31</v>
      </c>
      <c r="I118" s="895"/>
      <c r="J118" s="896"/>
      <c r="K118" s="896"/>
      <c r="L118" s="897"/>
      <c r="M118" s="424" t="s">
        <v>253</v>
      </c>
    </row>
    <row r="119" spans="1:28">
      <c r="A119" s="425" t="s">
        <v>254</v>
      </c>
      <c r="B119" s="416">
        <v>-3.0857915999999999</v>
      </c>
      <c r="C119" s="428"/>
      <c r="D119" s="418">
        <v>0.211666473574778</v>
      </c>
      <c r="E119" s="419">
        <v>5</v>
      </c>
      <c r="F119" s="419">
        <v>270</v>
      </c>
      <c r="G119" s="420">
        <v>0.62</v>
      </c>
      <c r="H119" s="421">
        <f t="shared" si="1"/>
        <v>-2.5700000000000003</v>
      </c>
      <c r="I119" s="895"/>
      <c r="J119" s="896"/>
      <c r="K119" s="896"/>
      <c r="L119" s="897"/>
      <c r="M119" s="424" t="s">
        <v>255</v>
      </c>
    </row>
    <row r="120" spans="1:28">
      <c r="A120" s="415" t="s">
        <v>256</v>
      </c>
      <c r="B120" s="416">
        <v>-3.4614449999999999</v>
      </c>
      <c r="C120" s="428"/>
      <c r="D120" s="418">
        <v>0.14175650298978701</v>
      </c>
      <c r="E120" s="419">
        <v>9</v>
      </c>
      <c r="F120" s="419">
        <v>312.66666666666703</v>
      </c>
      <c r="G120" s="420">
        <v>0.83</v>
      </c>
      <c r="H120" s="421">
        <f t="shared" si="1"/>
        <v>-3.2066666666666706</v>
      </c>
      <c r="I120" s="895"/>
      <c r="J120" s="896"/>
      <c r="K120" s="896"/>
      <c r="L120" s="897"/>
      <c r="M120" s="424" t="s">
        <v>257</v>
      </c>
    </row>
    <row r="121" spans="1:28">
      <c r="A121" s="425" t="s">
        <v>258</v>
      </c>
      <c r="B121" s="416">
        <v>-4.0341772999999996</v>
      </c>
      <c r="C121" s="428"/>
      <c r="D121" s="418">
        <v>0.20346886353462401</v>
      </c>
      <c r="E121" s="419">
        <v>11</v>
      </c>
      <c r="F121" s="419">
        <v>161</v>
      </c>
      <c r="G121" s="420">
        <v>3.61</v>
      </c>
      <c r="H121" s="421">
        <f t="shared" si="1"/>
        <v>-4.47</v>
      </c>
      <c r="I121" s="895"/>
      <c r="J121" s="896"/>
      <c r="K121" s="896"/>
      <c r="L121" s="897"/>
      <c r="M121" s="424" t="s">
        <v>259</v>
      </c>
    </row>
    <row r="122" spans="1:28">
      <c r="A122" s="415" t="s">
        <v>109</v>
      </c>
      <c r="B122" s="416">
        <v>-2.4276711999999998</v>
      </c>
      <c r="C122" s="428"/>
      <c r="D122" s="418">
        <v>0.20579636821699801</v>
      </c>
      <c r="E122" s="419">
        <v>3</v>
      </c>
      <c r="F122" s="419">
        <v>300</v>
      </c>
      <c r="G122" s="420">
        <v>-1.06</v>
      </c>
      <c r="H122" s="421">
        <f t="shared" si="1"/>
        <v>-1.19</v>
      </c>
      <c r="I122" s="898"/>
      <c r="J122" s="899"/>
      <c r="K122" s="899"/>
      <c r="L122" s="900"/>
      <c r="M122" s="424" t="s">
        <v>260</v>
      </c>
    </row>
    <row r="123" spans="1:28">
      <c r="A123" s="424"/>
      <c r="C123" s="453" t="s">
        <v>261</v>
      </c>
      <c r="D123" s="454">
        <f>AVERAGE(D23:D122)</f>
        <v>0.17115851538193169</v>
      </c>
      <c r="E123" s="455"/>
      <c r="F123" s="456"/>
      <c r="G123" s="456"/>
      <c r="H123" s="457" t="s">
        <v>262</v>
      </c>
      <c r="I123" s="456"/>
      <c r="J123" s="420"/>
      <c r="K123" s="420"/>
      <c r="L123" s="420"/>
      <c r="M123" s="424"/>
    </row>
    <row r="124" spans="1:28">
      <c r="A124" s="424"/>
      <c r="C124" s="453" t="s">
        <v>263</v>
      </c>
      <c r="D124" s="454">
        <f>MIN(D23:D122)</f>
        <v>0.105644111777479</v>
      </c>
      <c r="E124" s="455"/>
      <c r="F124" s="456"/>
      <c r="G124" s="456"/>
      <c r="H124" s="457" t="s">
        <v>264</v>
      </c>
      <c r="I124" s="456"/>
      <c r="J124" s="420"/>
      <c r="K124" s="420"/>
      <c r="L124" s="420"/>
      <c r="M124" s="424"/>
    </row>
    <row r="125" spans="1:28">
      <c r="A125" s="424"/>
      <c r="C125" s="453" t="s">
        <v>265</v>
      </c>
      <c r="D125" s="454">
        <f>MAX(D23:D122)</f>
        <v>0.22239504833634899</v>
      </c>
      <c r="E125" s="455"/>
      <c r="F125" s="456"/>
      <c r="G125" s="456"/>
      <c r="H125" s="457"/>
      <c r="I125" s="456"/>
      <c r="J125" s="420"/>
      <c r="K125" s="420"/>
      <c r="L125" s="420"/>
      <c r="M125" s="424"/>
    </row>
    <row r="126" spans="1:28" s="372" customFormat="1">
      <c r="A126" s="458"/>
      <c r="B126" s="420"/>
      <c r="C126" s="420"/>
      <c r="D126" s="459"/>
      <c r="E126" s="420"/>
      <c r="F126" s="420"/>
      <c r="G126" s="420"/>
      <c r="H126" s="420"/>
      <c r="I126" s="420"/>
      <c r="J126" s="420"/>
      <c r="K126" s="420"/>
      <c r="L126" s="420"/>
      <c r="M126" s="424"/>
      <c r="N126" s="369"/>
      <c r="O126" s="369"/>
      <c r="P126" s="369"/>
      <c r="Q126" s="369"/>
      <c r="R126" s="369"/>
      <c r="S126" s="369"/>
      <c r="T126" s="369"/>
      <c r="U126" s="369"/>
      <c r="V126" s="369"/>
      <c r="W126" s="369"/>
      <c r="X126" s="369"/>
      <c r="Y126" s="369"/>
      <c r="Z126" s="369"/>
      <c r="AA126" s="369"/>
      <c r="AB126" s="369"/>
    </row>
    <row r="127" spans="1:28" s="406" customFormat="1" ht="32.25" customHeight="1" thickBot="1">
      <c r="A127" s="403" t="s">
        <v>927</v>
      </c>
      <c r="B127" s="459"/>
      <c r="C127" s="459"/>
      <c r="D127" s="459"/>
      <c r="E127" s="459"/>
      <c r="F127" s="459"/>
      <c r="G127" s="459"/>
      <c r="H127" s="459"/>
      <c r="I127" s="459"/>
      <c r="J127" s="459"/>
      <c r="K127" s="459"/>
      <c r="L127" s="459"/>
      <c r="M127" s="424"/>
      <c r="N127" s="372"/>
      <c r="O127" s="372"/>
      <c r="P127" s="372"/>
      <c r="Q127" s="372"/>
      <c r="R127" s="372"/>
      <c r="S127" s="372"/>
      <c r="T127" s="372"/>
      <c r="U127" s="372"/>
      <c r="V127" s="372"/>
      <c r="W127" s="372"/>
      <c r="X127" s="372"/>
      <c r="Y127" s="372"/>
      <c r="Z127" s="372"/>
      <c r="AA127" s="372"/>
      <c r="AB127" s="372"/>
    </row>
    <row r="128" spans="1:28" ht="43.5" customHeight="1" thickBot="1">
      <c r="A128" s="407" t="s">
        <v>18</v>
      </c>
      <c r="B128" s="408" t="s">
        <v>928</v>
      </c>
      <c r="C128" s="408" t="s">
        <v>921</v>
      </c>
      <c r="D128" s="408" t="s">
        <v>21</v>
      </c>
      <c r="E128" s="408" t="s">
        <v>22</v>
      </c>
      <c r="F128" s="408" t="s">
        <v>23</v>
      </c>
      <c r="G128" s="408" t="s">
        <v>922</v>
      </c>
      <c r="H128" s="408" t="s">
        <v>923</v>
      </c>
      <c r="I128" s="410"/>
      <c r="J128" s="411" t="s">
        <v>27</v>
      </c>
      <c r="K128" s="411"/>
      <c r="L128" s="411"/>
      <c r="M128" s="412" t="s">
        <v>28</v>
      </c>
      <c r="N128" s="413"/>
      <c r="O128" s="413"/>
      <c r="P128" s="413"/>
      <c r="Q128" s="413"/>
      <c r="R128" s="413"/>
      <c r="S128" s="413"/>
      <c r="T128" s="413"/>
      <c r="U128" s="413"/>
      <c r="V128" s="414"/>
      <c r="W128" s="406"/>
      <c r="X128" s="406"/>
      <c r="Y128" s="406"/>
      <c r="Z128" s="406"/>
      <c r="AA128" s="406"/>
      <c r="AB128" s="406"/>
    </row>
    <row r="129" spans="1:13">
      <c r="A129" s="425" t="s">
        <v>268</v>
      </c>
      <c r="B129" s="460">
        <v>-1.6762657999999999</v>
      </c>
      <c r="C129" s="417" t="s">
        <v>30</v>
      </c>
      <c r="D129" s="418">
        <v>0.50033555401430196</v>
      </c>
      <c r="E129" s="419">
        <v>3</v>
      </c>
      <c r="F129" s="419">
        <v>180</v>
      </c>
      <c r="G129" s="461">
        <v>1.91</v>
      </c>
      <c r="H129" s="421">
        <f t="shared" ref="H129:H160" si="2">0.5-G129-0.01*(F129-25)</f>
        <v>-2.96</v>
      </c>
      <c r="I129" s="422" t="s">
        <v>31</v>
      </c>
      <c r="J129" s="423"/>
      <c r="K129" s="421"/>
      <c r="L129" s="421"/>
      <c r="M129" s="462" t="s">
        <v>269</v>
      </c>
    </row>
    <row r="130" spans="1:13">
      <c r="A130" s="425" t="s">
        <v>270</v>
      </c>
      <c r="B130" s="460">
        <v>-6.1702985999999997</v>
      </c>
      <c r="C130" s="417" t="s">
        <v>36</v>
      </c>
      <c r="D130" s="418">
        <v>0.5</v>
      </c>
      <c r="E130" s="420">
        <v>5</v>
      </c>
      <c r="F130" s="419">
        <v>156</v>
      </c>
      <c r="G130" s="461">
        <v>6.94</v>
      </c>
      <c r="H130" s="421">
        <f t="shared" si="2"/>
        <v>-7.75</v>
      </c>
      <c r="I130" s="422" t="s">
        <v>37</v>
      </c>
      <c r="J130" s="423"/>
      <c r="K130" s="421"/>
      <c r="L130" s="421"/>
      <c r="M130" s="462" t="s">
        <v>271</v>
      </c>
    </row>
    <row r="131" spans="1:13">
      <c r="A131" s="431" t="s">
        <v>272</v>
      </c>
      <c r="B131" s="460">
        <v>-3.8702454999999998</v>
      </c>
      <c r="C131" s="417" t="s">
        <v>41</v>
      </c>
      <c r="D131" s="418">
        <v>0.65309579002601004</v>
      </c>
      <c r="E131" s="419">
        <v>3</v>
      </c>
      <c r="F131" s="419">
        <v>208</v>
      </c>
      <c r="G131" s="461">
        <v>5.18</v>
      </c>
      <c r="H131" s="421">
        <f t="shared" si="2"/>
        <v>-6.51</v>
      </c>
      <c r="I131" s="422" t="s">
        <v>42</v>
      </c>
      <c r="J131" s="423"/>
      <c r="K131" s="421"/>
      <c r="L131" s="421"/>
      <c r="M131" s="462" t="s">
        <v>273</v>
      </c>
    </row>
    <row r="132" spans="1:13">
      <c r="A132" s="425" t="s">
        <v>274</v>
      </c>
      <c r="B132" s="460">
        <v>-1.6367555</v>
      </c>
      <c r="C132" s="417" t="s">
        <v>46</v>
      </c>
      <c r="D132" s="418">
        <v>0.59285217963150305</v>
      </c>
      <c r="E132" s="419">
        <v>3</v>
      </c>
      <c r="F132" s="419">
        <v>100</v>
      </c>
      <c r="G132" s="461">
        <v>2.37</v>
      </c>
      <c r="H132" s="421">
        <f t="shared" si="2"/>
        <v>-2.62</v>
      </c>
      <c r="I132" s="426" t="s">
        <v>47</v>
      </c>
      <c r="J132" s="427"/>
      <c r="K132" s="421"/>
      <c r="L132" s="421"/>
      <c r="M132" s="462" t="s">
        <v>275</v>
      </c>
    </row>
    <row r="133" spans="1:13">
      <c r="A133" s="425" t="s">
        <v>276</v>
      </c>
      <c r="B133" s="460">
        <v>-4.8974960000000003</v>
      </c>
      <c r="C133" s="417" t="s">
        <v>51</v>
      </c>
      <c r="D133" s="418">
        <v>0.51067901383936598</v>
      </c>
      <c r="E133" s="419">
        <v>5</v>
      </c>
      <c r="F133" s="419">
        <v>217</v>
      </c>
      <c r="G133" s="461">
        <v>3.19</v>
      </c>
      <c r="H133" s="421">
        <f t="shared" si="2"/>
        <v>-4.6099999999999994</v>
      </c>
      <c r="I133" s="426" t="s">
        <v>52</v>
      </c>
      <c r="J133" s="427"/>
      <c r="K133" s="421"/>
      <c r="L133" s="421"/>
      <c r="M133" s="462" t="s">
        <v>277</v>
      </c>
    </row>
    <row r="134" spans="1:13">
      <c r="A134" s="425" t="s">
        <v>278</v>
      </c>
      <c r="B134" s="460">
        <v>-4.6017729999999997</v>
      </c>
      <c r="C134" s="428"/>
      <c r="D134" s="418">
        <v>0.83065522865171404</v>
      </c>
      <c r="E134" s="419">
        <v>3</v>
      </c>
      <c r="F134" s="419">
        <v>209.5</v>
      </c>
      <c r="G134" s="461">
        <v>4.41</v>
      </c>
      <c r="H134" s="421">
        <f t="shared" si="2"/>
        <v>-5.7549999999999999</v>
      </c>
      <c r="I134" s="426" t="s">
        <v>56</v>
      </c>
      <c r="J134" s="427"/>
      <c r="K134" s="421"/>
      <c r="L134" s="421"/>
      <c r="M134" s="462" t="s">
        <v>279</v>
      </c>
    </row>
    <row r="135" spans="1:13">
      <c r="A135" s="425" t="s">
        <v>280</v>
      </c>
      <c r="B135" s="460">
        <v>-5.4180675000000003</v>
      </c>
      <c r="C135" s="428"/>
      <c r="D135" s="418">
        <v>0.51097181417141602</v>
      </c>
      <c r="E135" s="419">
        <v>6</v>
      </c>
      <c r="F135" s="419">
        <v>97.5</v>
      </c>
      <c r="G135" s="461">
        <v>5.19</v>
      </c>
      <c r="H135" s="421">
        <f t="shared" si="2"/>
        <v>-5.415</v>
      </c>
      <c r="I135" s="426" t="s">
        <v>60</v>
      </c>
      <c r="J135" s="429"/>
      <c r="K135" s="421"/>
      <c r="L135" s="421"/>
      <c r="M135" s="462" t="s">
        <v>281</v>
      </c>
    </row>
    <row r="136" spans="1:13" ht="28.25" customHeight="1">
      <c r="A136" s="415" t="s">
        <v>282</v>
      </c>
      <c r="B136" s="460">
        <v>-7.4428960000000002</v>
      </c>
      <c r="C136" s="428"/>
      <c r="D136" s="418">
        <v>0.92735432696895004</v>
      </c>
      <c r="E136" s="419">
        <v>5</v>
      </c>
      <c r="F136" s="419">
        <v>211</v>
      </c>
      <c r="G136" s="461">
        <v>7.49</v>
      </c>
      <c r="H136" s="421">
        <f t="shared" si="2"/>
        <v>-8.85</v>
      </c>
      <c r="I136" s="430" t="s">
        <v>64</v>
      </c>
      <c r="J136" s="889" t="s">
        <v>924</v>
      </c>
      <c r="K136" s="890"/>
      <c r="L136" s="891"/>
      <c r="M136" s="462" t="s">
        <v>283</v>
      </c>
    </row>
    <row r="137" spans="1:13">
      <c r="A137" s="425" t="s">
        <v>112</v>
      </c>
      <c r="B137" s="460">
        <v>-3.6382039000000002</v>
      </c>
      <c r="C137" s="428"/>
      <c r="D137" s="418">
        <v>0.68239272333923895</v>
      </c>
      <c r="E137" s="419">
        <v>3</v>
      </c>
      <c r="F137" s="419">
        <v>177</v>
      </c>
      <c r="G137" s="461">
        <v>3.37</v>
      </c>
      <c r="H137" s="421">
        <f t="shared" si="2"/>
        <v>-4.3900000000000006</v>
      </c>
      <c r="J137" s="421"/>
      <c r="K137" s="421"/>
      <c r="L137" s="421"/>
      <c r="M137" s="462" t="s">
        <v>284</v>
      </c>
    </row>
    <row r="138" spans="1:13">
      <c r="A138" s="425" t="s">
        <v>285</v>
      </c>
      <c r="B138" s="460">
        <v>-4.1491769999999999</v>
      </c>
      <c r="C138" s="428"/>
      <c r="D138" s="418">
        <v>0.520951861602862</v>
      </c>
      <c r="E138" s="419">
        <v>10</v>
      </c>
      <c r="F138" s="419">
        <v>228.6</v>
      </c>
      <c r="G138" s="461">
        <v>4.22</v>
      </c>
      <c r="H138" s="421">
        <f t="shared" si="2"/>
        <v>-5.7560000000000002</v>
      </c>
      <c r="I138" s="432" t="s">
        <v>286</v>
      </c>
      <c r="J138" s="433"/>
      <c r="K138" s="433"/>
      <c r="L138" s="434"/>
      <c r="M138" s="462" t="s">
        <v>287</v>
      </c>
    </row>
    <row r="139" spans="1:13">
      <c r="A139" s="415" t="s">
        <v>288</v>
      </c>
      <c r="B139" s="460">
        <v>-1.7828325</v>
      </c>
      <c r="C139" s="428"/>
      <c r="D139" s="418">
        <v>0.53906642829149898</v>
      </c>
      <c r="E139" s="419">
        <v>3</v>
      </c>
      <c r="F139" s="419">
        <v>161.5</v>
      </c>
      <c r="G139" s="461">
        <v>-0.21</v>
      </c>
      <c r="H139" s="421">
        <f t="shared" si="2"/>
        <v>-0.65500000000000003</v>
      </c>
      <c r="I139" s="880" t="s">
        <v>925</v>
      </c>
      <c r="J139" s="881"/>
      <c r="K139" s="881"/>
      <c r="L139" s="882"/>
      <c r="M139" s="462" t="s">
        <v>289</v>
      </c>
    </row>
    <row r="140" spans="1:13">
      <c r="A140" s="415" t="s">
        <v>290</v>
      </c>
      <c r="B140" s="460">
        <v>-3.8530639999999998</v>
      </c>
      <c r="C140" s="428"/>
      <c r="D140" s="418">
        <v>0.56233984781338697</v>
      </c>
      <c r="E140" s="419">
        <v>11</v>
      </c>
      <c r="F140" s="419">
        <v>213.5</v>
      </c>
      <c r="G140" s="461">
        <v>3.04</v>
      </c>
      <c r="H140" s="421">
        <f t="shared" si="2"/>
        <v>-4.4249999999999998</v>
      </c>
      <c r="I140" s="883"/>
      <c r="J140" s="884"/>
      <c r="K140" s="884"/>
      <c r="L140" s="885"/>
      <c r="M140" s="462" t="s">
        <v>291</v>
      </c>
    </row>
    <row r="141" spans="1:13">
      <c r="A141" s="431" t="s">
        <v>292</v>
      </c>
      <c r="B141" s="460">
        <v>-2.7379929999999999</v>
      </c>
      <c r="C141" s="428"/>
      <c r="D141" s="418">
        <v>0.54710381306524802</v>
      </c>
      <c r="E141" s="419">
        <v>4</v>
      </c>
      <c r="F141" s="419">
        <v>168.5</v>
      </c>
      <c r="G141" s="461">
        <v>3.35</v>
      </c>
      <c r="H141" s="421">
        <f t="shared" si="2"/>
        <v>-4.2850000000000001</v>
      </c>
      <c r="I141" s="883"/>
      <c r="J141" s="884"/>
      <c r="K141" s="884"/>
      <c r="L141" s="885"/>
      <c r="M141" s="462" t="s">
        <v>293</v>
      </c>
    </row>
    <row r="142" spans="1:13">
      <c r="A142" s="415" t="s">
        <v>114</v>
      </c>
      <c r="B142" s="460">
        <v>-2.4973592999999998</v>
      </c>
      <c r="C142" s="428"/>
      <c r="D142" s="418">
        <v>0.54612637818466903</v>
      </c>
      <c r="E142" s="419">
        <v>3</v>
      </c>
      <c r="F142" s="439">
        <v>124.1</v>
      </c>
      <c r="G142" s="461">
        <v>2.81</v>
      </c>
      <c r="H142" s="421">
        <f t="shared" si="2"/>
        <v>-3.3010000000000002</v>
      </c>
      <c r="I142" s="883"/>
      <c r="J142" s="884"/>
      <c r="K142" s="884"/>
      <c r="L142" s="885"/>
      <c r="M142" s="462" t="s">
        <v>294</v>
      </c>
    </row>
    <row r="143" spans="1:13">
      <c r="A143" s="415" t="s">
        <v>295</v>
      </c>
      <c r="B143" s="460">
        <v>-4.821726</v>
      </c>
      <c r="C143" s="428"/>
      <c r="D143" s="418">
        <v>0.51160213896594597</v>
      </c>
      <c r="E143" s="419">
        <v>4</v>
      </c>
      <c r="F143" s="419">
        <v>165</v>
      </c>
      <c r="G143" s="461">
        <v>4.8899999999999997</v>
      </c>
      <c r="H143" s="421">
        <f t="shared" si="2"/>
        <v>-5.79</v>
      </c>
      <c r="I143" s="877"/>
      <c r="J143" s="878"/>
      <c r="K143" s="878"/>
      <c r="L143" s="879"/>
      <c r="M143" s="462" t="s">
        <v>296</v>
      </c>
    </row>
    <row r="144" spans="1:13">
      <c r="A144" s="415" t="s">
        <v>117</v>
      </c>
      <c r="B144" s="460">
        <v>-5.1597346999999996</v>
      </c>
      <c r="C144" s="428"/>
      <c r="D144" s="418">
        <v>0.65141515533308303</v>
      </c>
      <c r="E144" s="419">
        <v>4</v>
      </c>
      <c r="F144" s="419">
        <v>161.1</v>
      </c>
      <c r="G144" s="461">
        <v>4.76</v>
      </c>
      <c r="H144" s="421">
        <f t="shared" si="2"/>
        <v>-5.6209999999999996</v>
      </c>
      <c r="I144" s="877"/>
      <c r="J144" s="878"/>
      <c r="K144" s="878"/>
      <c r="L144" s="879"/>
      <c r="M144" s="462" t="s">
        <v>297</v>
      </c>
    </row>
    <row r="145" spans="1:28">
      <c r="A145" s="431" t="s">
        <v>298</v>
      </c>
      <c r="B145" s="460">
        <v>-3.1740824999999999</v>
      </c>
      <c r="C145" s="428"/>
      <c r="D145" s="418">
        <v>0.65883215509381898</v>
      </c>
      <c r="E145" s="419">
        <v>3</v>
      </c>
      <c r="F145" s="419">
        <v>155</v>
      </c>
      <c r="G145" s="461">
        <v>3.74</v>
      </c>
      <c r="H145" s="421">
        <f t="shared" si="2"/>
        <v>-4.54</v>
      </c>
      <c r="I145" s="877"/>
      <c r="J145" s="878"/>
      <c r="K145" s="878"/>
      <c r="L145" s="879"/>
      <c r="M145" s="462" t="s">
        <v>299</v>
      </c>
    </row>
    <row r="146" spans="1:28">
      <c r="A146" s="425" t="s">
        <v>300</v>
      </c>
      <c r="B146" s="460">
        <v>-7.6401440000000003</v>
      </c>
      <c r="C146" s="428"/>
      <c r="D146" s="418">
        <v>0.61400477095750305</v>
      </c>
      <c r="E146" s="419">
        <v>3</v>
      </c>
      <c r="F146" s="419">
        <v>165.4</v>
      </c>
      <c r="G146" s="461">
        <v>5.58</v>
      </c>
      <c r="H146" s="421">
        <f t="shared" si="2"/>
        <v>-6.484</v>
      </c>
      <c r="I146" s="441"/>
      <c r="J146" s="444"/>
      <c r="K146" s="444"/>
      <c r="L146" s="445"/>
      <c r="M146" s="462" t="s">
        <v>301</v>
      </c>
    </row>
    <row r="147" spans="1:28">
      <c r="A147" s="425" t="s">
        <v>302</v>
      </c>
      <c r="B147" s="460">
        <v>-6.0472602999999996</v>
      </c>
      <c r="C147" s="428"/>
      <c r="D147" s="418">
        <v>0.50406532001413296</v>
      </c>
      <c r="E147" s="419">
        <v>6</v>
      </c>
      <c r="F147" s="419">
        <v>161</v>
      </c>
      <c r="G147" s="461">
        <v>6.45</v>
      </c>
      <c r="H147" s="421">
        <f t="shared" si="2"/>
        <v>-7.3100000000000005</v>
      </c>
      <c r="I147" s="389"/>
      <c r="J147" s="446"/>
      <c r="K147" s="446"/>
      <c r="L147" s="447"/>
      <c r="M147" s="462" t="s">
        <v>303</v>
      </c>
    </row>
    <row r="148" spans="1:28">
      <c r="A148" s="425" t="s">
        <v>304</v>
      </c>
      <c r="B148" s="460">
        <v>-5.5817614000000004</v>
      </c>
      <c r="C148" s="428"/>
      <c r="D148" s="418">
        <v>0.75493366325441702</v>
      </c>
      <c r="E148" s="419">
        <v>4</v>
      </c>
      <c r="F148" s="419">
        <v>193.5</v>
      </c>
      <c r="G148" s="461">
        <v>5.41</v>
      </c>
      <c r="H148" s="421">
        <f t="shared" si="2"/>
        <v>-6.5950000000000006</v>
      </c>
      <c r="J148" s="421"/>
      <c r="K148" s="421"/>
      <c r="L148" s="421"/>
      <c r="M148" s="462" t="s">
        <v>305</v>
      </c>
    </row>
    <row r="149" spans="1:28">
      <c r="A149" s="425" t="s">
        <v>306</v>
      </c>
      <c r="B149" s="460">
        <v>-3.7721931999999998</v>
      </c>
      <c r="C149" s="428"/>
      <c r="D149" s="418">
        <v>0.500893580585972</v>
      </c>
      <c r="E149" s="419">
        <v>3</v>
      </c>
      <c r="F149" s="419">
        <v>156</v>
      </c>
      <c r="G149" s="461">
        <v>2.9</v>
      </c>
      <c r="H149" s="421">
        <f t="shared" si="2"/>
        <v>-3.71</v>
      </c>
      <c r="I149" s="448" t="s">
        <v>133</v>
      </c>
      <c r="J149" s="449">
        <v>8000</v>
      </c>
      <c r="K149" s="450"/>
      <c r="L149" s="421"/>
      <c r="M149" s="462" t="s">
        <v>307</v>
      </c>
    </row>
    <row r="150" spans="1:28">
      <c r="A150" s="431" t="s">
        <v>308</v>
      </c>
      <c r="B150" s="460">
        <v>-4.4024489999999998</v>
      </c>
      <c r="C150" s="428"/>
      <c r="D150" s="418">
        <v>0.65879843298663399</v>
      </c>
      <c r="E150" s="419">
        <v>4</v>
      </c>
      <c r="F150" s="419">
        <v>183.5</v>
      </c>
      <c r="G150" s="461">
        <v>3.16</v>
      </c>
      <c r="H150" s="421">
        <f t="shared" si="2"/>
        <v>-4.2450000000000001</v>
      </c>
      <c r="I150" s="448" t="s">
        <v>136</v>
      </c>
      <c r="J150" s="449">
        <v>1961</v>
      </c>
      <c r="K150" s="450"/>
      <c r="L150" s="421"/>
      <c r="M150" s="462" t="s">
        <v>309</v>
      </c>
    </row>
    <row r="151" spans="1:28">
      <c r="A151" s="431" t="s">
        <v>310</v>
      </c>
      <c r="B151" s="460">
        <v>-1.5494964</v>
      </c>
      <c r="C151" s="428"/>
      <c r="D151" s="418">
        <v>0.59871706042825701</v>
      </c>
      <c r="E151" s="419">
        <v>3</v>
      </c>
      <c r="F151" s="419">
        <v>61</v>
      </c>
      <c r="G151" s="461">
        <v>1.77</v>
      </c>
      <c r="H151" s="421">
        <f t="shared" si="2"/>
        <v>-1.63</v>
      </c>
      <c r="I151" s="448" t="s">
        <v>139</v>
      </c>
      <c r="J151" s="451">
        <f>COUNTA(A129:A160)</f>
        <v>32</v>
      </c>
      <c r="K151" s="450"/>
      <c r="L151" s="421"/>
      <c r="M151" s="462" t="s">
        <v>311</v>
      </c>
    </row>
    <row r="152" spans="1:28">
      <c r="A152" s="425" t="s">
        <v>312</v>
      </c>
      <c r="B152" s="460">
        <v>-2.9003320000000001</v>
      </c>
      <c r="C152" s="428"/>
      <c r="D152" s="418">
        <v>0.57115657899345496</v>
      </c>
      <c r="E152" s="419">
        <v>7</v>
      </c>
      <c r="F152" s="419">
        <v>177</v>
      </c>
      <c r="G152" s="461">
        <v>3.17</v>
      </c>
      <c r="H152" s="421">
        <f t="shared" si="2"/>
        <v>-4.1899999999999995</v>
      </c>
      <c r="I152" s="421"/>
      <c r="J152" s="421"/>
      <c r="K152" s="421"/>
      <c r="L152" s="421"/>
      <c r="M152" s="462" t="s">
        <v>313</v>
      </c>
    </row>
    <row r="153" spans="1:28">
      <c r="A153" s="415" t="s">
        <v>314</v>
      </c>
      <c r="B153" s="460">
        <v>-5.9307860000000003</v>
      </c>
      <c r="C153" s="428"/>
      <c r="D153" s="418">
        <v>0.55807775121880299</v>
      </c>
      <c r="E153" s="419">
        <v>6</v>
      </c>
      <c r="F153" s="419">
        <v>145</v>
      </c>
      <c r="G153" s="461">
        <v>6.08</v>
      </c>
      <c r="H153" s="421">
        <f t="shared" si="2"/>
        <v>-6.78</v>
      </c>
      <c r="I153" s="452" t="s">
        <v>144</v>
      </c>
      <c r="J153" s="433"/>
      <c r="K153" s="433"/>
      <c r="L153" s="434"/>
      <c r="M153" s="462" t="s">
        <v>315</v>
      </c>
    </row>
    <row r="154" spans="1:28">
      <c r="A154" s="415" t="s">
        <v>316</v>
      </c>
      <c r="B154" s="460">
        <v>-4.507307</v>
      </c>
      <c r="C154" s="428"/>
      <c r="D154" s="418">
        <v>0.66417698790166102</v>
      </c>
      <c r="E154" s="419">
        <v>3</v>
      </c>
      <c r="F154" s="439">
        <v>175.8</v>
      </c>
      <c r="G154" s="461">
        <v>4.62</v>
      </c>
      <c r="H154" s="421">
        <f t="shared" si="2"/>
        <v>-5.6280000000000001</v>
      </c>
      <c r="I154" s="880" t="s">
        <v>926</v>
      </c>
      <c r="J154" s="881"/>
      <c r="K154" s="881"/>
      <c r="L154" s="882"/>
      <c r="M154" s="462" t="s">
        <v>317</v>
      </c>
    </row>
    <row r="155" spans="1:28">
      <c r="A155" s="425" t="s">
        <v>318</v>
      </c>
      <c r="B155" s="460">
        <v>-5.1006555999999996</v>
      </c>
      <c r="C155" s="428"/>
      <c r="D155" s="418">
        <v>0.57716593661781801</v>
      </c>
      <c r="E155" s="419">
        <v>3</v>
      </c>
      <c r="F155" s="419">
        <v>349.84</v>
      </c>
      <c r="G155" s="461">
        <v>3.09</v>
      </c>
      <c r="H155" s="421">
        <f t="shared" si="2"/>
        <v>-5.8384</v>
      </c>
      <c r="I155" s="883"/>
      <c r="J155" s="884"/>
      <c r="K155" s="884"/>
      <c r="L155" s="885"/>
      <c r="M155" s="462" t="s">
        <v>319</v>
      </c>
    </row>
    <row r="156" spans="1:28">
      <c r="A156" s="431" t="s">
        <v>320</v>
      </c>
      <c r="B156" s="460">
        <v>-3.1197197000000001</v>
      </c>
      <c r="C156" s="428"/>
      <c r="D156" s="418">
        <v>0.70324590282883903</v>
      </c>
      <c r="E156" s="419">
        <v>3</v>
      </c>
      <c r="F156" s="419">
        <v>204</v>
      </c>
      <c r="G156" s="461">
        <v>0.88</v>
      </c>
      <c r="H156" s="421">
        <f t="shared" si="2"/>
        <v>-2.17</v>
      </c>
      <c r="I156" s="883"/>
      <c r="J156" s="884"/>
      <c r="K156" s="884"/>
      <c r="L156" s="885"/>
      <c r="M156" s="462" t="s">
        <v>321</v>
      </c>
    </row>
    <row r="157" spans="1:28">
      <c r="A157" s="425" t="s">
        <v>322</v>
      </c>
      <c r="B157" s="460">
        <v>-5.6245637000000004</v>
      </c>
      <c r="C157" s="428"/>
      <c r="D157" s="418">
        <v>0.72379035887947596</v>
      </c>
      <c r="E157" s="419">
        <v>7</v>
      </c>
      <c r="F157" s="419">
        <v>97.8</v>
      </c>
      <c r="G157" s="461">
        <v>6</v>
      </c>
      <c r="H157" s="421">
        <f t="shared" si="2"/>
        <v>-6.2279999999999998</v>
      </c>
      <c r="I157" s="883"/>
      <c r="J157" s="884"/>
      <c r="K157" s="884"/>
      <c r="L157" s="885"/>
      <c r="M157" s="462" t="s">
        <v>323</v>
      </c>
    </row>
    <row r="158" spans="1:28">
      <c r="A158" s="425" t="s">
        <v>324</v>
      </c>
      <c r="B158" s="460">
        <v>-6.468521</v>
      </c>
      <c r="C158" s="428"/>
      <c r="D158" s="418">
        <v>0.84033450922624497</v>
      </c>
      <c r="E158" s="419">
        <v>5</v>
      </c>
      <c r="F158" s="419">
        <v>262</v>
      </c>
      <c r="G158" s="461">
        <v>7.26</v>
      </c>
      <c r="H158" s="421">
        <f t="shared" si="2"/>
        <v>-9.129999999999999</v>
      </c>
      <c r="I158" s="883"/>
      <c r="J158" s="884"/>
      <c r="K158" s="884"/>
      <c r="L158" s="885"/>
      <c r="M158" s="462" t="s">
        <v>325</v>
      </c>
    </row>
    <row r="159" spans="1:28">
      <c r="A159" s="425" t="s">
        <v>326</v>
      </c>
      <c r="B159" s="460">
        <v>-5.3529179999999998</v>
      </c>
      <c r="C159" s="428"/>
      <c r="D159" s="418">
        <v>0.70969645885144095</v>
      </c>
      <c r="E159" s="419">
        <v>11</v>
      </c>
      <c r="F159" s="419">
        <v>149.6</v>
      </c>
      <c r="G159" s="461">
        <v>6.45</v>
      </c>
      <c r="H159" s="421">
        <f t="shared" si="2"/>
        <v>-7.1959999999999997</v>
      </c>
      <c r="I159" s="883"/>
      <c r="J159" s="884"/>
      <c r="K159" s="884"/>
      <c r="L159" s="885"/>
      <c r="M159" s="462" t="s">
        <v>327</v>
      </c>
    </row>
    <row r="160" spans="1:28" s="463" customFormat="1">
      <c r="A160" s="415" t="s">
        <v>328</v>
      </c>
      <c r="B160" s="460">
        <v>-3.0738832999999999</v>
      </c>
      <c r="C160" s="428"/>
      <c r="D160" s="418">
        <v>0.49644864464459898</v>
      </c>
      <c r="E160" s="419">
        <v>4</v>
      </c>
      <c r="F160" s="419">
        <v>304.5</v>
      </c>
      <c r="G160" s="461">
        <v>2.69</v>
      </c>
      <c r="H160" s="421">
        <f t="shared" si="2"/>
        <v>-4.9849999999999994</v>
      </c>
      <c r="I160" s="886"/>
      <c r="J160" s="887"/>
      <c r="K160" s="887"/>
      <c r="L160" s="888"/>
      <c r="M160" s="462" t="s">
        <v>329</v>
      </c>
      <c r="N160" s="369"/>
      <c r="O160" s="369"/>
      <c r="P160" s="369"/>
      <c r="Q160" s="369"/>
      <c r="R160" s="369"/>
      <c r="S160" s="369"/>
      <c r="T160" s="369"/>
      <c r="U160" s="369"/>
      <c r="V160" s="369"/>
      <c r="W160" s="369"/>
      <c r="X160" s="369"/>
      <c r="Y160" s="369"/>
      <c r="Z160" s="369"/>
      <c r="AA160" s="369"/>
      <c r="AB160" s="369"/>
    </row>
    <row r="161" spans="1:28">
      <c r="A161" s="463"/>
      <c r="B161" s="463"/>
      <c r="C161" s="453" t="s">
        <v>261</v>
      </c>
      <c r="D161" s="454">
        <f>AVERAGE(D129:D160)</f>
        <v>0.61629001144944584</v>
      </c>
      <c r="E161" s="463"/>
      <c r="F161" s="463"/>
      <c r="G161" s="463"/>
      <c r="H161" s="457" t="s">
        <v>262</v>
      </c>
      <c r="I161" s="464"/>
      <c r="J161" s="464"/>
      <c r="K161" s="464"/>
      <c r="L161" s="464"/>
      <c r="M161" s="402"/>
      <c r="N161" s="463"/>
      <c r="O161" s="463"/>
      <c r="P161" s="463"/>
      <c r="Q161" s="463"/>
      <c r="R161" s="463"/>
      <c r="S161" s="463"/>
      <c r="T161" s="463"/>
      <c r="U161" s="463"/>
      <c r="V161" s="463"/>
      <c r="W161" s="463"/>
      <c r="X161" s="463"/>
      <c r="Y161" s="463"/>
      <c r="Z161" s="463"/>
      <c r="AA161" s="463"/>
      <c r="AB161" s="463"/>
    </row>
    <row r="162" spans="1:28">
      <c r="A162" s="424"/>
      <c r="C162" s="453" t="s">
        <v>263</v>
      </c>
      <c r="D162" s="454">
        <f>MIN(D129:D160)</f>
        <v>0.49644864464459898</v>
      </c>
      <c r="E162" s="455"/>
      <c r="F162" s="456"/>
      <c r="G162" s="456"/>
      <c r="H162" s="457" t="s">
        <v>330</v>
      </c>
      <c r="I162" s="456"/>
      <c r="J162" s="420"/>
      <c r="K162" s="420"/>
      <c r="L162" s="420"/>
      <c r="M162" s="424"/>
    </row>
    <row r="163" spans="1:28">
      <c r="A163" s="424"/>
      <c r="C163" s="453" t="s">
        <v>265</v>
      </c>
      <c r="D163" s="454">
        <f>MAX(D129:D160)</f>
        <v>0.92735432696895004</v>
      </c>
      <c r="E163" s="455"/>
      <c r="F163" s="456"/>
      <c r="G163" s="456"/>
      <c r="H163" s="457"/>
      <c r="I163" s="456"/>
      <c r="J163" s="420"/>
      <c r="K163" s="420"/>
      <c r="L163" s="420"/>
      <c r="M163" s="424"/>
    </row>
    <row r="165" spans="1:28">
      <c r="A165" s="369" t="s">
        <v>929</v>
      </c>
    </row>
    <row r="166" spans="1:28">
      <c r="A166" s="369" t="s">
        <v>332</v>
      </c>
    </row>
    <row r="168" spans="1:28">
      <c r="A168" s="369" t="s">
        <v>333</v>
      </c>
    </row>
    <row r="169" spans="1:28">
      <c r="A169" s="369" t="s">
        <v>930</v>
      </c>
    </row>
    <row r="170" spans="1:28" ht="15.75" customHeight="1"/>
    <row r="171" spans="1:28" s="372" customFormat="1" ht="19">
      <c r="A171" s="465" t="s">
        <v>335</v>
      </c>
    </row>
    <row r="172" spans="1:28" s="372" customFormat="1" ht="18">
      <c r="A172" s="466" t="s">
        <v>931</v>
      </c>
    </row>
    <row r="173" spans="1:28" s="372" customFormat="1" ht="16">
      <c r="A173" s="466" t="s">
        <v>932</v>
      </c>
    </row>
    <row r="174" spans="1:28" s="372" customFormat="1">
      <c r="A174" s="467" t="s">
        <v>933</v>
      </c>
    </row>
    <row r="175" spans="1:28" s="372" customFormat="1">
      <c r="A175" s="468" t="s">
        <v>934</v>
      </c>
    </row>
    <row r="176" spans="1:28" s="372" customFormat="1">
      <c r="A176" s="469" t="s">
        <v>935</v>
      </c>
    </row>
    <row r="177" spans="1:1" s="372" customFormat="1">
      <c r="A177" s="372" t="s">
        <v>936</v>
      </c>
    </row>
    <row r="178" spans="1:1" s="372" customFormat="1">
      <c r="A178" s="470" t="s">
        <v>937</v>
      </c>
    </row>
    <row r="179" spans="1:1" s="372" customFormat="1">
      <c r="A179" s="372" t="s">
        <v>938</v>
      </c>
    </row>
    <row r="180" spans="1:1" s="372" customFormat="1">
      <c r="A180" s="471" t="s">
        <v>939</v>
      </c>
    </row>
    <row r="181" spans="1:1" s="372" customFormat="1">
      <c r="A181" s="372" t="s">
        <v>940</v>
      </c>
    </row>
    <row r="182" spans="1:1" s="372" customFormat="1">
      <c r="A182" s="372" t="s">
        <v>941</v>
      </c>
    </row>
    <row r="183" spans="1:1" s="372" customFormat="1">
      <c r="A183" s="472" t="s">
        <v>942</v>
      </c>
    </row>
    <row r="184" spans="1:1" s="372" customFormat="1">
      <c r="A184" s="472" t="s">
        <v>943</v>
      </c>
    </row>
    <row r="185" spans="1:1" s="372" customFormat="1">
      <c r="A185" s="372" t="s">
        <v>944</v>
      </c>
    </row>
    <row r="186" spans="1:1" s="372" customFormat="1">
      <c r="A186" s="372" t="s">
        <v>945</v>
      </c>
    </row>
    <row r="187" spans="1:1" s="372" customFormat="1">
      <c r="A187" s="470" t="s">
        <v>946</v>
      </c>
    </row>
    <row r="188" spans="1:1" s="372" customFormat="1">
      <c r="A188" s="470" t="s">
        <v>947</v>
      </c>
    </row>
    <row r="189" spans="1:1" s="372" customFormat="1">
      <c r="A189" s="471" t="s">
        <v>948</v>
      </c>
    </row>
    <row r="190" spans="1:1" s="372" customFormat="1">
      <c r="A190" s="470" t="s">
        <v>949</v>
      </c>
    </row>
    <row r="191" spans="1:1" s="372" customFormat="1">
      <c r="A191" s="372" t="s">
        <v>950</v>
      </c>
    </row>
    <row r="192" spans="1:1" s="372" customFormat="1"/>
    <row r="193" spans="1:17">
      <c r="A193" s="473" t="s">
        <v>951</v>
      </c>
    </row>
    <row r="194" spans="1:17">
      <c r="A194" s="380" t="s">
        <v>952</v>
      </c>
      <c r="B194" s="381"/>
      <c r="C194" s="381"/>
      <c r="D194" s="381"/>
      <c r="E194" s="381"/>
      <c r="F194" s="381"/>
      <c r="G194" s="381"/>
      <c r="H194" s="381"/>
      <c r="I194" s="381"/>
      <c r="J194" s="381"/>
      <c r="K194" s="381"/>
      <c r="L194" s="381"/>
      <c r="M194" s="382"/>
      <c r="N194" s="381"/>
      <c r="O194" s="381"/>
      <c r="P194" s="381"/>
      <c r="Q194" s="383"/>
    </row>
  </sheetData>
  <mergeCells count="8">
    <mergeCell ref="I143:L145"/>
    <mergeCell ref="I154:L160"/>
    <mergeCell ref="J30:L30"/>
    <mergeCell ref="I33:L36"/>
    <mergeCell ref="I37:L39"/>
    <mergeCell ref="I64:L122"/>
    <mergeCell ref="J136:L136"/>
    <mergeCell ref="I139:L142"/>
  </mergeCells>
  <pageMargins left="0" right="0" top="0" bottom="0" header="0.3" footer="0.3"/>
  <pageSetup scale="54"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0077E4-A1FC-4EEA-91BA-EF5611FB87C5}">
  <dimension ref="A1:AB194"/>
  <sheetViews>
    <sheetView workbookViewId="0">
      <selection activeCell="B4" sqref="B4:B9"/>
    </sheetView>
  </sheetViews>
  <sheetFormatPr baseColWidth="10" defaultColWidth="9.1640625" defaultRowHeight="15"/>
  <cols>
    <col min="1" max="1" width="18.83203125" style="369" customWidth="1"/>
    <col min="2" max="3" width="11.33203125" style="369" customWidth="1"/>
    <col min="4" max="4" width="7.6640625" style="369" customWidth="1"/>
    <col min="5" max="5" width="7.83203125" style="369" customWidth="1"/>
    <col min="6" max="6" width="10.1640625" style="369" customWidth="1"/>
    <col min="7" max="7" width="11.5" style="369" customWidth="1"/>
    <col min="8" max="8" width="9.1640625" style="369"/>
    <col min="9" max="9" width="13.1640625" style="369" customWidth="1"/>
    <col min="10" max="10" width="4.5" style="369" customWidth="1"/>
    <col min="11" max="12" width="9.1640625" style="369"/>
    <col min="13" max="13" width="9" style="372" customWidth="1"/>
    <col min="14" max="16384" width="9.1640625" style="369"/>
  </cols>
  <sheetData>
    <row r="1" spans="1:25" ht="34">
      <c r="B1" s="370" t="s">
        <v>0</v>
      </c>
      <c r="C1" s="371"/>
      <c r="Y1" s="373"/>
    </row>
    <row r="2" spans="1:25" s="372" customFormat="1" ht="21">
      <c r="B2" s="374" t="s">
        <v>1</v>
      </c>
      <c r="C2" s="375"/>
      <c r="Y2" s="376"/>
    </row>
    <row r="3" spans="1:25" s="372" customFormat="1" ht="19">
      <c r="B3" s="377" t="s">
        <v>2</v>
      </c>
      <c r="C3" s="375"/>
      <c r="Y3" s="378"/>
    </row>
    <row r="4" spans="1:25">
      <c r="A4" s="379" t="s">
        <v>3</v>
      </c>
      <c r="B4" s="380"/>
      <c r="C4" s="381"/>
      <c r="D4" s="381"/>
      <c r="E4" s="381"/>
      <c r="F4" s="381"/>
      <c r="G4" s="381"/>
      <c r="H4" s="381"/>
      <c r="I4" s="381"/>
      <c r="J4" s="381"/>
      <c r="K4" s="381"/>
      <c r="L4" s="381"/>
      <c r="M4" s="382"/>
      <c r="N4" s="381"/>
      <c r="O4" s="381"/>
      <c r="P4" s="381"/>
      <c r="Q4" s="381"/>
      <c r="R4" s="383"/>
    </row>
    <row r="5" spans="1:25">
      <c r="A5" s="379" t="s">
        <v>4</v>
      </c>
      <c r="B5" s="384"/>
      <c r="C5" s="384"/>
      <c r="D5" s="384"/>
      <c r="E5" s="384"/>
      <c r="F5" s="384"/>
      <c r="G5" s="384"/>
      <c r="H5" s="384"/>
      <c r="I5" s="384"/>
      <c r="J5" s="384"/>
      <c r="K5" s="384"/>
      <c r="L5" s="384"/>
      <c r="M5" s="385"/>
      <c r="N5" s="384"/>
      <c r="O5" s="384"/>
      <c r="P5" s="384"/>
      <c r="Q5" s="384"/>
      <c r="R5" s="386"/>
    </row>
    <row r="6" spans="1:25">
      <c r="A6" s="387" t="s">
        <v>5</v>
      </c>
      <c r="B6" s="380"/>
      <c r="C6" s="381"/>
      <c r="D6" s="381"/>
      <c r="E6" s="381"/>
      <c r="F6" s="381"/>
      <c r="G6" s="381"/>
      <c r="H6" s="381"/>
      <c r="I6" s="381"/>
      <c r="J6" s="381"/>
      <c r="K6" s="381"/>
      <c r="L6" s="381"/>
      <c r="M6" s="382"/>
      <c r="N6" s="381"/>
      <c r="O6" s="381"/>
      <c r="P6" s="381"/>
      <c r="Q6" s="381"/>
      <c r="R6" s="383"/>
    </row>
    <row r="7" spans="1:25">
      <c r="A7" s="388"/>
      <c r="B7" s="389"/>
      <c r="C7" s="384"/>
      <c r="D7" s="384"/>
      <c r="E7" s="384"/>
      <c r="F7" s="384"/>
      <c r="G7" s="384"/>
      <c r="H7" s="384"/>
      <c r="I7" s="384"/>
      <c r="J7" s="384"/>
      <c r="K7" s="384"/>
      <c r="L7" s="384"/>
      <c r="M7" s="385"/>
      <c r="N7" s="384"/>
      <c r="O7" s="384"/>
      <c r="P7" s="384"/>
      <c r="Q7" s="384"/>
      <c r="R7" s="386"/>
    </row>
    <row r="8" spans="1:25">
      <c r="A8" s="387" t="s">
        <v>6</v>
      </c>
      <c r="B8" s="390"/>
      <c r="C8" s="381"/>
      <c r="D8" s="381"/>
      <c r="E8" s="381"/>
      <c r="F8" s="391"/>
      <c r="G8" s="381"/>
      <c r="H8" s="381"/>
      <c r="I8" s="381"/>
      <c r="J8" s="381"/>
      <c r="K8" s="381"/>
      <c r="L8" s="381"/>
      <c r="M8" s="382"/>
      <c r="N8" s="381"/>
      <c r="O8" s="381"/>
      <c r="P8" s="381"/>
      <c r="Q8" s="381"/>
      <c r="R8" s="383"/>
    </row>
    <row r="9" spans="1:25">
      <c r="A9" s="392" t="s">
        <v>7</v>
      </c>
      <c r="B9" s="393"/>
      <c r="C9" s="393"/>
      <c r="D9" s="393"/>
      <c r="E9" s="393"/>
      <c r="F9" s="393"/>
      <c r="G9" s="393"/>
      <c r="H9" s="393"/>
      <c r="I9" s="393"/>
      <c r="J9" s="393"/>
      <c r="K9" s="393"/>
      <c r="L9" s="393"/>
      <c r="M9" s="394"/>
      <c r="N9" s="393"/>
      <c r="O9" s="393"/>
      <c r="P9" s="393"/>
      <c r="Q9" s="393"/>
      <c r="R9" s="395"/>
    </row>
    <row r="10" spans="1:25">
      <c r="A10" s="396"/>
    </row>
    <row r="11" spans="1:25" s="397" customFormat="1" ht="26">
      <c r="A11" s="397" t="s">
        <v>915</v>
      </c>
    </row>
    <row r="12" spans="1:25">
      <c r="B12" s="398" t="s">
        <v>916</v>
      </c>
    </row>
    <row r="13" spans="1:25" s="400" customFormat="1">
      <c r="A13" s="399" t="s">
        <v>917</v>
      </c>
    </row>
    <row r="14" spans="1:25">
      <c r="B14" s="401" t="s">
        <v>32</v>
      </c>
      <c r="C14" s="369" t="s">
        <v>11</v>
      </c>
    </row>
    <row r="15" spans="1:25" s="400" customFormat="1">
      <c r="A15" s="399" t="s">
        <v>12</v>
      </c>
    </row>
    <row r="16" spans="1:25">
      <c r="B16" s="401"/>
      <c r="C16" s="369" t="s">
        <v>11</v>
      </c>
    </row>
    <row r="17" spans="1:28" s="400" customFormat="1">
      <c r="A17" s="399" t="s">
        <v>13</v>
      </c>
    </row>
    <row r="18" spans="1:28">
      <c r="B18" s="380"/>
      <c r="C18" s="381"/>
      <c r="D18" s="381"/>
      <c r="E18" s="381"/>
      <c r="F18" s="381"/>
      <c r="G18" s="381"/>
      <c r="H18" s="381"/>
      <c r="I18" s="381"/>
      <c r="J18" s="381"/>
      <c r="K18" s="381"/>
      <c r="L18" s="381"/>
      <c r="M18" s="382"/>
      <c r="N18" s="381"/>
      <c r="O18" s="381"/>
      <c r="P18" s="381"/>
      <c r="Q18" s="381"/>
      <c r="R18" s="383"/>
      <c r="S18" s="369" t="s">
        <v>15</v>
      </c>
    </row>
    <row r="20" spans="1:28" s="402" customFormat="1">
      <c r="A20" s="402" t="s">
        <v>918</v>
      </c>
    </row>
    <row r="21" spans="1:28" s="406" customFormat="1" ht="35" thickBot="1">
      <c r="A21" s="403" t="s">
        <v>919</v>
      </c>
      <c r="B21" s="404"/>
      <c r="C21" s="404"/>
      <c r="D21" s="404"/>
      <c r="E21" s="404"/>
      <c r="F21" s="404"/>
      <c r="G21" s="404"/>
      <c r="H21" s="404"/>
      <c r="I21" s="404"/>
      <c r="J21" s="404"/>
      <c r="K21" s="404"/>
      <c r="L21" s="404"/>
      <c r="M21" s="405"/>
      <c r="N21" s="372"/>
      <c r="O21" s="372"/>
      <c r="P21" s="372"/>
      <c r="Q21" s="372"/>
      <c r="R21" s="372"/>
      <c r="S21" s="372"/>
      <c r="T21" s="372"/>
      <c r="U21" s="372"/>
      <c r="V21" s="372"/>
      <c r="W21" s="372"/>
      <c r="X21" s="372"/>
      <c r="Y21" s="372"/>
      <c r="Z21" s="372"/>
      <c r="AA21" s="372"/>
      <c r="AB21" s="372"/>
    </row>
    <row r="22" spans="1:28" ht="41.25" customHeight="1" thickBot="1">
      <c r="A22" s="407" t="s">
        <v>18</v>
      </c>
      <c r="B22" s="408" t="s">
        <v>920</v>
      </c>
      <c r="C22" s="408" t="s">
        <v>921</v>
      </c>
      <c r="D22" s="408" t="s">
        <v>21</v>
      </c>
      <c r="E22" s="408" t="s">
        <v>22</v>
      </c>
      <c r="F22" s="408" t="s">
        <v>23</v>
      </c>
      <c r="G22" s="409" t="s">
        <v>922</v>
      </c>
      <c r="H22" s="409" t="s">
        <v>923</v>
      </c>
      <c r="I22" s="410"/>
      <c r="J22" s="411" t="s">
        <v>27</v>
      </c>
      <c r="K22" s="411"/>
      <c r="L22" s="411"/>
      <c r="M22" s="412" t="s">
        <v>28</v>
      </c>
      <c r="N22" s="413"/>
      <c r="O22" s="413"/>
      <c r="P22" s="413"/>
      <c r="Q22" s="413"/>
      <c r="R22" s="413"/>
      <c r="S22" s="413"/>
      <c r="T22" s="414"/>
      <c r="U22" s="406"/>
      <c r="V22" s="406"/>
      <c r="W22" s="406"/>
      <c r="X22" s="406"/>
      <c r="Y22" s="406"/>
      <c r="Z22" s="406"/>
      <c r="AA22" s="406"/>
      <c r="AB22" s="406"/>
    </row>
    <row r="23" spans="1:28">
      <c r="A23" s="415" t="s">
        <v>29</v>
      </c>
      <c r="B23" s="460">
        <v>-1.5262252000000001</v>
      </c>
      <c r="C23" s="417" t="s">
        <v>30</v>
      </c>
      <c r="D23" s="418">
        <v>0.17592262140645501</v>
      </c>
      <c r="E23" s="419">
        <v>11</v>
      </c>
      <c r="F23" s="419">
        <v>258.5</v>
      </c>
      <c r="G23" s="420">
        <v>-0.86</v>
      </c>
      <c r="H23" s="421">
        <f t="shared" ref="H23:H86" si="0">0.5-G23-0.01*(F23-25)</f>
        <v>-0.97500000000000009</v>
      </c>
      <c r="I23" s="422" t="s">
        <v>31</v>
      </c>
      <c r="J23" s="423"/>
      <c r="K23" s="421"/>
      <c r="L23" s="421"/>
      <c r="M23" s="424" t="s">
        <v>33</v>
      </c>
    </row>
    <row r="24" spans="1:28">
      <c r="A24" s="425" t="s">
        <v>35</v>
      </c>
      <c r="B24" s="460">
        <v>-2.1404939000000001</v>
      </c>
      <c r="C24" s="417" t="s">
        <v>36</v>
      </c>
      <c r="D24" s="418">
        <v>0.14701293131372201</v>
      </c>
      <c r="E24" s="419">
        <v>16</v>
      </c>
      <c r="F24" s="419">
        <v>142.4</v>
      </c>
      <c r="G24" s="420">
        <v>1.31</v>
      </c>
      <c r="H24" s="421">
        <f t="shared" si="0"/>
        <v>-1.9840000000000002</v>
      </c>
      <c r="I24" s="422" t="s">
        <v>37</v>
      </c>
      <c r="J24" s="423"/>
      <c r="K24" s="421"/>
      <c r="L24" s="421"/>
      <c r="M24" s="424" t="s">
        <v>38</v>
      </c>
    </row>
    <row r="25" spans="1:28">
      <c r="A25" s="415" t="s">
        <v>40</v>
      </c>
      <c r="B25" s="460">
        <v>-3.3261623</v>
      </c>
      <c r="C25" s="417" t="s">
        <v>41</v>
      </c>
      <c r="D25" s="418">
        <v>0.15746026945991601</v>
      </c>
      <c r="E25" s="419">
        <v>4</v>
      </c>
      <c r="F25" s="419">
        <v>92</v>
      </c>
      <c r="G25" s="420">
        <v>2.5299999999999998</v>
      </c>
      <c r="H25" s="421">
        <f t="shared" si="0"/>
        <v>-2.6999999999999997</v>
      </c>
      <c r="I25" s="422" t="s">
        <v>42</v>
      </c>
      <c r="J25" s="423"/>
      <c r="K25" s="421"/>
      <c r="L25" s="421"/>
      <c r="M25" s="424" t="s">
        <v>43</v>
      </c>
    </row>
    <row r="26" spans="1:28">
      <c r="A26" s="425" t="s">
        <v>45</v>
      </c>
      <c r="B26" s="460">
        <v>-2.4621586999999998</v>
      </c>
      <c r="C26" s="417" t="s">
        <v>46</v>
      </c>
      <c r="D26" s="418">
        <v>0.169992225074696</v>
      </c>
      <c r="E26" s="419">
        <v>3</v>
      </c>
      <c r="F26" s="419">
        <v>234</v>
      </c>
      <c r="G26" s="420">
        <v>3.19</v>
      </c>
      <c r="H26" s="421">
        <f t="shared" si="0"/>
        <v>-4.7799999999999994</v>
      </c>
      <c r="I26" s="426" t="s">
        <v>47</v>
      </c>
      <c r="J26" s="427"/>
      <c r="K26" s="421"/>
      <c r="L26" s="421"/>
      <c r="M26" s="424" t="s">
        <v>48</v>
      </c>
    </row>
    <row r="27" spans="1:28">
      <c r="A27" s="425" t="s">
        <v>50</v>
      </c>
      <c r="B27" s="460">
        <v>-5.2449079999999997</v>
      </c>
      <c r="C27" s="417" t="s">
        <v>51</v>
      </c>
      <c r="D27" s="418">
        <v>0.21168830858587201</v>
      </c>
      <c r="E27" s="419">
        <v>3</v>
      </c>
      <c r="F27" s="419">
        <v>139.25</v>
      </c>
      <c r="G27" s="420">
        <v>4.8600000000000003</v>
      </c>
      <c r="H27" s="421">
        <f t="shared" si="0"/>
        <v>-5.5025000000000004</v>
      </c>
      <c r="I27" s="426" t="s">
        <v>52</v>
      </c>
      <c r="J27" s="427"/>
      <c r="K27" s="421"/>
      <c r="L27" s="421"/>
      <c r="M27" s="424" t="s">
        <v>53</v>
      </c>
    </row>
    <row r="28" spans="1:28">
      <c r="A28" s="415" t="s">
        <v>55</v>
      </c>
      <c r="B28" s="460">
        <v>-5.9292692999999996</v>
      </c>
      <c r="C28" s="428"/>
      <c r="D28" s="418">
        <v>0.18412396392404201</v>
      </c>
      <c r="E28" s="419">
        <v>3</v>
      </c>
      <c r="F28" s="419">
        <v>224</v>
      </c>
      <c r="G28" s="420">
        <v>5.51</v>
      </c>
      <c r="H28" s="421">
        <f t="shared" si="0"/>
        <v>-7</v>
      </c>
      <c r="I28" s="426" t="s">
        <v>56</v>
      </c>
      <c r="J28" s="427"/>
      <c r="K28" s="421"/>
      <c r="L28" s="421"/>
      <c r="M28" s="424" t="s">
        <v>57</v>
      </c>
    </row>
    <row r="29" spans="1:28">
      <c r="A29" s="415" t="s">
        <v>59</v>
      </c>
      <c r="B29" s="460">
        <v>-2.2183603999999999</v>
      </c>
      <c r="C29" s="428"/>
      <c r="D29" s="418">
        <v>0.149337338745232</v>
      </c>
      <c r="E29" s="419">
        <v>6</v>
      </c>
      <c r="F29" s="419">
        <v>172.5</v>
      </c>
      <c r="G29" s="420">
        <v>1.78</v>
      </c>
      <c r="H29" s="421">
        <f t="shared" si="0"/>
        <v>-2.7549999999999999</v>
      </c>
      <c r="I29" s="426" t="s">
        <v>60</v>
      </c>
      <c r="J29" s="429"/>
      <c r="K29" s="421"/>
      <c r="L29" s="421"/>
      <c r="M29" s="424" t="s">
        <v>61</v>
      </c>
    </row>
    <row r="30" spans="1:28" ht="21" customHeight="1">
      <c r="A30" s="415" t="s">
        <v>63</v>
      </c>
      <c r="B30" s="460">
        <v>-2.3317260000000002</v>
      </c>
      <c r="C30" s="428"/>
      <c r="D30" s="418">
        <v>0.14842266063120099</v>
      </c>
      <c r="E30" s="419">
        <v>4</v>
      </c>
      <c r="F30" s="419">
        <v>207.5</v>
      </c>
      <c r="G30" s="420">
        <v>1.86</v>
      </c>
      <c r="H30" s="421">
        <f t="shared" si="0"/>
        <v>-3.1850000000000001</v>
      </c>
      <c r="I30" s="430" t="s">
        <v>64</v>
      </c>
      <c r="J30" s="889" t="s">
        <v>924</v>
      </c>
      <c r="K30" s="890"/>
      <c r="L30" s="891"/>
      <c r="M30" s="424" t="s">
        <v>65</v>
      </c>
    </row>
    <row r="31" spans="1:28">
      <c r="A31" s="431" t="s">
        <v>66</v>
      </c>
      <c r="B31" s="460">
        <v>-2.6801084999999998</v>
      </c>
      <c r="C31" s="428"/>
      <c r="D31" s="418">
        <v>0.16179731069006001</v>
      </c>
      <c r="E31" s="419">
        <v>10</v>
      </c>
      <c r="F31" s="419">
        <v>166.5</v>
      </c>
      <c r="G31" s="420">
        <v>0.79</v>
      </c>
      <c r="H31" s="421">
        <f t="shared" si="0"/>
        <v>-1.7050000000000001</v>
      </c>
      <c r="J31" s="421"/>
      <c r="K31" s="421"/>
      <c r="L31" s="421"/>
      <c r="M31" s="424" t="s">
        <v>67</v>
      </c>
    </row>
    <row r="32" spans="1:28">
      <c r="A32" s="425" t="s">
        <v>68</v>
      </c>
      <c r="B32" s="460">
        <v>-3.6626015000000001</v>
      </c>
      <c r="C32" s="428"/>
      <c r="D32" s="418">
        <v>0.21543706061278201</v>
      </c>
      <c r="E32" s="419">
        <v>6</v>
      </c>
      <c r="F32" s="419">
        <v>231.5</v>
      </c>
      <c r="G32" s="420">
        <v>2.4300000000000002</v>
      </c>
      <c r="H32" s="421">
        <f t="shared" si="0"/>
        <v>-3.9950000000000001</v>
      </c>
      <c r="I32" s="432" t="s">
        <v>69</v>
      </c>
      <c r="J32" s="433"/>
      <c r="K32" s="433"/>
      <c r="L32" s="434"/>
      <c r="M32" s="424" t="s">
        <v>70</v>
      </c>
    </row>
    <row r="33" spans="1:13">
      <c r="A33" s="435" t="s">
        <v>71</v>
      </c>
      <c r="B33" s="460">
        <v>-4.151732</v>
      </c>
      <c r="C33" s="436"/>
      <c r="D33" s="437">
        <v>0.129125206050696</v>
      </c>
      <c r="E33" s="438">
        <v>3</v>
      </c>
      <c r="F33" s="439">
        <v>192.7</v>
      </c>
      <c r="G33" s="420">
        <v>2.63</v>
      </c>
      <c r="H33" s="421">
        <f t="shared" si="0"/>
        <v>-3.8069999999999995</v>
      </c>
      <c r="I33" s="880" t="s">
        <v>925</v>
      </c>
      <c r="J33" s="881"/>
      <c r="K33" s="881"/>
      <c r="L33" s="882"/>
      <c r="M33" s="424" t="s">
        <v>72</v>
      </c>
    </row>
    <row r="34" spans="1:13">
      <c r="A34" s="415" t="s">
        <v>74</v>
      </c>
      <c r="B34" s="460">
        <v>-7.1222196000000002</v>
      </c>
      <c r="C34" s="428"/>
      <c r="D34" s="418">
        <v>0.14911462098310899</v>
      </c>
      <c r="E34" s="419">
        <v>6</v>
      </c>
      <c r="F34" s="419">
        <v>167</v>
      </c>
      <c r="G34" s="420">
        <v>6.32</v>
      </c>
      <c r="H34" s="421">
        <f t="shared" si="0"/>
        <v>-7.24</v>
      </c>
      <c r="I34" s="883"/>
      <c r="J34" s="884"/>
      <c r="K34" s="884"/>
      <c r="L34" s="885"/>
      <c r="M34" s="424" t="s">
        <v>75</v>
      </c>
    </row>
    <row r="35" spans="1:13">
      <c r="A35" s="425" t="s">
        <v>77</v>
      </c>
      <c r="B35" s="460">
        <v>-3.7975363999999998</v>
      </c>
      <c r="C35" s="428"/>
      <c r="D35" s="418">
        <v>0.15809078703524701</v>
      </c>
      <c r="E35" s="419">
        <v>15</v>
      </c>
      <c r="F35" s="419">
        <v>191.5</v>
      </c>
      <c r="G35" s="420">
        <v>3.39</v>
      </c>
      <c r="H35" s="421">
        <f t="shared" si="0"/>
        <v>-4.5549999999999997</v>
      </c>
      <c r="I35" s="883"/>
      <c r="J35" s="884"/>
      <c r="K35" s="884"/>
      <c r="L35" s="885"/>
      <c r="M35" s="424" t="s">
        <v>78</v>
      </c>
    </row>
    <row r="36" spans="1:13">
      <c r="A36" s="431" t="s">
        <v>80</v>
      </c>
      <c r="B36" s="460">
        <v>-3.7952712000000002</v>
      </c>
      <c r="C36" s="428"/>
      <c r="D36" s="418">
        <v>0.191150308906822</v>
      </c>
      <c r="E36" s="419">
        <v>3</v>
      </c>
      <c r="F36" s="419">
        <v>246.2</v>
      </c>
      <c r="G36" s="420">
        <v>3.32</v>
      </c>
      <c r="H36" s="421">
        <f t="shared" si="0"/>
        <v>-5.032</v>
      </c>
      <c r="I36" s="883"/>
      <c r="J36" s="884"/>
      <c r="K36" s="884"/>
      <c r="L36" s="885"/>
      <c r="M36" s="424" t="s">
        <v>81</v>
      </c>
    </row>
    <row r="37" spans="1:13">
      <c r="A37" s="431" t="s">
        <v>73</v>
      </c>
      <c r="B37" s="460">
        <v>-2.8645933000000001</v>
      </c>
      <c r="C37" s="428"/>
      <c r="D37" s="418">
        <v>0.19050575600734301</v>
      </c>
      <c r="E37" s="419">
        <v>4</v>
      </c>
      <c r="F37" s="419">
        <v>304</v>
      </c>
      <c r="G37" s="420">
        <v>1.74</v>
      </c>
      <c r="H37" s="421">
        <f t="shared" si="0"/>
        <v>-4.03</v>
      </c>
      <c r="I37" s="877"/>
      <c r="J37" s="878"/>
      <c r="K37" s="878"/>
      <c r="L37" s="879"/>
      <c r="M37" s="424" t="s">
        <v>83</v>
      </c>
    </row>
    <row r="38" spans="1:13">
      <c r="A38" s="415" t="s">
        <v>76</v>
      </c>
      <c r="B38" s="460">
        <v>-3.0343591999999999</v>
      </c>
      <c r="C38" s="428"/>
      <c r="D38" s="418">
        <v>0.13682393527498099</v>
      </c>
      <c r="E38" s="419">
        <v>7</v>
      </c>
      <c r="F38" s="419">
        <v>187</v>
      </c>
      <c r="G38" s="420">
        <v>-0.87</v>
      </c>
      <c r="H38" s="421">
        <f t="shared" si="0"/>
        <v>-0.25</v>
      </c>
      <c r="I38" s="877"/>
      <c r="J38" s="878"/>
      <c r="K38" s="878"/>
      <c r="L38" s="879"/>
      <c r="M38" s="440" t="s">
        <v>85</v>
      </c>
    </row>
    <row r="39" spans="1:13">
      <c r="A39" s="415" t="s">
        <v>87</v>
      </c>
      <c r="B39" s="460">
        <v>-2.7638557000000001</v>
      </c>
      <c r="C39" s="428"/>
      <c r="D39" s="418">
        <v>0.20462356367491999</v>
      </c>
      <c r="E39" s="419">
        <v>4</v>
      </c>
      <c r="F39" s="419">
        <v>221.5</v>
      </c>
      <c r="G39" s="420">
        <v>0.71</v>
      </c>
      <c r="H39" s="421">
        <f t="shared" si="0"/>
        <v>-2.1749999999999998</v>
      </c>
      <c r="I39" s="877"/>
      <c r="J39" s="878"/>
      <c r="K39" s="878"/>
      <c r="L39" s="879"/>
      <c r="M39" s="424" t="s">
        <v>88</v>
      </c>
    </row>
    <row r="40" spans="1:13">
      <c r="A40" s="415" t="s">
        <v>90</v>
      </c>
      <c r="B40" s="460">
        <v>-4.4754214000000001</v>
      </c>
      <c r="C40" s="428"/>
      <c r="D40" s="418">
        <v>0.182746025644655</v>
      </c>
      <c r="E40" s="419">
        <v>6</v>
      </c>
      <c r="F40" s="419">
        <v>157.833333333333</v>
      </c>
      <c r="G40" s="420">
        <v>3.51</v>
      </c>
      <c r="H40" s="421">
        <f t="shared" si="0"/>
        <v>-4.3383333333333294</v>
      </c>
      <c r="I40" s="441"/>
      <c r="J40" s="384"/>
      <c r="K40" s="384"/>
      <c r="L40" s="386"/>
      <c r="M40" s="424" t="s">
        <v>91</v>
      </c>
    </row>
    <row r="41" spans="1:13">
      <c r="A41" s="435" t="s">
        <v>93</v>
      </c>
      <c r="B41" s="460">
        <v>-2.2585540000000002</v>
      </c>
      <c r="C41" s="436"/>
      <c r="D41" s="437">
        <v>0.12610247911779701</v>
      </c>
      <c r="E41" s="438">
        <v>8</v>
      </c>
      <c r="F41" s="419">
        <v>140</v>
      </c>
      <c r="G41" s="420">
        <v>0.35</v>
      </c>
      <c r="H41" s="421">
        <f t="shared" si="0"/>
        <v>-1</v>
      </c>
      <c r="I41" s="441"/>
      <c r="J41" s="384"/>
      <c r="K41" s="384"/>
      <c r="L41" s="386"/>
      <c r="M41" s="424" t="s">
        <v>94</v>
      </c>
    </row>
    <row r="42" spans="1:13">
      <c r="A42" s="425" t="s">
        <v>96</v>
      </c>
      <c r="B42" s="460">
        <v>-2.9330945000000002</v>
      </c>
      <c r="C42" s="428"/>
      <c r="D42" s="418">
        <v>0.14493441954544001</v>
      </c>
      <c r="E42" s="419">
        <v>7</v>
      </c>
      <c r="F42" s="419">
        <v>127.933333333333</v>
      </c>
      <c r="G42" s="420">
        <v>1.74</v>
      </c>
      <c r="H42" s="421">
        <f t="shared" si="0"/>
        <v>-2.2693333333333299</v>
      </c>
      <c r="I42" s="441"/>
      <c r="J42" s="384"/>
      <c r="K42" s="384"/>
      <c r="L42" s="386"/>
      <c r="M42" s="424" t="s">
        <v>97</v>
      </c>
    </row>
    <row r="43" spans="1:13">
      <c r="A43" s="425" t="s">
        <v>79</v>
      </c>
      <c r="B43" s="460">
        <v>-4.4771656999999996</v>
      </c>
      <c r="C43" s="428"/>
      <c r="D43" s="418">
        <v>0.148613886268708</v>
      </c>
      <c r="E43" s="419">
        <v>7</v>
      </c>
      <c r="F43" s="419">
        <v>176</v>
      </c>
      <c r="G43" s="420">
        <v>4.4800000000000004</v>
      </c>
      <c r="H43" s="421">
        <f t="shared" si="0"/>
        <v>-5.49</v>
      </c>
      <c r="I43" s="441"/>
      <c r="J43" s="384"/>
      <c r="K43" s="384"/>
      <c r="L43" s="386"/>
      <c r="M43" s="424" t="s">
        <v>99</v>
      </c>
    </row>
    <row r="44" spans="1:13">
      <c r="A44" s="442" t="s">
        <v>101</v>
      </c>
      <c r="B44" s="460">
        <v>-4.1887354999999999</v>
      </c>
      <c r="C44" s="436"/>
      <c r="D44" s="437">
        <v>0.12807114954002</v>
      </c>
      <c r="E44" s="438">
        <v>3</v>
      </c>
      <c r="F44" s="419">
        <v>159.69999999999999</v>
      </c>
      <c r="G44" s="420">
        <v>3.46</v>
      </c>
      <c r="H44" s="421">
        <f t="shared" si="0"/>
        <v>-4.3070000000000004</v>
      </c>
      <c r="I44" s="441"/>
      <c r="J44" s="384"/>
      <c r="K44" s="384"/>
      <c r="L44" s="386"/>
      <c r="M44" s="424" t="s">
        <v>102</v>
      </c>
    </row>
    <row r="45" spans="1:13">
      <c r="A45" s="435" t="s">
        <v>104</v>
      </c>
      <c r="B45" s="460">
        <v>-1.4725944</v>
      </c>
      <c r="C45" s="436"/>
      <c r="D45" s="437">
        <v>0.21683500301481101</v>
      </c>
      <c r="E45" s="438">
        <v>8</v>
      </c>
      <c r="F45" s="419">
        <v>142</v>
      </c>
      <c r="G45" s="420">
        <v>0.6</v>
      </c>
      <c r="H45" s="421">
        <f t="shared" si="0"/>
        <v>-1.27</v>
      </c>
      <c r="I45" s="441"/>
      <c r="J45" s="384"/>
      <c r="K45" s="384"/>
      <c r="L45" s="386"/>
      <c r="M45" s="424" t="s">
        <v>105</v>
      </c>
    </row>
    <row r="46" spans="1:13">
      <c r="A46" s="425" t="s">
        <v>107</v>
      </c>
      <c r="B46" s="460">
        <v>-3.0642629000000001</v>
      </c>
      <c r="C46" s="428"/>
      <c r="D46" s="418">
        <v>0.18255878892749899</v>
      </c>
      <c r="E46" s="419">
        <v>20</v>
      </c>
      <c r="F46" s="419">
        <v>267</v>
      </c>
      <c r="G46" s="420">
        <v>1.58</v>
      </c>
      <c r="H46" s="421">
        <f t="shared" si="0"/>
        <v>-3.5</v>
      </c>
      <c r="I46" s="441"/>
      <c r="J46" s="384"/>
      <c r="K46" s="384"/>
      <c r="L46" s="386"/>
      <c r="M46" s="424" t="s">
        <v>108</v>
      </c>
    </row>
    <row r="47" spans="1:13">
      <c r="A47" s="415" t="s">
        <v>110</v>
      </c>
      <c r="B47" s="460">
        <v>-4.3519243999999997</v>
      </c>
      <c r="C47" s="428"/>
      <c r="D47" s="418">
        <v>0.16704647063532599</v>
      </c>
      <c r="E47" s="419">
        <v>6</v>
      </c>
      <c r="F47" s="419">
        <v>110</v>
      </c>
      <c r="G47" s="420">
        <v>3.36</v>
      </c>
      <c r="H47" s="421">
        <f t="shared" si="0"/>
        <v>-3.71</v>
      </c>
      <c r="I47" s="441"/>
      <c r="J47" s="384"/>
      <c r="K47" s="384"/>
      <c r="L47" s="386"/>
      <c r="M47" s="424" t="s">
        <v>111</v>
      </c>
    </row>
    <row r="48" spans="1:13">
      <c r="A48" s="425" t="s">
        <v>82</v>
      </c>
      <c r="B48" s="460">
        <v>-3.4754909999999999</v>
      </c>
      <c r="C48" s="428"/>
      <c r="D48" s="418">
        <v>0.1716450131236</v>
      </c>
      <c r="E48" s="419">
        <v>7</v>
      </c>
      <c r="F48" s="419">
        <v>182</v>
      </c>
      <c r="G48" s="420">
        <v>2.67</v>
      </c>
      <c r="H48" s="421">
        <f t="shared" si="0"/>
        <v>-3.74</v>
      </c>
      <c r="I48" s="441"/>
      <c r="J48" s="384"/>
      <c r="K48" s="384"/>
      <c r="L48" s="386"/>
      <c r="M48" s="424" t="s">
        <v>113</v>
      </c>
    </row>
    <row r="49" spans="1:13">
      <c r="A49" s="435" t="s">
        <v>115</v>
      </c>
      <c r="B49" s="460">
        <v>-3.8043431999999999</v>
      </c>
      <c r="C49" s="436"/>
      <c r="D49" s="437">
        <v>0.12558353028546099</v>
      </c>
      <c r="E49" s="438">
        <v>4</v>
      </c>
      <c r="F49" s="419">
        <v>222</v>
      </c>
      <c r="G49" s="420">
        <v>2.56</v>
      </c>
      <c r="H49" s="421">
        <f t="shared" si="0"/>
        <v>-4.03</v>
      </c>
      <c r="I49" s="441"/>
      <c r="J49" s="384"/>
      <c r="K49" s="384"/>
      <c r="L49" s="386"/>
      <c r="M49" s="424" t="s">
        <v>116</v>
      </c>
    </row>
    <row r="50" spans="1:13">
      <c r="A50" s="425" t="s">
        <v>118</v>
      </c>
      <c r="B50" s="460">
        <v>-2.1353507</v>
      </c>
      <c r="C50" s="428"/>
      <c r="D50" s="418">
        <v>0.15681339906647901</v>
      </c>
      <c r="E50" s="419">
        <v>6</v>
      </c>
      <c r="F50" s="419">
        <v>151</v>
      </c>
      <c r="G50" s="420">
        <v>3.27</v>
      </c>
      <c r="H50" s="421">
        <f t="shared" si="0"/>
        <v>-4.03</v>
      </c>
      <c r="I50" s="441"/>
      <c r="J50" s="384"/>
      <c r="K50" s="384"/>
      <c r="L50" s="386"/>
      <c r="M50" s="424" t="s">
        <v>119</v>
      </c>
    </row>
    <row r="51" spans="1:13">
      <c r="A51" s="442" t="s">
        <v>84</v>
      </c>
      <c r="B51" s="460">
        <v>-3.7916802999999999</v>
      </c>
      <c r="C51" s="436"/>
      <c r="D51" s="437">
        <v>0.12789394574374299</v>
      </c>
      <c r="E51" s="438">
        <v>5</v>
      </c>
      <c r="F51" s="419">
        <v>330</v>
      </c>
      <c r="G51" s="420">
        <v>2.87</v>
      </c>
      <c r="H51" s="421">
        <f t="shared" si="0"/>
        <v>-5.42</v>
      </c>
      <c r="I51" s="441"/>
      <c r="J51" s="384"/>
      <c r="K51" s="384"/>
      <c r="L51" s="386"/>
      <c r="M51" s="424" t="s">
        <v>120</v>
      </c>
    </row>
    <row r="52" spans="1:13">
      <c r="A52" s="425" t="s">
        <v>121</v>
      </c>
      <c r="B52" s="460">
        <v>-2.7644061999999998</v>
      </c>
      <c r="C52" s="428"/>
      <c r="D52" s="418">
        <v>0.18012800124370401</v>
      </c>
      <c r="E52" s="419">
        <v>3</v>
      </c>
      <c r="F52" s="419">
        <v>100</v>
      </c>
      <c r="G52" s="420">
        <v>3.53</v>
      </c>
      <c r="H52" s="421">
        <f t="shared" si="0"/>
        <v>-3.78</v>
      </c>
      <c r="I52" s="443"/>
      <c r="J52" s="444"/>
      <c r="K52" s="444"/>
      <c r="L52" s="445"/>
      <c r="M52" s="424" t="s">
        <v>122</v>
      </c>
    </row>
    <row r="53" spans="1:13">
      <c r="A53" s="415" t="s">
        <v>123</v>
      </c>
      <c r="B53" s="460">
        <v>-3.3751547</v>
      </c>
      <c r="C53" s="428"/>
      <c r="D53" s="418">
        <v>0.180621047507217</v>
      </c>
      <c r="E53" s="419">
        <v>16</v>
      </c>
      <c r="F53" s="419">
        <v>262.5</v>
      </c>
      <c r="G53" s="420">
        <v>1.9</v>
      </c>
      <c r="H53" s="421">
        <f t="shared" si="0"/>
        <v>-3.7749999999999999</v>
      </c>
      <c r="I53" s="443"/>
      <c r="J53" s="444"/>
      <c r="K53" s="444"/>
      <c r="L53" s="445"/>
      <c r="M53" s="424" t="s">
        <v>124</v>
      </c>
    </row>
    <row r="54" spans="1:13">
      <c r="A54" s="435" t="s">
        <v>125</v>
      </c>
      <c r="B54" s="460">
        <v>-3.0436716000000001</v>
      </c>
      <c r="C54" s="436"/>
      <c r="D54" s="437">
        <v>0.2215624426866</v>
      </c>
      <c r="E54" s="438">
        <v>4</v>
      </c>
      <c r="F54" s="419">
        <v>328.85</v>
      </c>
      <c r="G54" s="420">
        <v>1.87</v>
      </c>
      <c r="H54" s="421">
        <f t="shared" si="0"/>
        <v>-4.4085000000000001</v>
      </c>
      <c r="I54" s="443"/>
      <c r="J54" s="444"/>
      <c r="K54" s="444"/>
      <c r="L54" s="445"/>
      <c r="M54" s="424" t="s">
        <v>126</v>
      </c>
    </row>
    <row r="55" spans="1:13">
      <c r="A55" s="425" t="s">
        <v>127</v>
      </c>
      <c r="B55" s="460">
        <v>-4.2387632999999996</v>
      </c>
      <c r="C55" s="428"/>
      <c r="D55" s="418">
        <v>0.184508117807134</v>
      </c>
      <c r="E55" s="419">
        <v>33</v>
      </c>
      <c r="F55" s="419">
        <v>167.5</v>
      </c>
      <c r="G55" s="420">
        <v>4.3600000000000003</v>
      </c>
      <c r="H55" s="421">
        <f t="shared" si="0"/>
        <v>-5.2850000000000001</v>
      </c>
      <c r="I55" s="443"/>
      <c r="J55" s="444"/>
      <c r="K55" s="444"/>
      <c r="L55" s="445"/>
      <c r="M55" s="424" t="s">
        <v>128</v>
      </c>
    </row>
    <row r="56" spans="1:13">
      <c r="A56" s="425" t="s">
        <v>86</v>
      </c>
      <c r="B56" s="460">
        <v>-4.4668144999999999</v>
      </c>
      <c r="C56" s="428"/>
      <c r="D56" s="418">
        <v>0.15609203233531499</v>
      </c>
      <c r="E56" s="419">
        <v>3</v>
      </c>
      <c r="F56" s="419">
        <v>223</v>
      </c>
      <c r="G56" s="420">
        <v>2.99</v>
      </c>
      <c r="H56" s="421">
        <f t="shared" si="0"/>
        <v>-4.4700000000000006</v>
      </c>
      <c r="I56" s="443"/>
      <c r="J56" s="444"/>
      <c r="K56" s="444"/>
      <c r="L56" s="445"/>
      <c r="M56" s="424" t="s">
        <v>129</v>
      </c>
    </row>
    <row r="57" spans="1:13">
      <c r="A57" s="425" t="s">
        <v>89</v>
      </c>
      <c r="B57" s="460">
        <v>-4.2327045999999999</v>
      </c>
      <c r="C57" s="428"/>
      <c r="D57" s="418">
        <v>0.20872343532408</v>
      </c>
      <c r="E57" s="419">
        <v>3</v>
      </c>
      <c r="F57" s="419">
        <v>210.5</v>
      </c>
      <c r="G57" s="420">
        <v>2.72</v>
      </c>
      <c r="H57" s="421">
        <f t="shared" si="0"/>
        <v>-4.0750000000000002</v>
      </c>
      <c r="I57" s="389"/>
      <c r="J57" s="446"/>
      <c r="K57" s="446"/>
      <c r="L57" s="447"/>
      <c r="M57" s="424" t="s">
        <v>130</v>
      </c>
    </row>
    <row r="58" spans="1:13">
      <c r="A58" s="435" t="s">
        <v>131</v>
      </c>
      <c r="B58" s="460">
        <v>-3.7507402999999999</v>
      </c>
      <c r="C58" s="436"/>
      <c r="D58" s="437">
        <v>0.12973190134165599</v>
      </c>
      <c r="E58" s="438">
        <v>3</v>
      </c>
      <c r="F58" s="419">
        <v>209.75</v>
      </c>
      <c r="G58" s="420">
        <v>3.37</v>
      </c>
      <c r="H58" s="421">
        <f t="shared" si="0"/>
        <v>-4.7175000000000002</v>
      </c>
      <c r="J58" s="421"/>
      <c r="K58" s="421"/>
      <c r="L58" s="421"/>
      <c r="M58" s="424" t="s">
        <v>132</v>
      </c>
    </row>
    <row r="59" spans="1:13">
      <c r="A59" s="415" t="s">
        <v>92</v>
      </c>
      <c r="B59" s="460">
        <v>-3.4693111999999999</v>
      </c>
      <c r="C59" s="428"/>
      <c r="D59" s="418">
        <v>0.14124198841117799</v>
      </c>
      <c r="E59" s="419">
        <v>3</v>
      </c>
      <c r="F59" s="419">
        <v>53.5</v>
      </c>
      <c r="G59" s="420">
        <v>3.43</v>
      </c>
      <c r="H59" s="421">
        <f t="shared" si="0"/>
        <v>-3.2150000000000003</v>
      </c>
      <c r="I59" s="448" t="s">
        <v>133</v>
      </c>
      <c r="J59" s="449">
        <v>8000</v>
      </c>
      <c r="K59" s="450"/>
      <c r="L59" s="421"/>
      <c r="M59" s="424" t="s">
        <v>134</v>
      </c>
    </row>
    <row r="60" spans="1:13">
      <c r="A60" s="415" t="s">
        <v>135</v>
      </c>
      <c r="B60" s="460">
        <v>-1.1711062000000001</v>
      </c>
      <c r="C60" s="428"/>
      <c r="D60" s="418">
        <v>0.170692818664089</v>
      </c>
      <c r="E60" s="419">
        <v>6</v>
      </c>
      <c r="F60" s="419">
        <v>270</v>
      </c>
      <c r="G60" s="420">
        <v>0.05</v>
      </c>
      <c r="H60" s="421">
        <f t="shared" si="0"/>
        <v>-2</v>
      </c>
      <c r="I60" s="448" t="s">
        <v>136</v>
      </c>
      <c r="J60" s="449">
        <v>1961</v>
      </c>
      <c r="K60" s="450"/>
      <c r="L60" s="421"/>
      <c r="M60" s="424" t="s">
        <v>137</v>
      </c>
    </row>
    <row r="61" spans="1:13">
      <c r="A61" s="425" t="s">
        <v>138</v>
      </c>
      <c r="B61" s="460">
        <v>-2.1437849999999998</v>
      </c>
      <c r="C61" s="428"/>
      <c r="D61" s="418">
        <v>0.206147596831632</v>
      </c>
      <c r="E61" s="419">
        <v>3</v>
      </c>
      <c r="F61" s="419">
        <v>143.75</v>
      </c>
      <c r="G61" s="420">
        <v>1.6</v>
      </c>
      <c r="H61" s="421">
        <f t="shared" si="0"/>
        <v>-2.2875000000000001</v>
      </c>
      <c r="I61" s="448" t="s">
        <v>139</v>
      </c>
      <c r="J61" s="451">
        <f>COUNTA(A23:A122)</f>
        <v>100</v>
      </c>
      <c r="K61" s="450"/>
      <c r="L61" s="421"/>
      <c r="M61" s="424" t="s">
        <v>140</v>
      </c>
    </row>
    <row r="62" spans="1:13">
      <c r="A62" s="415" t="s">
        <v>141</v>
      </c>
      <c r="B62" s="460">
        <v>-4.2636037</v>
      </c>
      <c r="C62" s="428"/>
      <c r="D62" s="418">
        <v>0.180214226227635</v>
      </c>
      <c r="E62" s="419">
        <v>5</v>
      </c>
      <c r="F62" s="419">
        <v>214.5</v>
      </c>
      <c r="G62" s="420">
        <v>3.61</v>
      </c>
      <c r="H62" s="421">
        <f t="shared" si="0"/>
        <v>-5.0049999999999999</v>
      </c>
      <c r="I62" s="421"/>
      <c r="J62" s="421"/>
      <c r="K62" s="421"/>
      <c r="L62" s="421"/>
      <c r="M62" s="424" t="s">
        <v>142</v>
      </c>
    </row>
    <row r="63" spans="1:13">
      <c r="A63" s="425" t="s">
        <v>143</v>
      </c>
      <c r="B63" s="460">
        <v>-4.5401635000000002</v>
      </c>
      <c r="C63" s="428"/>
      <c r="D63" s="418">
        <v>0.19225415374507401</v>
      </c>
      <c r="E63" s="419">
        <v>8</v>
      </c>
      <c r="F63" s="419">
        <v>255.3</v>
      </c>
      <c r="G63" s="420">
        <v>3.82</v>
      </c>
      <c r="H63" s="421">
        <f t="shared" si="0"/>
        <v>-5.6230000000000002</v>
      </c>
      <c r="I63" s="452" t="s">
        <v>144</v>
      </c>
      <c r="J63" s="433"/>
      <c r="K63" s="433"/>
      <c r="L63" s="434"/>
      <c r="M63" s="424" t="s">
        <v>145</v>
      </c>
    </row>
    <row r="64" spans="1:13">
      <c r="A64" s="425" t="s">
        <v>146</v>
      </c>
      <c r="B64" s="460">
        <v>-2.8291979999999999</v>
      </c>
      <c r="C64" s="428"/>
      <c r="D64" s="418">
        <v>0.17</v>
      </c>
      <c r="E64" s="419">
        <v>3</v>
      </c>
      <c r="F64" s="419">
        <v>189</v>
      </c>
      <c r="G64" s="420">
        <v>1.34</v>
      </c>
      <c r="H64" s="421">
        <f t="shared" si="0"/>
        <v>-2.4800000000000004</v>
      </c>
      <c r="I64" s="892" t="s">
        <v>953</v>
      </c>
      <c r="J64" s="893"/>
      <c r="K64" s="893"/>
      <c r="L64" s="894"/>
      <c r="M64" s="424" t="s">
        <v>148</v>
      </c>
    </row>
    <row r="65" spans="1:13">
      <c r="A65" s="425" t="s">
        <v>149</v>
      </c>
      <c r="B65" s="460">
        <v>-4.271744</v>
      </c>
      <c r="C65" s="428"/>
      <c r="D65" s="418">
        <v>0.19794493160510701</v>
      </c>
      <c r="E65" s="419">
        <v>4</v>
      </c>
      <c r="F65" s="419">
        <v>243.5</v>
      </c>
      <c r="G65" s="420">
        <v>1.34</v>
      </c>
      <c r="H65" s="421">
        <f t="shared" si="0"/>
        <v>-3.0250000000000004</v>
      </c>
      <c r="I65" s="895"/>
      <c r="J65" s="896"/>
      <c r="K65" s="896"/>
      <c r="L65" s="897"/>
      <c r="M65" s="424" t="s">
        <v>151</v>
      </c>
    </row>
    <row r="66" spans="1:13">
      <c r="A66" s="415" t="s">
        <v>95</v>
      </c>
      <c r="B66" s="460">
        <v>-2.8602401999999998</v>
      </c>
      <c r="C66" s="428"/>
      <c r="D66" s="418">
        <v>0.210560990742934</v>
      </c>
      <c r="E66" s="419">
        <v>3</v>
      </c>
      <c r="F66" s="419">
        <v>36.5</v>
      </c>
      <c r="G66" s="420">
        <v>2.74</v>
      </c>
      <c r="H66" s="421">
        <f t="shared" si="0"/>
        <v>-2.3550000000000004</v>
      </c>
      <c r="I66" s="895"/>
      <c r="J66" s="896"/>
      <c r="K66" s="896"/>
      <c r="L66" s="897"/>
      <c r="M66" s="424" t="s">
        <v>152</v>
      </c>
    </row>
    <row r="67" spans="1:13">
      <c r="A67" s="431" t="s">
        <v>153</v>
      </c>
      <c r="B67" s="460">
        <v>-4.1402907000000004</v>
      </c>
      <c r="C67" s="428"/>
      <c r="D67" s="418">
        <v>0.21092434073951899</v>
      </c>
      <c r="E67" s="419">
        <v>10</v>
      </c>
      <c r="F67" s="419">
        <v>186</v>
      </c>
      <c r="G67" s="420">
        <v>3.4</v>
      </c>
      <c r="H67" s="421">
        <f t="shared" si="0"/>
        <v>-4.51</v>
      </c>
      <c r="I67" s="895"/>
      <c r="J67" s="896"/>
      <c r="K67" s="896"/>
      <c r="L67" s="897"/>
      <c r="M67" s="424" t="s">
        <v>154</v>
      </c>
    </row>
    <row r="68" spans="1:13">
      <c r="A68" s="415" t="s">
        <v>98</v>
      </c>
      <c r="B68" s="460">
        <v>-3.3401296</v>
      </c>
      <c r="C68" s="428"/>
      <c r="D68" s="418">
        <v>0.18695478693957199</v>
      </c>
      <c r="E68" s="419">
        <v>3</v>
      </c>
      <c r="F68" s="419">
        <v>253</v>
      </c>
      <c r="G68" s="420">
        <v>2.35</v>
      </c>
      <c r="H68" s="421">
        <f t="shared" si="0"/>
        <v>-4.1300000000000008</v>
      </c>
      <c r="I68" s="895"/>
      <c r="J68" s="896"/>
      <c r="K68" s="896"/>
      <c r="L68" s="897"/>
      <c r="M68" s="424" t="s">
        <v>155</v>
      </c>
    </row>
    <row r="69" spans="1:13">
      <c r="A69" s="431" t="s">
        <v>156</v>
      </c>
      <c r="B69" s="460">
        <v>-4.2465997</v>
      </c>
      <c r="C69" s="428"/>
      <c r="D69" s="418">
        <v>0.20491085989689101</v>
      </c>
      <c r="E69" s="419">
        <v>23</v>
      </c>
      <c r="F69" s="419">
        <v>111</v>
      </c>
      <c r="G69" s="420">
        <v>3.68</v>
      </c>
      <c r="H69" s="421">
        <f t="shared" si="0"/>
        <v>-4.04</v>
      </c>
      <c r="I69" s="895"/>
      <c r="J69" s="896"/>
      <c r="K69" s="896"/>
      <c r="L69" s="897"/>
      <c r="M69" s="424" t="s">
        <v>157</v>
      </c>
    </row>
    <row r="70" spans="1:13">
      <c r="A70" s="415" t="s">
        <v>158</v>
      </c>
      <c r="B70" s="460">
        <v>-3.1193960000000001</v>
      </c>
      <c r="C70" s="428"/>
      <c r="D70" s="418">
        <v>0.15545016183846899</v>
      </c>
      <c r="E70" s="419">
        <v>6</v>
      </c>
      <c r="F70" s="419">
        <v>250</v>
      </c>
      <c r="G70" s="420">
        <v>-0.04</v>
      </c>
      <c r="H70" s="421">
        <f t="shared" si="0"/>
        <v>-1.71</v>
      </c>
      <c r="I70" s="895"/>
      <c r="J70" s="896"/>
      <c r="K70" s="896"/>
      <c r="L70" s="897"/>
      <c r="M70" s="424" t="s">
        <v>159</v>
      </c>
    </row>
    <row r="71" spans="1:13">
      <c r="A71" s="425" t="s">
        <v>160</v>
      </c>
      <c r="B71" s="460">
        <v>-1.3920192</v>
      </c>
      <c r="C71" s="428"/>
      <c r="D71" s="418">
        <v>0.13261436390895101</v>
      </c>
      <c r="E71" s="419">
        <v>3</v>
      </c>
      <c r="F71" s="419">
        <v>250</v>
      </c>
      <c r="G71" s="420">
        <v>-1.97</v>
      </c>
      <c r="H71" s="421">
        <f t="shared" si="0"/>
        <v>0.21999999999999975</v>
      </c>
      <c r="I71" s="895"/>
      <c r="J71" s="896"/>
      <c r="K71" s="896"/>
      <c r="L71" s="897"/>
      <c r="M71" s="424" t="s">
        <v>161</v>
      </c>
    </row>
    <row r="72" spans="1:13">
      <c r="A72" s="425" t="s">
        <v>162</v>
      </c>
      <c r="B72" s="460">
        <v>-3.7000244000000002</v>
      </c>
      <c r="C72" s="428"/>
      <c r="D72" s="418">
        <v>0.21159815676624999</v>
      </c>
      <c r="E72" s="419">
        <v>9</v>
      </c>
      <c r="F72" s="419">
        <v>208.5</v>
      </c>
      <c r="G72" s="420">
        <v>2.08</v>
      </c>
      <c r="H72" s="421">
        <f t="shared" si="0"/>
        <v>-3.415</v>
      </c>
      <c r="I72" s="895"/>
      <c r="J72" s="896"/>
      <c r="K72" s="896"/>
      <c r="L72" s="897"/>
      <c r="M72" s="424" t="s">
        <v>163</v>
      </c>
    </row>
    <row r="73" spans="1:13">
      <c r="A73" s="425" t="s">
        <v>164</v>
      </c>
      <c r="B73" s="460">
        <v>-4.4479375000000001</v>
      </c>
      <c r="C73" s="428"/>
      <c r="D73" s="418">
        <v>0.19001512437058701</v>
      </c>
      <c r="E73" s="419">
        <v>15</v>
      </c>
      <c r="F73" s="419">
        <v>220</v>
      </c>
      <c r="G73" s="420">
        <v>2.69</v>
      </c>
      <c r="H73" s="421">
        <f t="shared" si="0"/>
        <v>-4.1399999999999997</v>
      </c>
      <c r="I73" s="895"/>
      <c r="J73" s="896"/>
      <c r="K73" s="896"/>
      <c r="L73" s="897"/>
      <c r="M73" s="424" t="s">
        <v>165</v>
      </c>
    </row>
    <row r="74" spans="1:13">
      <c r="A74" s="425" t="s">
        <v>166</v>
      </c>
      <c r="B74" s="460">
        <v>-4.8431649999999999</v>
      </c>
      <c r="C74" s="428"/>
      <c r="D74" s="418">
        <v>0.169781830230266</v>
      </c>
      <c r="E74" s="419">
        <v>10</v>
      </c>
      <c r="F74" s="419">
        <v>151</v>
      </c>
      <c r="G74" s="420">
        <v>4.43</v>
      </c>
      <c r="H74" s="421">
        <f t="shared" si="0"/>
        <v>-5.1899999999999995</v>
      </c>
      <c r="I74" s="895"/>
      <c r="J74" s="896"/>
      <c r="K74" s="896"/>
      <c r="L74" s="897"/>
      <c r="M74" s="424" t="s">
        <v>167</v>
      </c>
    </row>
    <row r="75" spans="1:13">
      <c r="A75" s="431" t="s">
        <v>100</v>
      </c>
      <c r="B75" s="460">
        <v>-5.4868592999999999</v>
      </c>
      <c r="C75" s="428"/>
      <c r="D75" s="418">
        <v>0.19416214604145601</v>
      </c>
      <c r="E75" s="419">
        <v>7</v>
      </c>
      <c r="F75" s="419">
        <v>154.5</v>
      </c>
      <c r="G75" s="420">
        <v>4.22</v>
      </c>
      <c r="H75" s="421">
        <f t="shared" si="0"/>
        <v>-5.0149999999999997</v>
      </c>
      <c r="I75" s="895"/>
      <c r="J75" s="896"/>
      <c r="K75" s="896"/>
      <c r="L75" s="897"/>
      <c r="M75" s="424" t="s">
        <v>168</v>
      </c>
    </row>
    <row r="76" spans="1:13">
      <c r="A76" s="425" t="s">
        <v>169</v>
      </c>
      <c r="B76" s="460">
        <v>-2.9865558000000001</v>
      </c>
      <c r="C76" s="428"/>
      <c r="D76" s="418">
        <v>0.16048013551961601</v>
      </c>
      <c r="E76" s="419">
        <v>5</v>
      </c>
      <c r="F76" s="419">
        <v>167.75</v>
      </c>
      <c r="G76" s="420">
        <v>2.87</v>
      </c>
      <c r="H76" s="421">
        <f t="shared" si="0"/>
        <v>-3.7975000000000003</v>
      </c>
      <c r="I76" s="895"/>
      <c r="J76" s="896"/>
      <c r="K76" s="896"/>
      <c r="L76" s="897"/>
      <c r="M76" s="424" t="s">
        <v>170</v>
      </c>
    </row>
    <row r="77" spans="1:13">
      <c r="A77" s="435" t="s">
        <v>171</v>
      </c>
      <c r="B77" s="460">
        <v>-4.5622816000000004</v>
      </c>
      <c r="C77" s="436"/>
      <c r="D77" s="437">
        <v>0.22239504833634899</v>
      </c>
      <c r="E77" s="438">
        <v>21</v>
      </c>
      <c r="F77" s="419">
        <v>159</v>
      </c>
      <c r="G77" s="420">
        <v>3.93</v>
      </c>
      <c r="H77" s="421">
        <f t="shared" si="0"/>
        <v>-4.7700000000000005</v>
      </c>
      <c r="I77" s="895"/>
      <c r="J77" s="896"/>
      <c r="K77" s="896"/>
      <c r="L77" s="897"/>
      <c r="M77" s="424" t="s">
        <v>172</v>
      </c>
    </row>
    <row r="78" spans="1:13">
      <c r="A78" s="425" t="s">
        <v>173</v>
      </c>
      <c r="B78" s="460">
        <v>-3.2582955</v>
      </c>
      <c r="C78" s="428"/>
      <c r="D78" s="418">
        <v>0.21209434799218399</v>
      </c>
      <c r="E78" s="419">
        <v>5</v>
      </c>
      <c r="F78" s="419">
        <v>213.5</v>
      </c>
      <c r="G78" s="420">
        <v>3.04</v>
      </c>
      <c r="H78" s="421">
        <f t="shared" si="0"/>
        <v>-4.4249999999999998</v>
      </c>
      <c r="I78" s="895"/>
      <c r="J78" s="896"/>
      <c r="K78" s="896"/>
      <c r="L78" s="897"/>
      <c r="M78" s="424" t="s">
        <v>174</v>
      </c>
    </row>
    <row r="79" spans="1:13">
      <c r="A79" s="425" t="s">
        <v>175</v>
      </c>
      <c r="B79" s="460">
        <v>-4.9692544999999999</v>
      </c>
      <c r="C79" s="428"/>
      <c r="D79" s="418">
        <v>0.14072241564069299</v>
      </c>
      <c r="E79" s="419">
        <v>11</v>
      </c>
      <c r="F79" s="419">
        <v>146</v>
      </c>
      <c r="G79" s="420">
        <v>4.21</v>
      </c>
      <c r="H79" s="421">
        <f t="shared" si="0"/>
        <v>-4.92</v>
      </c>
      <c r="I79" s="895"/>
      <c r="J79" s="896"/>
      <c r="K79" s="896"/>
      <c r="L79" s="897"/>
      <c r="M79" s="424" t="s">
        <v>176</v>
      </c>
    </row>
    <row r="80" spans="1:13">
      <c r="A80" s="425" t="s">
        <v>177</v>
      </c>
      <c r="B80" s="460">
        <v>-3.2860640000000001</v>
      </c>
      <c r="C80" s="428"/>
      <c r="D80" s="418">
        <v>0.21748916450754399</v>
      </c>
      <c r="E80" s="419">
        <v>5</v>
      </c>
      <c r="F80" s="419">
        <v>92.3333333333333</v>
      </c>
      <c r="G80" s="420">
        <v>4.21</v>
      </c>
      <c r="H80" s="421">
        <f t="shared" si="0"/>
        <v>-4.3833333333333329</v>
      </c>
      <c r="I80" s="895"/>
      <c r="J80" s="896"/>
      <c r="K80" s="896"/>
      <c r="L80" s="897"/>
      <c r="M80" s="424" t="s">
        <v>178</v>
      </c>
    </row>
    <row r="81" spans="1:13">
      <c r="A81" s="415" t="s">
        <v>179</v>
      </c>
      <c r="B81" s="460">
        <v>-3.5023412999999999</v>
      </c>
      <c r="C81" s="428"/>
      <c r="D81" s="418">
        <v>0.20531013145176399</v>
      </c>
      <c r="E81" s="419">
        <v>8</v>
      </c>
      <c r="F81" s="419">
        <v>256</v>
      </c>
      <c r="G81" s="420">
        <v>2.71</v>
      </c>
      <c r="H81" s="421">
        <f t="shared" si="0"/>
        <v>-4.5199999999999996</v>
      </c>
      <c r="I81" s="895"/>
      <c r="J81" s="896"/>
      <c r="K81" s="896"/>
      <c r="L81" s="897"/>
      <c r="M81" s="424" t="s">
        <v>180</v>
      </c>
    </row>
    <row r="82" spans="1:13">
      <c r="A82" s="415" t="s">
        <v>181</v>
      </c>
      <c r="B82" s="460">
        <v>-4.5719905000000001</v>
      </c>
      <c r="C82" s="428"/>
      <c r="D82" s="418">
        <v>0.211767851422238</v>
      </c>
      <c r="E82" s="419">
        <v>3</v>
      </c>
      <c r="F82" s="419">
        <v>80</v>
      </c>
      <c r="G82" s="420">
        <v>3.37</v>
      </c>
      <c r="H82" s="421">
        <f t="shared" si="0"/>
        <v>-3.42</v>
      </c>
      <c r="I82" s="895"/>
      <c r="J82" s="896"/>
      <c r="K82" s="896"/>
      <c r="L82" s="897"/>
      <c r="M82" s="424" t="s">
        <v>182</v>
      </c>
    </row>
    <row r="83" spans="1:13">
      <c r="A83" s="415" t="s">
        <v>183</v>
      </c>
      <c r="B83" s="460">
        <v>-3.8520840000000001</v>
      </c>
      <c r="C83" s="428"/>
      <c r="D83" s="418">
        <v>0.16217657762412199</v>
      </c>
      <c r="E83" s="419">
        <v>17</v>
      </c>
      <c r="F83" s="419">
        <v>153</v>
      </c>
      <c r="G83" s="420">
        <v>3.04</v>
      </c>
      <c r="H83" s="421">
        <f t="shared" si="0"/>
        <v>-3.8200000000000003</v>
      </c>
      <c r="I83" s="895"/>
      <c r="J83" s="896"/>
      <c r="K83" s="896"/>
      <c r="L83" s="897"/>
      <c r="M83" s="424" t="s">
        <v>184</v>
      </c>
    </row>
    <row r="84" spans="1:13">
      <c r="A84" s="425" t="s">
        <v>185</v>
      </c>
      <c r="B84" s="460">
        <v>-4.7392779999999997</v>
      </c>
      <c r="C84" s="428"/>
      <c r="D84" s="418">
        <v>0.204488274966239</v>
      </c>
      <c r="E84" s="419">
        <v>3</v>
      </c>
      <c r="F84" s="419">
        <v>349.84</v>
      </c>
      <c r="G84" s="420">
        <v>4.75</v>
      </c>
      <c r="H84" s="421">
        <f t="shared" si="0"/>
        <v>-7.4984000000000002</v>
      </c>
      <c r="I84" s="895"/>
      <c r="J84" s="896"/>
      <c r="K84" s="896"/>
      <c r="L84" s="897"/>
      <c r="M84" s="424" t="s">
        <v>186</v>
      </c>
    </row>
    <row r="85" spans="1:13">
      <c r="A85" s="425" t="s">
        <v>187</v>
      </c>
      <c r="B85" s="460">
        <v>-3.6875266999999998</v>
      </c>
      <c r="C85" s="428"/>
      <c r="D85" s="418">
        <v>0.14358294446577699</v>
      </c>
      <c r="E85" s="419">
        <v>6</v>
      </c>
      <c r="F85" s="419">
        <v>248</v>
      </c>
      <c r="G85" s="420">
        <v>2.65</v>
      </c>
      <c r="H85" s="421">
        <f t="shared" si="0"/>
        <v>-4.38</v>
      </c>
      <c r="I85" s="895"/>
      <c r="J85" s="896"/>
      <c r="K85" s="896"/>
      <c r="L85" s="897"/>
      <c r="M85" s="424" t="s">
        <v>188</v>
      </c>
    </row>
    <row r="86" spans="1:13">
      <c r="A86" s="425" t="s">
        <v>189</v>
      </c>
      <c r="B86" s="460">
        <v>-3.8747558999999998</v>
      </c>
      <c r="C86" s="428"/>
      <c r="D86" s="418">
        <v>0.153840969889913</v>
      </c>
      <c r="E86" s="419">
        <v>11</v>
      </c>
      <c r="F86" s="419">
        <v>173</v>
      </c>
      <c r="G86" s="420">
        <v>2.1800000000000002</v>
      </c>
      <c r="H86" s="421">
        <f t="shared" si="0"/>
        <v>-3.16</v>
      </c>
      <c r="I86" s="895"/>
      <c r="J86" s="896"/>
      <c r="K86" s="896"/>
      <c r="L86" s="897"/>
      <c r="M86" s="424" t="s">
        <v>190</v>
      </c>
    </row>
    <row r="87" spans="1:13">
      <c r="A87" s="425" t="s">
        <v>191</v>
      </c>
      <c r="B87" s="460">
        <v>-4.0779959999999997</v>
      </c>
      <c r="C87" s="428"/>
      <c r="D87" s="418">
        <v>0.14176528631434901</v>
      </c>
      <c r="E87" s="419">
        <v>5</v>
      </c>
      <c r="F87" s="419">
        <v>143.75</v>
      </c>
      <c r="G87" s="420">
        <v>2.76</v>
      </c>
      <c r="H87" s="421">
        <f t="shared" ref="H87:H122" si="1">0.5-G87-0.01*(F87-25)</f>
        <v>-3.4474999999999998</v>
      </c>
      <c r="I87" s="895"/>
      <c r="J87" s="896"/>
      <c r="K87" s="896"/>
      <c r="L87" s="897"/>
      <c r="M87" s="424" t="s">
        <v>192</v>
      </c>
    </row>
    <row r="88" spans="1:13">
      <c r="A88" s="425" t="s">
        <v>193</v>
      </c>
      <c r="B88" s="460">
        <v>-2.6228988000000002</v>
      </c>
      <c r="C88" s="428"/>
      <c r="D88" s="418">
        <v>0.16213928191469301</v>
      </c>
      <c r="E88" s="419">
        <v>19</v>
      </c>
      <c r="F88" s="419">
        <v>220.5</v>
      </c>
      <c r="G88" s="420">
        <v>1.27</v>
      </c>
      <c r="H88" s="421">
        <f t="shared" si="1"/>
        <v>-2.7250000000000001</v>
      </c>
      <c r="I88" s="895"/>
      <c r="J88" s="896"/>
      <c r="K88" s="896"/>
      <c r="L88" s="897"/>
      <c r="M88" s="424" t="s">
        <v>194</v>
      </c>
    </row>
    <row r="89" spans="1:13">
      <c r="A89" s="425" t="s">
        <v>195</v>
      </c>
      <c r="B89" s="460">
        <v>-4.1497489999999999</v>
      </c>
      <c r="C89" s="428"/>
      <c r="D89" s="418">
        <v>0.16127920198135701</v>
      </c>
      <c r="E89" s="419">
        <v>5</v>
      </c>
      <c r="F89" s="419">
        <v>214</v>
      </c>
      <c r="G89" s="420">
        <v>3.83</v>
      </c>
      <c r="H89" s="421">
        <f t="shared" si="1"/>
        <v>-5.2200000000000006</v>
      </c>
      <c r="I89" s="895"/>
      <c r="J89" s="896"/>
      <c r="K89" s="896"/>
      <c r="L89" s="897"/>
      <c r="M89" s="424" t="s">
        <v>196</v>
      </c>
    </row>
    <row r="90" spans="1:13">
      <c r="A90" s="431" t="s">
        <v>197</v>
      </c>
      <c r="B90" s="460">
        <v>-4.0160070000000001</v>
      </c>
      <c r="C90" s="428"/>
      <c r="D90" s="418">
        <v>0.13869006117838001</v>
      </c>
      <c r="E90" s="419">
        <v>3</v>
      </c>
      <c r="F90" s="419">
        <v>176</v>
      </c>
      <c r="G90" s="420">
        <v>2.88</v>
      </c>
      <c r="H90" s="421">
        <f t="shared" si="1"/>
        <v>-3.8899999999999997</v>
      </c>
      <c r="I90" s="895"/>
      <c r="J90" s="896"/>
      <c r="K90" s="896"/>
      <c r="L90" s="897"/>
      <c r="M90" s="424" t="s">
        <v>198</v>
      </c>
    </row>
    <row r="91" spans="1:13">
      <c r="A91" s="442" t="s">
        <v>199</v>
      </c>
      <c r="B91" s="460">
        <v>-2.8552995000000001</v>
      </c>
      <c r="C91" s="436"/>
      <c r="D91" s="437">
        <v>0.12598340861886001</v>
      </c>
      <c r="E91" s="438">
        <v>14</v>
      </c>
      <c r="F91" s="419">
        <v>253.5</v>
      </c>
      <c r="G91" s="420">
        <v>1.54</v>
      </c>
      <c r="H91" s="421">
        <f t="shared" si="1"/>
        <v>-3.3250000000000002</v>
      </c>
      <c r="I91" s="895"/>
      <c r="J91" s="896"/>
      <c r="K91" s="896"/>
      <c r="L91" s="897"/>
      <c r="M91" s="424" t="s">
        <v>200</v>
      </c>
    </row>
    <row r="92" spans="1:13">
      <c r="A92" s="425" t="s">
        <v>201</v>
      </c>
      <c r="B92" s="460">
        <v>-4.3672395000000002</v>
      </c>
      <c r="C92" s="428"/>
      <c r="D92" s="418">
        <v>0.16504944177542499</v>
      </c>
      <c r="E92" s="419">
        <v>5</v>
      </c>
      <c r="F92" s="419">
        <v>205.5</v>
      </c>
      <c r="G92" s="420">
        <v>2.4500000000000002</v>
      </c>
      <c r="H92" s="421">
        <f t="shared" si="1"/>
        <v>-3.7549999999999999</v>
      </c>
      <c r="I92" s="895"/>
      <c r="J92" s="896"/>
      <c r="K92" s="896"/>
      <c r="L92" s="897"/>
      <c r="M92" s="424" t="s">
        <v>202</v>
      </c>
    </row>
    <row r="93" spans="1:13">
      <c r="A93" s="431" t="s">
        <v>203</v>
      </c>
      <c r="B93" s="460">
        <v>-4.4325539999999997</v>
      </c>
      <c r="C93" s="428"/>
      <c r="D93" s="418">
        <v>0.19426266518058299</v>
      </c>
      <c r="E93" s="419">
        <v>3</v>
      </c>
      <c r="F93" s="419">
        <v>96</v>
      </c>
      <c r="G93" s="420">
        <v>3.49</v>
      </c>
      <c r="H93" s="421">
        <f t="shared" si="1"/>
        <v>-3.7</v>
      </c>
      <c r="I93" s="895"/>
      <c r="J93" s="896"/>
      <c r="K93" s="896"/>
      <c r="L93" s="897"/>
      <c r="M93" s="424" t="s">
        <v>204</v>
      </c>
    </row>
    <row r="94" spans="1:13">
      <c r="A94" s="425" t="s">
        <v>205</v>
      </c>
      <c r="B94" s="460">
        <v>-5.2516746999999997</v>
      </c>
      <c r="C94" s="428"/>
      <c r="D94" s="418">
        <v>0.188943371497371</v>
      </c>
      <c r="E94" s="419">
        <v>12</v>
      </c>
      <c r="F94" s="419">
        <v>147.25</v>
      </c>
      <c r="G94" s="420">
        <v>3.86</v>
      </c>
      <c r="H94" s="421">
        <f t="shared" si="1"/>
        <v>-4.5824999999999996</v>
      </c>
      <c r="I94" s="895"/>
      <c r="J94" s="896"/>
      <c r="K94" s="896"/>
      <c r="L94" s="897"/>
      <c r="M94" s="424" t="s">
        <v>206</v>
      </c>
    </row>
    <row r="95" spans="1:13">
      <c r="A95" s="425" t="s">
        <v>207</v>
      </c>
      <c r="B95" s="460">
        <v>-4.2908043999999999</v>
      </c>
      <c r="C95" s="428"/>
      <c r="D95" s="418">
        <v>0.17391407185160301</v>
      </c>
      <c r="E95" s="419">
        <v>6</v>
      </c>
      <c r="F95" s="419">
        <v>97</v>
      </c>
      <c r="G95" s="420">
        <v>3.94</v>
      </c>
      <c r="H95" s="421">
        <f t="shared" si="1"/>
        <v>-4.16</v>
      </c>
      <c r="I95" s="895"/>
      <c r="J95" s="896"/>
      <c r="K95" s="896"/>
      <c r="L95" s="897"/>
      <c r="M95" s="424" t="s">
        <v>208</v>
      </c>
    </row>
    <row r="96" spans="1:13">
      <c r="A96" s="415" t="s">
        <v>209</v>
      </c>
      <c r="B96" s="460">
        <v>-2.4690249999999998</v>
      </c>
      <c r="C96" s="428"/>
      <c r="D96" s="418">
        <v>0.13764369691033701</v>
      </c>
      <c r="E96" s="419">
        <v>10</v>
      </c>
      <c r="F96" s="419">
        <v>134.5</v>
      </c>
      <c r="G96" s="420">
        <v>2.04</v>
      </c>
      <c r="H96" s="421">
        <f t="shared" si="1"/>
        <v>-2.6349999999999998</v>
      </c>
      <c r="I96" s="895"/>
      <c r="J96" s="896"/>
      <c r="K96" s="896"/>
      <c r="L96" s="897"/>
      <c r="M96" s="424" t="s">
        <v>210</v>
      </c>
    </row>
    <row r="97" spans="1:13">
      <c r="A97" s="425" t="s">
        <v>211</v>
      </c>
      <c r="B97" s="460">
        <v>-3.1204896</v>
      </c>
      <c r="C97" s="428"/>
      <c r="D97" s="418">
        <v>0.162457468885914</v>
      </c>
      <c r="E97" s="419">
        <v>7</v>
      </c>
      <c r="F97" s="419">
        <v>139</v>
      </c>
      <c r="G97" s="420">
        <v>2.66</v>
      </c>
      <c r="H97" s="421">
        <f t="shared" si="1"/>
        <v>-3.3000000000000003</v>
      </c>
      <c r="I97" s="895"/>
      <c r="J97" s="896"/>
      <c r="K97" s="896"/>
      <c r="L97" s="897"/>
      <c r="M97" s="424" t="s">
        <v>212</v>
      </c>
    </row>
    <row r="98" spans="1:13">
      <c r="A98" s="425" t="s">
        <v>213</v>
      </c>
      <c r="B98" s="460">
        <v>-1.6531503000000001</v>
      </c>
      <c r="C98" s="428"/>
      <c r="D98" s="418">
        <v>0.15322122505052199</v>
      </c>
      <c r="E98" s="419">
        <v>9</v>
      </c>
      <c r="F98" s="419">
        <v>170</v>
      </c>
      <c r="G98" s="420">
        <v>1.91</v>
      </c>
      <c r="H98" s="421">
        <f t="shared" si="1"/>
        <v>-2.86</v>
      </c>
      <c r="I98" s="895"/>
      <c r="J98" s="896"/>
      <c r="K98" s="896"/>
      <c r="L98" s="897"/>
      <c r="M98" s="424" t="s">
        <v>214</v>
      </c>
    </row>
    <row r="99" spans="1:13">
      <c r="A99" s="415" t="s">
        <v>215</v>
      </c>
      <c r="B99" s="460">
        <v>-2.0560657999999998</v>
      </c>
      <c r="C99" s="428"/>
      <c r="D99" s="418">
        <v>0.15273607916541099</v>
      </c>
      <c r="E99" s="419">
        <v>10</v>
      </c>
      <c r="F99" s="419">
        <v>326</v>
      </c>
      <c r="G99" s="420">
        <v>2.44</v>
      </c>
      <c r="H99" s="421">
        <f t="shared" si="1"/>
        <v>-4.95</v>
      </c>
      <c r="I99" s="895"/>
      <c r="J99" s="896"/>
      <c r="K99" s="896"/>
      <c r="L99" s="897"/>
      <c r="M99" s="424" t="s">
        <v>216</v>
      </c>
    </row>
    <row r="100" spans="1:13">
      <c r="A100" s="425" t="s">
        <v>217</v>
      </c>
      <c r="B100" s="460">
        <v>-3.7338355000000001</v>
      </c>
      <c r="C100" s="428"/>
      <c r="D100" s="418">
        <v>0.184047015121024</v>
      </c>
      <c r="E100" s="419">
        <v>5</v>
      </c>
      <c r="F100" s="419">
        <v>232.5</v>
      </c>
      <c r="G100" s="420">
        <v>1.8</v>
      </c>
      <c r="H100" s="421">
        <f t="shared" si="1"/>
        <v>-3.375</v>
      </c>
      <c r="I100" s="895"/>
      <c r="J100" s="896"/>
      <c r="K100" s="896"/>
      <c r="L100" s="897"/>
      <c r="M100" s="424" t="s">
        <v>218</v>
      </c>
    </row>
    <row r="101" spans="1:13">
      <c r="A101" s="425" t="s">
        <v>219</v>
      </c>
      <c r="B101" s="460">
        <v>-2.6213039999999999</v>
      </c>
      <c r="C101" s="428"/>
      <c r="D101" s="418">
        <v>0.13604063752604401</v>
      </c>
      <c r="E101" s="419">
        <v>4</v>
      </c>
      <c r="F101" s="419">
        <v>281.5</v>
      </c>
      <c r="G101" s="420">
        <v>0.54</v>
      </c>
      <c r="H101" s="421">
        <f t="shared" si="1"/>
        <v>-2.605</v>
      </c>
      <c r="I101" s="895"/>
      <c r="J101" s="896"/>
      <c r="K101" s="896"/>
      <c r="L101" s="897"/>
      <c r="M101" s="424" t="s">
        <v>220</v>
      </c>
    </row>
    <row r="102" spans="1:13">
      <c r="A102" s="425" t="s">
        <v>221</v>
      </c>
      <c r="B102" s="460">
        <v>-2.4236944</v>
      </c>
      <c r="C102" s="428"/>
      <c r="D102" s="418">
        <v>0.19798964803022501</v>
      </c>
      <c r="E102" s="419">
        <v>4</v>
      </c>
      <c r="F102" s="419">
        <v>197.1</v>
      </c>
      <c r="G102" s="420">
        <v>2.2000000000000002</v>
      </c>
      <c r="H102" s="421">
        <f t="shared" si="1"/>
        <v>-3.4210000000000003</v>
      </c>
      <c r="I102" s="895"/>
      <c r="J102" s="896"/>
      <c r="K102" s="896"/>
      <c r="L102" s="897"/>
      <c r="M102" s="424" t="s">
        <v>222</v>
      </c>
    </row>
    <row r="103" spans="1:13">
      <c r="A103" s="431" t="s">
        <v>223</v>
      </c>
      <c r="B103" s="460">
        <v>-3.0432231000000001</v>
      </c>
      <c r="C103" s="428"/>
      <c r="D103" s="418">
        <v>0.13486720020739101</v>
      </c>
      <c r="E103" s="419">
        <v>4</v>
      </c>
      <c r="F103" s="419">
        <v>33</v>
      </c>
      <c r="G103" s="420">
        <v>4.24</v>
      </c>
      <c r="H103" s="421">
        <f t="shared" si="1"/>
        <v>-3.8200000000000003</v>
      </c>
      <c r="I103" s="895"/>
      <c r="J103" s="896"/>
      <c r="K103" s="896"/>
      <c r="L103" s="897"/>
      <c r="M103" s="424" t="s">
        <v>224</v>
      </c>
    </row>
    <row r="104" spans="1:13">
      <c r="A104" s="425" t="s">
        <v>225</v>
      </c>
      <c r="B104" s="460">
        <v>-3.0778805999999999</v>
      </c>
      <c r="C104" s="428"/>
      <c r="D104" s="418">
        <v>0.188012747606043</v>
      </c>
      <c r="E104" s="419">
        <v>11</v>
      </c>
      <c r="F104" s="419">
        <v>60</v>
      </c>
      <c r="G104" s="420">
        <v>4.24</v>
      </c>
      <c r="H104" s="421">
        <f t="shared" si="1"/>
        <v>-4.09</v>
      </c>
      <c r="I104" s="895"/>
      <c r="J104" s="896"/>
      <c r="K104" s="896"/>
      <c r="L104" s="897"/>
      <c r="M104" s="424" t="s">
        <v>226</v>
      </c>
    </row>
    <row r="105" spans="1:13">
      <c r="A105" s="425" t="s">
        <v>227</v>
      </c>
      <c r="B105" s="460">
        <v>-4.5247010000000003</v>
      </c>
      <c r="C105" s="428"/>
      <c r="D105" s="418">
        <v>0.16640140742242099</v>
      </c>
      <c r="E105" s="419">
        <v>4</v>
      </c>
      <c r="F105" s="419">
        <v>130.5</v>
      </c>
      <c r="G105" s="420">
        <v>5.22</v>
      </c>
      <c r="H105" s="421">
        <f t="shared" si="1"/>
        <v>-5.7749999999999995</v>
      </c>
      <c r="I105" s="895"/>
      <c r="J105" s="896"/>
      <c r="K105" s="896"/>
      <c r="L105" s="897"/>
      <c r="M105" s="424" t="s">
        <v>228</v>
      </c>
    </row>
    <row r="106" spans="1:13">
      <c r="A106" s="431" t="s">
        <v>103</v>
      </c>
      <c r="B106" s="460">
        <v>-3.4854968</v>
      </c>
      <c r="C106" s="428"/>
      <c r="D106" s="418">
        <v>0.17506472136099999</v>
      </c>
      <c r="E106" s="419">
        <v>7</v>
      </c>
      <c r="F106" s="419">
        <v>254</v>
      </c>
      <c r="G106" s="420">
        <v>2.97</v>
      </c>
      <c r="H106" s="421">
        <f t="shared" si="1"/>
        <v>-4.76</v>
      </c>
      <c r="I106" s="895"/>
      <c r="J106" s="896"/>
      <c r="K106" s="896"/>
      <c r="L106" s="897"/>
      <c r="M106" s="424" t="s">
        <v>229</v>
      </c>
    </row>
    <row r="107" spans="1:13">
      <c r="A107" s="431" t="s">
        <v>230</v>
      </c>
      <c r="B107" s="460">
        <v>-5.286772</v>
      </c>
      <c r="C107" s="428"/>
      <c r="D107" s="418">
        <v>0.160541646006926</v>
      </c>
      <c r="E107" s="419">
        <v>5</v>
      </c>
      <c r="F107" s="419">
        <v>121</v>
      </c>
      <c r="G107" s="420">
        <v>5.91</v>
      </c>
      <c r="H107" s="421">
        <f t="shared" si="1"/>
        <v>-6.37</v>
      </c>
      <c r="I107" s="895"/>
      <c r="J107" s="896"/>
      <c r="K107" s="896"/>
      <c r="L107" s="897"/>
      <c r="M107" s="424" t="s">
        <v>231</v>
      </c>
    </row>
    <row r="108" spans="1:13">
      <c r="A108" s="425" t="s">
        <v>232</v>
      </c>
      <c r="B108" s="460">
        <v>-3.6434448000000001</v>
      </c>
      <c r="C108" s="428"/>
      <c r="D108" s="418">
        <v>0.15756984748208799</v>
      </c>
      <c r="E108" s="419">
        <v>5</v>
      </c>
      <c r="F108" s="419">
        <v>207</v>
      </c>
      <c r="G108" s="420">
        <v>2.56</v>
      </c>
      <c r="H108" s="421">
        <f t="shared" si="1"/>
        <v>-3.88</v>
      </c>
      <c r="I108" s="895"/>
      <c r="J108" s="896"/>
      <c r="K108" s="896"/>
      <c r="L108" s="897"/>
      <c r="M108" s="424" t="s">
        <v>233</v>
      </c>
    </row>
    <row r="109" spans="1:13">
      <c r="A109" s="415" t="s">
        <v>234</v>
      </c>
      <c r="B109" s="460">
        <v>-5.2774067000000002</v>
      </c>
      <c r="C109" s="428"/>
      <c r="D109" s="418">
        <v>0.161603623531796</v>
      </c>
      <c r="E109" s="419">
        <v>6</v>
      </c>
      <c r="F109" s="419">
        <v>134.5</v>
      </c>
      <c r="G109" s="420">
        <v>4.8499999999999996</v>
      </c>
      <c r="H109" s="421">
        <f t="shared" si="1"/>
        <v>-5.4449999999999994</v>
      </c>
      <c r="I109" s="895"/>
      <c r="J109" s="896"/>
      <c r="K109" s="896"/>
      <c r="L109" s="897"/>
      <c r="M109" s="424" t="s">
        <v>235</v>
      </c>
    </row>
    <row r="110" spans="1:13">
      <c r="A110" s="415" t="s">
        <v>236</v>
      </c>
      <c r="B110" s="460">
        <v>-3.1531055000000001</v>
      </c>
      <c r="C110" s="428"/>
      <c r="D110" s="418">
        <v>0.186857658276739</v>
      </c>
      <c r="E110" s="419">
        <v>6</v>
      </c>
      <c r="F110" s="419">
        <v>275</v>
      </c>
      <c r="G110" s="420">
        <v>2.09</v>
      </c>
      <c r="H110" s="421">
        <f t="shared" si="1"/>
        <v>-4.09</v>
      </c>
      <c r="I110" s="895"/>
      <c r="J110" s="896"/>
      <c r="K110" s="896"/>
      <c r="L110" s="897"/>
      <c r="M110" s="424" t="s">
        <v>237</v>
      </c>
    </row>
    <row r="111" spans="1:13">
      <c r="A111" s="425" t="s">
        <v>238</v>
      </c>
      <c r="B111" s="460">
        <v>-3.7330806000000001</v>
      </c>
      <c r="C111" s="428"/>
      <c r="D111" s="418">
        <v>0.13950112944748699</v>
      </c>
      <c r="E111" s="419">
        <v>9</v>
      </c>
      <c r="F111" s="419">
        <v>220</v>
      </c>
      <c r="G111" s="420">
        <v>1.8</v>
      </c>
      <c r="H111" s="421">
        <f t="shared" si="1"/>
        <v>-3.25</v>
      </c>
      <c r="I111" s="895"/>
      <c r="J111" s="896"/>
      <c r="K111" s="896"/>
      <c r="L111" s="897"/>
      <c r="M111" s="424" t="s">
        <v>239</v>
      </c>
    </row>
    <row r="112" spans="1:13">
      <c r="A112" s="442" t="s">
        <v>240</v>
      </c>
      <c r="B112" s="460">
        <v>-2.6897829999999998</v>
      </c>
      <c r="C112" s="436"/>
      <c r="D112" s="437">
        <v>0.22014005046870999</v>
      </c>
      <c r="E112" s="438">
        <v>9</v>
      </c>
      <c r="F112" s="419">
        <v>202</v>
      </c>
      <c r="G112" s="420">
        <v>1.53</v>
      </c>
      <c r="H112" s="421">
        <f t="shared" si="1"/>
        <v>-2.8</v>
      </c>
      <c r="I112" s="895"/>
      <c r="J112" s="896"/>
      <c r="K112" s="896"/>
      <c r="L112" s="897"/>
      <c r="M112" s="424" t="s">
        <v>241</v>
      </c>
    </row>
    <row r="113" spans="1:28">
      <c r="A113" s="425" t="s">
        <v>242</v>
      </c>
      <c r="B113" s="460">
        <v>-2.7227442000000002</v>
      </c>
      <c r="C113" s="428"/>
      <c r="D113" s="418">
        <v>0.140140838794855</v>
      </c>
      <c r="E113" s="419">
        <v>3</v>
      </c>
      <c r="F113" s="419">
        <v>243</v>
      </c>
      <c r="G113" s="420">
        <v>1.48</v>
      </c>
      <c r="H113" s="421">
        <f t="shared" si="1"/>
        <v>-3.16</v>
      </c>
      <c r="I113" s="895"/>
      <c r="J113" s="896"/>
      <c r="K113" s="896"/>
      <c r="L113" s="897"/>
      <c r="M113" s="424" t="s">
        <v>243</v>
      </c>
    </row>
    <row r="114" spans="1:28">
      <c r="A114" s="431" t="s">
        <v>244</v>
      </c>
      <c r="B114" s="460">
        <v>-2.6879878000000001</v>
      </c>
      <c r="C114" s="428"/>
      <c r="D114" s="418">
        <v>0.13726989684758001</v>
      </c>
      <c r="E114" s="419">
        <v>3</v>
      </c>
      <c r="F114" s="419">
        <v>191</v>
      </c>
      <c r="G114" s="420">
        <v>1.67</v>
      </c>
      <c r="H114" s="421">
        <f t="shared" si="1"/>
        <v>-2.83</v>
      </c>
      <c r="I114" s="895"/>
      <c r="J114" s="896"/>
      <c r="K114" s="896"/>
      <c r="L114" s="897"/>
      <c r="M114" s="424" t="s">
        <v>245</v>
      </c>
    </row>
    <row r="115" spans="1:28">
      <c r="A115" s="425" t="s">
        <v>246</v>
      </c>
      <c r="B115" s="460">
        <v>-5.2388554000000003</v>
      </c>
      <c r="C115" s="428"/>
      <c r="D115" s="418">
        <v>0.21357402153711499</v>
      </c>
      <c r="E115" s="419">
        <v>7</v>
      </c>
      <c r="F115" s="419">
        <v>183.5</v>
      </c>
      <c r="G115" s="420">
        <v>4.37</v>
      </c>
      <c r="H115" s="421">
        <f t="shared" si="1"/>
        <v>-5.4550000000000001</v>
      </c>
      <c r="I115" s="895"/>
      <c r="J115" s="896"/>
      <c r="K115" s="896"/>
      <c r="L115" s="897"/>
      <c r="M115" s="424" t="s">
        <v>247</v>
      </c>
    </row>
    <row r="116" spans="1:28">
      <c r="A116" s="425" t="s">
        <v>248</v>
      </c>
      <c r="B116" s="460">
        <v>-1.9428936000000001</v>
      </c>
      <c r="C116" s="428"/>
      <c r="D116" s="418">
        <v>0.105644111777479</v>
      </c>
      <c r="E116" s="419">
        <v>3</v>
      </c>
      <c r="F116" s="419">
        <v>149</v>
      </c>
      <c r="G116" s="420">
        <v>2.62</v>
      </c>
      <c r="H116" s="421">
        <f t="shared" si="1"/>
        <v>-3.3600000000000003</v>
      </c>
      <c r="I116" s="895"/>
      <c r="J116" s="896"/>
      <c r="K116" s="896"/>
      <c r="L116" s="897"/>
      <c r="M116" s="424" t="s">
        <v>249</v>
      </c>
    </row>
    <row r="117" spans="1:28">
      <c r="A117" s="415" t="s">
        <v>250</v>
      </c>
      <c r="B117" s="460">
        <v>-2.7972944000000002</v>
      </c>
      <c r="C117" s="428"/>
      <c r="D117" s="418">
        <v>0.14623917640453399</v>
      </c>
      <c r="E117" s="419">
        <v>8</v>
      </c>
      <c r="F117" s="419">
        <v>165</v>
      </c>
      <c r="G117" s="420">
        <v>-0.37</v>
      </c>
      <c r="H117" s="421">
        <f t="shared" si="1"/>
        <v>-0.53000000000000014</v>
      </c>
      <c r="I117" s="895"/>
      <c r="J117" s="896"/>
      <c r="K117" s="896"/>
      <c r="L117" s="897"/>
      <c r="M117" s="424" t="s">
        <v>251</v>
      </c>
    </row>
    <row r="118" spans="1:28">
      <c r="A118" s="425" t="s">
        <v>252</v>
      </c>
      <c r="B118" s="460">
        <v>-2.2850207999999999</v>
      </c>
      <c r="C118" s="428"/>
      <c r="D118" s="418">
        <v>0.16291639539032499</v>
      </c>
      <c r="E118" s="419">
        <v>10</v>
      </c>
      <c r="F118" s="419">
        <v>225</v>
      </c>
      <c r="G118" s="420">
        <v>0.81</v>
      </c>
      <c r="H118" s="421">
        <f t="shared" si="1"/>
        <v>-2.31</v>
      </c>
      <c r="I118" s="895"/>
      <c r="J118" s="896"/>
      <c r="K118" s="896"/>
      <c r="L118" s="897"/>
      <c r="M118" s="424" t="s">
        <v>253</v>
      </c>
    </row>
    <row r="119" spans="1:28">
      <c r="A119" s="425" t="s">
        <v>254</v>
      </c>
      <c r="B119" s="460">
        <v>-2.623262</v>
      </c>
      <c r="C119" s="428"/>
      <c r="D119" s="418">
        <v>0.211666473574778</v>
      </c>
      <c r="E119" s="419">
        <v>5</v>
      </c>
      <c r="F119" s="419">
        <v>270</v>
      </c>
      <c r="G119" s="420">
        <v>0.62</v>
      </c>
      <c r="H119" s="421">
        <f t="shared" si="1"/>
        <v>-2.5700000000000003</v>
      </c>
      <c r="I119" s="895"/>
      <c r="J119" s="896"/>
      <c r="K119" s="896"/>
      <c r="L119" s="897"/>
      <c r="M119" s="424" t="s">
        <v>255</v>
      </c>
    </row>
    <row r="120" spans="1:28">
      <c r="A120" s="415" t="s">
        <v>256</v>
      </c>
      <c r="B120" s="460">
        <v>-3.4579849999999999</v>
      </c>
      <c r="C120" s="428"/>
      <c r="D120" s="418">
        <v>0.14175650298978701</v>
      </c>
      <c r="E120" s="419">
        <v>9</v>
      </c>
      <c r="F120" s="419">
        <v>312.66666666666703</v>
      </c>
      <c r="G120" s="420">
        <v>0.83</v>
      </c>
      <c r="H120" s="421">
        <f t="shared" si="1"/>
        <v>-3.2066666666666706</v>
      </c>
      <c r="I120" s="895"/>
      <c r="J120" s="896"/>
      <c r="K120" s="896"/>
      <c r="L120" s="897"/>
      <c r="M120" s="424" t="s">
        <v>257</v>
      </c>
    </row>
    <row r="121" spans="1:28">
      <c r="A121" s="425" t="s">
        <v>258</v>
      </c>
      <c r="B121" s="460">
        <v>-3.9495287000000001</v>
      </c>
      <c r="C121" s="428"/>
      <c r="D121" s="418">
        <v>0.20346886353462401</v>
      </c>
      <c r="E121" s="419">
        <v>11</v>
      </c>
      <c r="F121" s="419">
        <v>161</v>
      </c>
      <c r="G121" s="420">
        <v>3.61</v>
      </c>
      <c r="H121" s="421">
        <f t="shared" si="1"/>
        <v>-4.47</v>
      </c>
      <c r="I121" s="895"/>
      <c r="J121" s="896"/>
      <c r="K121" s="896"/>
      <c r="L121" s="897"/>
      <c r="M121" s="424" t="s">
        <v>259</v>
      </c>
    </row>
    <row r="122" spans="1:28">
      <c r="A122" s="415" t="s">
        <v>109</v>
      </c>
      <c r="B122" s="460">
        <v>-2.4725084000000002</v>
      </c>
      <c r="C122" s="428"/>
      <c r="D122" s="418">
        <v>0.20579636821699801</v>
      </c>
      <c r="E122" s="419">
        <v>3</v>
      </c>
      <c r="F122" s="419">
        <v>300</v>
      </c>
      <c r="G122" s="420">
        <v>-1.06</v>
      </c>
      <c r="H122" s="421">
        <f t="shared" si="1"/>
        <v>-1.19</v>
      </c>
      <c r="I122" s="898"/>
      <c r="J122" s="899"/>
      <c r="K122" s="899"/>
      <c r="L122" s="900"/>
      <c r="M122" s="424" t="s">
        <v>260</v>
      </c>
    </row>
    <row r="123" spans="1:28">
      <c r="A123" s="424"/>
      <c r="C123" s="453" t="s">
        <v>261</v>
      </c>
      <c r="D123" s="454">
        <f>AVERAGE(D23:D122)</f>
        <v>0.17115851538193169</v>
      </c>
      <c r="E123" s="455"/>
      <c r="F123" s="456"/>
      <c r="G123" s="456"/>
      <c r="H123" s="457" t="s">
        <v>262</v>
      </c>
      <c r="I123" s="456"/>
      <c r="J123" s="420"/>
      <c r="K123" s="420"/>
      <c r="L123" s="420"/>
      <c r="M123" s="424"/>
    </row>
    <row r="124" spans="1:28">
      <c r="A124" s="424"/>
      <c r="C124" s="453" t="s">
        <v>263</v>
      </c>
      <c r="D124" s="454">
        <f>MIN(D23:D122)</f>
        <v>0.105644111777479</v>
      </c>
      <c r="E124" s="455"/>
      <c r="F124" s="456"/>
      <c r="G124" s="456"/>
      <c r="H124" s="457" t="s">
        <v>264</v>
      </c>
      <c r="I124" s="456"/>
      <c r="J124" s="420"/>
      <c r="K124" s="420"/>
      <c r="L124" s="420"/>
      <c r="M124" s="424"/>
    </row>
    <row r="125" spans="1:28">
      <c r="A125" s="424"/>
      <c r="C125" s="453" t="s">
        <v>265</v>
      </c>
      <c r="D125" s="454">
        <f>MAX(D23:D122)</f>
        <v>0.22239504833634899</v>
      </c>
      <c r="E125" s="455"/>
      <c r="F125" s="456"/>
      <c r="G125" s="456"/>
      <c r="H125" s="457"/>
      <c r="I125" s="456"/>
      <c r="J125" s="420"/>
      <c r="K125" s="420"/>
      <c r="L125" s="420"/>
      <c r="M125" s="424"/>
    </row>
    <row r="126" spans="1:28" s="372" customFormat="1">
      <c r="A126" s="458"/>
      <c r="B126" s="420"/>
      <c r="C126" s="420"/>
      <c r="D126" s="459"/>
      <c r="E126" s="420"/>
      <c r="F126" s="420"/>
      <c r="G126" s="420"/>
      <c r="H126" s="420"/>
      <c r="I126" s="420"/>
      <c r="J126" s="420"/>
      <c r="K126" s="420"/>
      <c r="L126" s="420"/>
      <c r="M126" s="424"/>
      <c r="N126" s="369"/>
      <c r="O126" s="369"/>
      <c r="P126" s="369"/>
      <c r="Q126" s="369"/>
      <c r="R126" s="369"/>
      <c r="S126" s="369"/>
      <c r="T126" s="369"/>
      <c r="U126" s="369"/>
      <c r="V126" s="369"/>
      <c r="W126" s="369"/>
      <c r="X126" s="369"/>
      <c r="Y126" s="369"/>
      <c r="Z126" s="369"/>
      <c r="AA126" s="369"/>
      <c r="AB126" s="369"/>
    </row>
    <row r="127" spans="1:28" s="406" customFormat="1" ht="32.25" customHeight="1" thickBot="1">
      <c r="A127" s="403" t="s">
        <v>927</v>
      </c>
      <c r="B127" s="459"/>
      <c r="C127" s="459"/>
      <c r="D127" s="459"/>
      <c r="E127" s="459"/>
      <c r="F127" s="459"/>
      <c r="G127" s="459"/>
      <c r="H127" s="459"/>
      <c r="I127" s="459"/>
      <c r="J127" s="459"/>
      <c r="K127" s="459"/>
      <c r="L127" s="459"/>
      <c r="M127" s="424"/>
      <c r="N127" s="372"/>
      <c r="O127" s="372"/>
      <c r="P127" s="372"/>
      <c r="Q127" s="372"/>
      <c r="R127" s="372"/>
      <c r="S127" s="372"/>
      <c r="T127" s="372"/>
      <c r="U127" s="372"/>
      <c r="V127" s="372"/>
      <c r="W127" s="372"/>
      <c r="X127" s="372"/>
      <c r="Y127" s="372"/>
      <c r="Z127" s="372"/>
      <c r="AA127" s="372"/>
      <c r="AB127" s="372"/>
    </row>
    <row r="128" spans="1:28" ht="43.5" customHeight="1" thickBot="1">
      <c r="A128" s="407" t="s">
        <v>18</v>
      </c>
      <c r="B128" s="408" t="s">
        <v>928</v>
      </c>
      <c r="C128" s="408" t="s">
        <v>921</v>
      </c>
      <c r="D128" s="408" t="s">
        <v>21</v>
      </c>
      <c r="E128" s="408" t="s">
        <v>22</v>
      </c>
      <c r="F128" s="408" t="s">
        <v>23</v>
      </c>
      <c r="G128" s="408" t="s">
        <v>922</v>
      </c>
      <c r="H128" s="408" t="s">
        <v>923</v>
      </c>
      <c r="I128" s="410"/>
      <c r="J128" s="411" t="s">
        <v>27</v>
      </c>
      <c r="K128" s="411"/>
      <c r="L128" s="411"/>
      <c r="M128" s="412" t="s">
        <v>28</v>
      </c>
      <c r="N128" s="413"/>
      <c r="O128" s="413"/>
      <c r="P128" s="413"/>
      <c r="Q128" s="413"/>
      <c r="R128" s="413"/>
      <c r="S128" s="413"/>
      <c r="T128" s="413"/>
      <c r="U128" s="413"/>
      <c r="V128" s="414"/>
      <c r="W128" s="406"/>
      <c r="X128" s="406"/>
      <c r="Y128" s="406"/>
      <c r="Z128" s="406"/>
      <c r="AA128" s="406"/>
      <c r="AB128" s="406"/>
    </row>
    <row r="129" spans="1:13">
      <c r="A129" s="425" t="s">
        <v>268</v>
      </c>
      <c r="B129" s="460">
        <v>-2.1092298</v>
      </c>
      <c r="C129" s="417" t="s">
        <v>30</v>
      </c>
      <c r="D129" s="418">
        <v>0.50033555401430196</v>
      </c>
      <c r="E129" s="419">
        <v>3</v>
      </c>
      <c r="F129" s="419">
        <v>180</v>
      </c>
      <c r="G129" s="461">
        <v>1.91</v>
      </c>
      <c r="H129" s="421">
        <f t="shared" ref="H129:H160" si="2">0.5-G129-0.01*(F129-25)</f>
        <v>-2.96</v>
      </c>
      <c r="I129" s="422" t="s">
        <v>31</v>
      </c>
      <c r="J129" s="423"/>
      <c r="K129" s="421"/>
      <c r="L129" s="421"/>
      <c r="M129" s="462" t="s">
        <v>269</v>
      </c>
    </row>
    <row r="130" spans="1:13">
      <c r="A130" s="425" t="s">
        <v>270</v>
      </c>
      <c r="B130" s="460">
        <v>-5.6529527000000002</v>
      </c>
      <c r="C130" s="417" t="s">
        <v>36</v>
      </c>
      <c r="D130" s="418">
        <v>0.5</v>
      </c>
      <c r="E130" s="420">
        <v>5</v>
      </c>
      <c r="F130" s="419">
        <v>156</v>
      </c>
      <c r="G130" s="461">
        <v>6.94</v>
      </c>
      <c r="H130" s="421">
        <f t="shared" si="2"/>
        <v>-7.75</v>
      </c>
      <c r="I130" s="422" t="s">
        <v>37</v>
      </c>
      <c r="J130" s="423"/>
      <c r="K130" s="421"/>
      <c r="L130" s="421"/>
      <c r="M130" s="462" t="s">
        <v>271</v>
      </c>
    </row>
    <row r="131" spans="1:13">
      <c r="A131" s="431" t="s">
        <v>272</v>
      </c>
      <c r="B131" s="460">
        <v>-4.1796036000000001</v>
      </c>
      <c r="C131" s="417" t="s">
        <v>41</v>
      </c>
      <c r="D131" s="418">
        <v>0.65309579002601004</v>
      </c>
      <c r="E131" s="419">
        <v>3</v>
      </c>
      <c r="F131" s="419">
        <v>208</v>
      </c>
      <c r="G131" s="461">
        <v>5.18</v>
      </c>
      <c r="H131" s="421">
        <f t="shared" si="2"/>
        <v>-6.51</v>
      </c>
      <c r="I131" s="422" t="s">
        <v>42</v>
      </c>
      <c r="J131" s="423"/>
      <c r="K131" s="421"/>
      <c r="L131" s="421"/>
      <c r="M131" s="462" t="s">
        <v>273</v>
      </c>
    </row>
    <row r="132" spans="1:13">
      <c r="A132" s="425" t="s">
        <v>274</v>
      </c>
      <c r="B132" s="460">
        <v>-1.3820497</v>
      </c>
      <c r="C132" s="417" t="s">
        <v>46</v>
      </c>
      <c r="D132" s="418">
        <v>0.59285217963150305</v>
      </c>
      <c r="E132" s="419">
        <v>3</v>
      </c>
      <c r="F132" s="419">
        <v>100</v>
      </c>
      <c r="G132" s="461">
        <v>2.37</v>
      </c>
      <c r="H132" s="421">
        <f t="shared" si="2"/>
        <v>-2.62</v>
      </c>
      <c r="I132" s="426" t="s">
        <v>47</v>
      </c>
      <c r="J132" s="427"/>
      <c r="K132" s="421"/>
      <c r="L132" s="421"/>
      <c r="M132" s="462" t="s">
        <v>275</v>
      </c>
    </row>
    <row r="133" spans="1:13">
      <c r="A133" s="425" t="s">
        <v>276</v>
      </c>
      <c r="B133" s="460">
        <v>-6.0364779999999998</v>
      </c>
      <c r="C133" s="417" t="s">
        <v>51</v>
      </c>
      <c r="D133" s="418">
        <v>0.51067901383936598</v>
      </c>
      <c r="E133" s="419">
        <v>5</v>
      </c>
      <c r="F133" s="419">
        <v>217</v>
      </c>
      <c r="G133" s="461">
        <v>3.19</v>
      </c>
      <c r="H133" s="421">
        <f t="shared" si="2"/>
        <v>-4.6099999999999994</v>
      </c>
      <c r="I133" s="426" t="s">
        <v>52</v>
      </c>
      <c r="J133" s="427"/>
      <c r="K133" s="421"/>
      <c r="L133" s="421"/>
      <c r="M133" s="462" t="s">
        <v>277</v>
      </c>
    </row>
    <row r="134" spans="1:13">
      <c r="A134" s="425" t="s">
        <v>278</v>
      </c>
      <c r="B134" s="460">
        <v>-5.5645566000000004</v>
      </c>
      <c r="C134" s="428"/>
      <c r="D134" s="418">
        <v>0.83065522865171404</v>
      </c>
      <c r="E134" s="419">
        <v>3</v>
      </c>
      <c r="F134" s="419">
        <v>209.5</v>
      </c>
      <c r="G134" s="461">
        <v>4.41</v>
      </c>
      <c r="H134" s="421">
        <f t="shared" si="2"/>
        <v>-5.7549999999999999</v>
      </c>
      <c r="I134" s="426" t="s">
        <v>56</v>
      </c>
      <c r="J134" s="427"/>
      <c r="K134" s="421"/>
      <c r="L134" s="421"/>
      <c r="M134" s="462" t="s">
        <v>279</v>
      </c>
    </row>
    <row r="135" spans="1:13">
      <c r="A135" s="425" t="s">
        <v>280</v>
      </c>
      <c r="B135" s="460">
        <v>-5.4673210000000001</v>
      </c>
      <c r="C135" s="428"/>
      <c r="D135" s="418">
        <v>0.51097181417141602</v>
      </c>
      <c r="E135" s="419">
        <v>6</v>
      </c>
      <c r="F135" s="419">
        <v>97.5</v>
      </c>
      <c r="G135" s="461">
        <v>5.19</v>
      </c>
      <c r="H135" s="421">
        <f t="shared" si="2"/>
        <v>-5.415</v>
      </c>
      <c r="I135" s="426" t="s">
        <v>60</v>
      </c>
      <c r="J135" s="429"/>
      <c r="K135" s="421"/>
      <c r="L135" s="421"/>
      <c r="M135" s="462" t="s">
        <v>281</v>
      </c>
    </row>
    <row r="136" spans="1:13" ht="28.25" customHeight="1">
      <c r="A136" s="415" t="s">
        <v>282</v>
      </c>
      <c r="B136" s="460">
        <v>-8.0572119999999998</v>
      </c>
      <c r="C136" s="428"/>
      <c r="D136" s="418">
        <v>0.92735432696895004</v>
      </c>
      <c r="E136" s="419">
        <v>5</v>
      </c>
      <c r="F136" s="419">
        <v>211</v>
      </c>
      <c r="G136" s="461">
        <v>7.49</v>
      </c>
      <c r="H136" s="421">
        <f t="shared" si="2"/>
        <v>-8.85</v>
      </c>
      <c r="I136" s="430" t="s">
        <v>64</v>
      </c>
      <c r="J136" s="889" t="s">
        <v>924</v>
      </c>
      <c r="K136" s="890"/>
      <c r="L136" s="891"/>
      <c r="M136" s="462" t="s">
        <v>283</v>
      </c>
    </row>
    <row r="137" spans="1:13">
      <c r="A137" s="425" t="s">
        <v>112</v>
      </c>
      <c r="B137" s="460">
        <v>-4.0459886000000003</v>
      </c>
      <c r="C137" s="428"/>
      <c r="D137" s="418">
        <v>0.68239272333923895</v>
      </c>
      <c r="E137" s="419">
        <v>3</v>
      </c>
      <c r="F137" s="419">
        <v>177</v>
      </c>
      <c r="G137" s="461">
        <v>3.37</v>
      </c>
      <c r="H137" s="421">
        <f t="shared" si="2"/>
        <v>-4.3900000000000006</v>
      </c>
      <c r="J137" s="421"/>
      <c r="K137" s="421"/>
      <c r="L137" s="421"/>
      <c r="M137" s="462" t="s">
        <v>284</v>
      </c>
    </row>
    <row r="138" spans="1:13">
      <c r="A138" s="425" t="s">
        <v>285</v>
      </c>
      <c r="B138" s="460">
        <v>-5.1702437000000003</v>
      </c>
      <c r="C138" s="428"/>
      <c r="D138" s="418">
        <v>0.520951861602862</v>
      </c>
      <c r="E138" s="419">
        <v>10</v>
      </c>
      <c r="F138" s="419">
        <v>228.6</v>
      </c>
      <c r="G138" s="461">
        <v>4.22</v>
      </c>
      <c r="H138" s="421">
        <f t="shared" si="2"/>
        <v>-5.7560000000000002</v>
      </c>
      <c r="I138" s="432" t="s">
        <v>286</v>
      </c>
      <c r="J138" s="433"/>
      <c r="K138" s="433"/>
      <c r="L138" s="434"/>
      <c r="M138" s="462" t="s">
        <v>287</v>
      </c>
    </row>
    <row r="139" spans="1:13">
      <c r="A139" s="415" t="s">
        <v>288</v>
      </c>
      <c r="B139" s="460">
        <v>-2.1938365000000002</v>
      </c>
      <c r="C139" s="428"/>
      <c r="D139" s="418">
        <v>0.53906642829149898</v>
      </c>
      <c r="E139" s="419">
        <v>3</v>
      </c>
      <c r="F139" s="419">
        <v>161.5</v>
      </c>
      <c r="G139" s="461">
        <v>-0.21</v>
      </c>
      <c r="H139" s="421">
        <f t="shared" si="2"/>
        <v>-0.65500000000000003</v>
      </c>
      <c r="I139" s="880" t="s">
        <v>925</v>
      </c>
      <c r="J139" s="881"/>
      <c r="K139" s="881"/>
      <c r="L139" s="882"/>
      <c r="M139" s="462" t="s">
        <v>289</v>
      </c>
    </row>
    <row r="140" spans="1:13">
      <c r="A140" s="415" t="s">
        <v>290</v>
      </c>
      <c r="B140" s="460">
        <v>-4.3656544999999998</v>
      </c>
      <c r="C140" s="428"/>
      <c r="D140" s="418">
        <v>0.56233984781338697</v>
      </c>
      <c r="E140" s="419">
        <v>11</v>
      </c>
      <c r="F140" s="419">
        <v>213.5</v>
      </c>
      <c r="G140" s="461">
        <v>3.04</v>
      </c>
      <c r="H140" s="421">
        <f t="shared" si="2"/>
        <v>-4.4249999999999998</v>
      </c>
      <c r="I140" s="883"/>
      <c r="J140" s="884"/>
      <c r="K140" s="884"/>
      <c r="L140" s="885"/>
      <c r="M140" s="462" t="s">
        <v>291</v>
      </c>
    </row>
    <row r="141" spans="1:13">
      <c r="A141" s="431" t="s">
        <v>292</v>
      </c>
      <c r="B141" s="460">
        <v>-2.9019330000000001</v>
      </c>
      <c r="C141" s="428"/>
      <c r="D141" s="418">
        <v>0.54710381306524802</v>
      </c>
      <c r="E141" s="419">
        <v>4</v>
      </c>
      <c r="F141" s="419">
        <v>168.5</v>
      </c>
      <c r="G141" s="461">
        <v>3.35</v>
      </c>
      <c r="H141" s="421">
        <f t="shared" si="2"/>
        <v>-4.2850000000000001</v>
      </c>
      <c r="I141" s="883"/>
      <c r="J141" s="884"/>
      <c r="K141" s="884"/>
      <c r="L141" s="885"/>
      <c r="M141" s="462" t="s">
        <v>293</v>
      </c>
    </row>
    <row r="142" spans="1:13">
      <c r="A142" s="415" t="s">
        <v>114</v>
      </c>
      <c r="B142" s="460">
        <v>-2.7310175999999999</v>
      </c>
      <c r="C142" s="428"/>
      <c r="D142" s="418">
        <v>0.54612637818466903</v>
      </c>
      <c r="E142" s="419">
        <v>3</v>
      </c>
      <c r="F142" s="439">
        <v>124.1</v>
      </c>
      <c r="G142" s="461">
        <v>2.81</v>
      </c>
      <c r="H142" s="421">
        <f t="shared" si="2"/>
        <v>-3.3010000000000002</v>
      </c>
      <c r="I142" s="883"/>
      <c r="J142" s="884"/>
      <c r="K142" s="884"/>
      <c r="L142" s="885"/>
      <c r="M142" s="462" t="s">
        <v>294</v>
      </c>
    </row>
    <row r="143" spans="1:13">
      <c r="A143" s="415" t="s">
        <v>295</v>
      </c>
      <c r="B143" s="460">
        <v>-5.9487753000000003</v>
      </c>
      <c r="C143" s="428"/>
      <c r="D143" s="418">
        <v>0.51160213896594597</v>
      </c>
      <c r="E143" s="419">
        <v>4</v>
      </c>
      <c r="F143" s="419">
        <v>165</v>
      </c>
      <c r="G143" s="461">
        <v>4.8899999999999997</v>
      </c>
      <c r="H143" s="421">
        <f t="shared" si="2"/>
        <v>-5.79</v>
      </c>
      <c r="I143" s="877"/>
      <c r="J143" s="878"/>
      <c r="K143" s="878"/>
      <c r="L143" s="879"/>
      <c r="M143" s="462" t="s">
        <v>296</v>
      </c>
    </row>
    <row r="144" spans="1:13">
      <c r="A144" s="415" t="s">
        <v>117</v>
      </c>
      <c r="B144" s="460">
        <v>-5.3951630000000002</v>
      </c>
      <c r="C144" s="428"/>
      <c r="D144" s="418">
        <v>0.65141515533308303</v>
      </c>
      <c r="E144" s="419">
        <v>4</v>
      </c>
      <c r="F144" s="419">
        <v>161.1</v>
      </c>
      <c r="G144" s="461">
        <v>4.76</v>
      </c>
      <c r="H144" s="421">
        <f t="shared" si="2"/>
        <v>-5.6209999999999996</v>
      </c>
      <c r="I144" s="877"/>
      <c r="J144" s="878"/>
      <c r="K144" s="878"/>
      <c r="L144" s="879"/>
      <c r="M144" s="462" t="s">
        <v>297</v>
      </c>
    </row>
    <row r="145" spans="1:28">
      <c r="A145" s="431" t="s">
        <v>298</v>
      </c>
      <c r="B145" s="460">
        <v>-3.0808016999999999</v>
      </c>
      <c r="C145" s="428"/>
      <c r="D145" s="418">
        <v>0.65883215509381898</v>
      </c>
      <c r="E145" s="419">
        <v>3</v>
      </c>
      <c r="F145" s="419">
        <v>155</v>
      </c>
      <c r="G145" s="461">
        <v>3.74</v>
      </c>
      <c r="H145" s="421">
        <f t="shared" si="2"/>
        <v>-4.54</v>
      </c>
      <c r="I145" s="877"/>
      <c r="J145" s="878"/>
      <c r="K145" s="878"/>
      <c r="L145" s="879"/>
      <c r="M145" s="462" t="s">
        <v>299</v>
      </c>
    </row>
    <row r="146" spans="1:28">
      <c r="A146" s="425" t="s">
        <v>300</v>
      </c>
      <c r="B146" s="460">
        <v>-7.9419674999999996</v>
      </c>
      <c r="C146" s="428"/>
      <c r="D146" s="418">
        <v>0.61400477095750305</v>
      </c>
      <c r="E146" s="419">
        <v>3</v>
      </c>
      <c r="F146" s="419">
        <v>165.4</v>
      </c>
      <c r="G146" s="461">
        <v>5.58</v>
      </c>
      <c r="H146" s="421">
        <f t="shared" si="2"/>
        <v>-6.484</v>
      </c>
      <c r="I146" s="441"/>
      <c r="J146" s="444"/>
      <c r="K146" s="444"/>
      <c r="L146" s="445"/>
      <c r="M146" s="462" t="s">
        <v>301</v>
      </c>
    </row>
    <row r="147" spans="1:28">
      <c r="A147" s="425" t="s">
        <v>302</v>
      </c>
      <c r="B147" s="460">
        <v>-6.8571799999999996</v>
      </c>
      <c r="C147" s="428"/>
      <c r="D147" s="418">
        <v>0.50406532001413296</v>
      </c>
      <c r="E147" s="419">
        <v>6</v>
      </c>
      <c r="F147" s="419">
        <v>161</v>
      </c>
      <c r="G147" s="461">
        <v>6.45</v>
      </c>
      <c r="H147" s="421">
        <f t="shared" si="2"/>
        <v>-7.3100000000000005</v>
      </c>
      <c r="I147" s="389"/>
      <c r="J147" s="446"/>
      <c r="K147" s="446"/>
      <c r="L147" s="447"/>
      <c r="M147" s="462" t="s">
        <v>303</v>
      </c>
    </row>
    <row r="148" spans="1:28">
      <c r="A148" s="425" t="s">
        <v>304</v>
      </c>
      <c r="B148" s="460">
        <v>-5.6346959999999999</v>
      </c>
      <c r="C148" s="428"/>
      <c r="D148" s="418">
        <v>0.75493366325441702</v>
      </c>
      <c r="E148" s="419">
        <v>4</v>
      </c>
      <c r="F148" s="419">
        <v>193.5</v>
      </c>
      <c r="G148" s="461">
        <v>5.41</v>
      </c>
      <c r="H148" s="421">
        <f t="shared" si="2"/>
        <v>-6.5950000000000006</v>
      </c>
      <c r="J148" s="421"/>
      <c r="K148" s="421"/>
      <c r="L148" s="421"/>
      <c r="M148" s="462" t="s">
        <v>305</v>
      </c>
    </row>
    <row r="149" spans="1:28">
      <c r="A149" s="425" t="s">
        <v>306</v>
      </c>
      <c r="B149" s="460">
        <v>-4.3429219999999997</v>
      </c>
      <c r="C149" s="428"/>
      <c r="D149" s="418">
        <v>0.500893580585972</v>
      </c>
      <c r="E149" s="419">
        <v>3</v>
      </c>
      <c r="F149" s="419">
        <v>156</v>
      </c>
      <c r="G149" s="461">
        <v>2.9</v>
      </c>
      <c r="H149" s="421">
        <f t="shared" si="2"/>
        <v>-3.71</v>
      </c>
      <c r="I149" s="448" t="s">
        <v>133</v>
      </c>
      <c r="J149" s="449">
        <v>8000</v>
      </c>
      <c r="K149" s="450"/>
      <c r="L149" s="421"/>
      <c r="M149" s="462" t="s">
        <v>307</v>
      </c>
    </row>
    <row r="150" spans="1:28">
      <c r="A150" s="431" t="s">
        <v>308</v>
      </c>
      <c r="B150" s="460">
        <v>-4.6023927000000002</v>
      </c>
      <c r="C150" s="428"/>
      <c r="D150" s="418">
        <v>0.65879843298663399</v>
      </c>
      <c r="E150" s="419">
        <v>4</v>
      </c>
      <c r="F150" s="419">
        <v>183.5</v>
      </c>
      <c r="G150" s="461">
        <v>3.16</v>
      </c>
      <c r="H150" s="421">
        <f t="shared" si="2"/>
        <v>-4.2450000000000001</v>
      </c>
      <c r="I150" s="448" t="s">
        <v>136</v>
      </c>
      <c r="J150" s="449">
        <v>1961</v>
      </c>
      <c r="K150" s="450"/>
      <c r="L150" s="421"/>
      <c r="M150" s="462" t="s">
        <v>309</v>
      </c>
    </row>
    <row r="151" spans="1:28">
      <c r="A151" s="431" t="s">
        <v>310</v>
      </c>
      <c r="B151" s="460">
        <v>-1.7520335</v>
      </c>
      <c r="C151" s="428"/>
      <c r="D151" s="418">
        <v>0.59871706042825701</v>
      </c>
      <c r="E151" s="419">
        <v>3</v>
      </c>
      <c r="F151" s="419">
        <v>61</v>
      </c>
      <c r="G151" s="461">
        <v>1.77</v>
      </c>
      <c r="H151" s="421">
        <f t="shared" si="2"/>
        <v>-1.63</v>
      </c>
      <c r="I151" s="448" t="s">
        <v>139</v>
      </c>
      <c r="J151" s="451">
        <f>COUNTA(A129:A160)</f>
        <v>32</v>
      </c>
      <c r="K151" s="450"/>
      <c r="L151" s="421"/>
      <c r="M151" s="462" t="s">
        <v>311</v>
      </c>
    </row>
    <row r="152" spans="1:28">
      <c r="A152" s="425" t="s">
        <v>312</v>
      </c>
      <c r="B152" s="460">
        <v>-3.5035962999999999</v>
      </c>
      <c r="C152" s="428"/>
      <c r="D152" s="418">
        <v>0.57115657899345496</v>
      </c>
      <c r="E152" s="419">
        <v>7</v>
      </c>
      <c r="F152" s="419">
        <v>177</v>
      </c>
      <c r="G152" s="461">
        <v>3.17</v>
      </c>
      <c r="H152" s="421">
        <f t="shared" si="2"/>
        <v>-4.1899999999999995</v>
      </c>
      <c r="I152" s="421"/>
      <c r="J152" s="421"/>
      <c r="K152" s="421"/>
      <c r="L152" s="421"/>
      <c r="M152" s="462" t="s">
        <v>313</v>
      </c>
    </row>
    <row r="153" spans="1:28">
      <c r="A153" s="415" t="s">
        <v>314</v>
      </c>
      <c r="B153" s="460">
        <v>-6.3311359999999999</v>
      </c>
      <c r="C153" s="428"/>
      <c r="D153" s="418">
        <v>0.55807775121880299</v>
      </c>
      <c r="E153" s="419">
        <v>6</v>
      </c>
      <c r="F153" s="419">
        <v>145</v>
      </c>
      <c r="G153" s="461">
        <v>6.08</v>
      </c>
      <c r="H153" s="421">
        <f t="shared" si="2"/>
        <v>-6.78</v>
      </c>
      <c r="I153" s="452" t="s">
        <v>144</v>
      </c>
      <c r="J153" s="433"/>
      <c r="K153" s="433"/>
      <c r="L153" s="434"/>
      <c r="M153" s="462" t="s">
        <v>315</v>
      </c>
    </row>
    <row r="154" spans="1:28">
      <c r="A154" s="415" t="s">
        <v>316</v>
      </c>
      <c r="B154" s="460">
        <v>-5.3299770000000004</v>
      </c>
      <c r="C154" s="428"/>
      <c r="D154" s="418">
        <v>0.66417698790166102</v>
      </c>
      <c r="E154" s="419">
        <v>3</v>
      </c>
      <c r="F154" s="439">
        <v>175.8</v>
      </c>
      <c r="G154" s="461">
        <v>4.62</v>
      </c>
      <c r="H154" s="421">
        <f t="shared" si="2"/>
        <v>-5.6280000000000001</v>
      </c>
      <c r="I154" s="880" t="s">
        <v>953</v>
      </c>
      <c r="J154" s="881"/>
      <c r="K154" s="881"/>
      <c r="L154" s="882"/>
      <c r="M154" s="462" t="s">
        <v>317</v>
      </c>
    </row>
    <row r="155" spans="1:28">
      <c r="A155" s="425" t="s">
        <v>318</v>
      </c>
      <c r="B155" s="460">
        <v>-5.6809405999999996</v>
      </c>
      <c r="C155" s="428"/>
      <c r="D155" s="418">
        <v>0.57716593661781801</v>
      </c>
      <c r="E155" s="419">
        <v>3</v>
      </c>
      <c r="F155" s="419">
        <v>349.84</v>
      </c>
      <c r="G155" s="461">
        <v>3.09</v>
      </c>
      <c r="H155" s="421">
        <f t="shared" si="2"/>
        <v>-5.8384</v>
      </c>
      <c r="I155" s="883"/>
      <c r="J155" s="884"/>
      <c r="K155" s="884"/>
      <c r="L155" s="885"/>
      <c r="M155" s="462" t="s">
        <v>319</v>
      </c>
    </row>
    <row r="156" spans="1:28">
      <c r="A156" s="431" t="s">
        <v>320</v>
      </c>
      <c r="B156" s="460">
        <v>-3.1163544999999999</v>
      </c>
      <c r="C156" s="428"/>
      <c r="D156" s="418">
        <v>0.70324590282883903</v>
      </c>
      <c r="E156" s="419">
        <v>3</v>
      </c>
      <c r="F156" s="419">
        <v>204</v>
      </c>
      <c r="G156" s="461">
        <v>0.88</v>
      </c>
      <c r="H156" s="421">
        <f t="shared" si="2"/>
        <v>-2.17</v>
      </c>
      <c r="I156" s="883"/>
      <c r="J156" s="884"/>
      <c r="K156" s="884"/>
      <c r="L156" s="885"/>
      <c r="M156" s="462" t="s">
        <v>321</v>
      </c>
    </row>
    <row r="157" spans="1:28">
      <c r="A157" s="425" t="s">
        <v>322</v>
      </c>
      <c r="B157" s="460">
        <v>-5.1332493000000001</v>
      </c>
      <c r="C157" s="428"/>
      <c r="D157" s="418">
        <v>0.72379035887947596</v>
      </c>
      <c r="E157" s="419">
        <v>7</v>
      </c>
      <c r="F157" s="419">
        <v>97.8</v>
      </c>
      <c r="G157" s="461">
        <v>6</v>
      </c>
      <c r="H157" s="421">
        <f t="shared" si="2"/>
        <v>-6.2279999999999998</v>
      </c>
      <c r="I157" s="883"/>
      <c r="J157" s="884"/>
      <c r="K157" s="884"/>
      <c r="L157" s="885"/>
      <c r="M157" s="462" t="s">
        <v>323</v>
      </c>
    </row>
    <row r="158" spans="1:28">
      <c r="A158" s="425" t="s">
        <v>324</v>
      </c>
      <c r="B158" s="460">
        <v>-7.3820623999999997</v>
      </c>
      <c r="C158" s="428"/>
      <c r="D158" s="418">
        <v>0.84033450922624497</v>
      </c>
      <c r="E158" s="419">
        <v>5</v>
      </c>
      <c r="F158" s="419">
        <v>262</v>
      </c>
      <c r="G158" s="461">
        <v>7.26</v>
      </c>
      <c r="H158" s="421">
        <f t="shared" si="2"/>
        <v>-9.129999999999999</v>
      </c>
      <c r="I158" s="883"/>
      <c r="J158" s="884"/>
      <c r="K158" s="884"/>
      <c r="L158" s="885"/>
      <c r="M158" s="462" t="s">
        <v>325</v>
      </c>
    </row>
    <row r="159" spans="1:28">
      <c r="A159" s="425" t="s">
        <v>326</v>
      </c>
      <c r="B159" s="460">
        <v>-5.2402344000000003</v>
      </c>
      <c r="C159" s="428"/>
      <c r="D159" s="418">
        <v>0.70969645885144095</v>
      </c>
      <c r="E159" s="419">
        <v>11</v>
      </c>
      <c r="F159" s="419">
        <v>149.6</v>
      </c>
      <c r="G159" s="461">
        <v>6.45</v>
      </c>
      <c r="H159" s="421">
        <f t="shared" si="2"/>
        <v>-7.1959999999999997</v>
      </c>
      <c r="I159" s="883"/>
      <c r="J159" s="884"/>
      <c r="K159" s="884"/>
      <c r="L159" s="885"/>
      <c r="M159" s="462" t="s">
        <v>327</v>
      </c>
    </row>
    <row r="160" spans="1:28" s="463" customFormat="1">
      <c r="A160" s="415" t="s">
        <v>328</v>
      </c>
      <c r="B160" s="460">
        <v>-3.6817690999999999</v>
      </c>
      <c r="C160" s="428"/>
      <c r="D160" s="418">
        <v>0.49644864464459898</v>
      </c>
      <c r="E160" s="419">
        <v>4</v>
      </c>
      <c r="F160" s="419">
        <v>304.5</v>
      </c>
      <c r="G160" s="461">
        <v>2.69</v>
      </c>
      <c r="H160" s="421">
        <f t="shared" si="2"/>
        <v>-4.9849999999999994</v>
      </c>
      <c r="I160" s="886"/>
      <c r="J160" s="887"/>
      <c r="K160" s="887"/>
      <c r="L160" s="888"/>
      <c r="M160" s="462" t="s">
        <v>329</v>
      </c>
      <c r="N160" s="369"/>
      <c r="O160" s="369"/>
      <c r="P160" s="369"/>
      <c r="Q160" s="369"/>
      <c r="R160" s="369"/>
      <c r="S160" s="369"/>
      <c r="T160" s="369"/>
      <c r="U160" s="369"/>
      <c r="V160" s="369"/>
      <c r="W160" s="369"/>
      <c r="X160" s="369"/>
      <c r="Y160" s="369"/>
      <c r="Z160" s="369"/>
      <c r="AA160" s="369"/>
      <c r="AB160" s="369"/>
    </row>
    <row r="161" spans="1:28">
      <c r="A161" s="463"/>
      <c r="B161" s="463"/>
      <c r="C161" s="453" t="s">
        <v>261</v>
      </c>
      <c r="D161" s="454">
        <f>AVERAGE(D129:D160)</f>
        <v>0.61629001144944584</v>
      </c>
      <c r="E161" s="463"/>
      <c r="F161" s="463"/>
      <c r="G161" s="463"/>
      <c r="H161" s="457" t="s">
        <v>262</v>
      </c>
      <c r="I161" s="464"/>
      <c r="J161" s="464"/>
      <c r="K161" s="464"/>
      <c r="L161" s="464"/>
      <c r="M161" s="402"/>
      <c r="N161" s="463"/>
      <c r="O161" s="463"/>
      <c r="P161" s="463"/>
      <c r="Q161" s="463"/>
      <c r="R161" s="463"/>
      <c r="S161" s="463"/>
      <c r="T161" s="463"/>
      <c r="U161" s="463"/>
      <c r="V161" s="463"/>
      <c r="W161" s="463"/>
      <c r="X161" s="463"/>
      <c r="Y161" s="463"/>
      <c r="Z161" s="463"/>
      <c r="AA161" s="463"/>
      <c r="AB161" s="463"/>
    </row>
    <row r="162" spans="1:28">
      <c r="A162" s="424"/>
      <c r="C162" s="453" t="s">
        <v>263</v>
      </c>
      <c r="D162" s="454">
        <f>MIN(D129:D160)</f>
        <v>0.49644864464459898</v>
      </c>
      <c r="E162" s="455"/>
      <c r="F162" s="456"/>
      <c r="G162" s="456"/>
      <c r="H162" s="457" t="s">
        <v>330</v>
      </c>
      <c r="I162" s="456"/>
      <c r="J162" s="420"/>
      <c r="K162" s="420"/>
      <c r="L162" s="420"/>
      <c r="M162" s="424"/>
    </row>
    <row r="163" spans="1:28">
      <c r="A163" s="424"/>
      <c r="C163" s="453" t="s">
        <v>265</v>
      </c>
      <c r="D163" s="454">
        <f>MAX(D129:D160)</f>
        <v>0.92735432696895004</v>
      </c>
      <c r="E163" s="455"/>
      <c r="F163" s="456"/>
      <c r="G163" s="456"/>
      <c r="H163" s="457"/>
      <c r="I163" s="456"/>
      <c r="J163" s="420"/>
      <c r="K163" s="420"/>
      <c r="L163" s="420"/>
      <c r="M163" s="424"/>
    </row>
    <row r="165" spans="1:28">
      <c r="A165" s="369" t="s">
        <v>929</v>
      </c>
    </row>
    <row r="166" spans="1:28">
      <c r="A166" s="369" t="s">
        <v>332</v>
      </c>
    </row>
    <row r="168" spans="1:28">
      <c r="A168" s="369" t="s">
        <v>333</v>
      </c>
    </row>
    <row r="169" spans="1:28">
      <c r="A169" s="369" t="s">
        <v>930</v>
      </c>
    </row>
    <row r="170" spans="1:28" ht="15.75" customHeight="1"/>
    <row r="171" spans="1:28" s="372" customFormat="1" ht="19">
      <c r="A171" s="465" t="s">
        <v>335</v>
      </c>
    </row>
    <row r="172" spans="1:28" s="372" customFormat="1" ht="18">
      <c r="A172" s="466" t="s">
        <v>931</v>
      </c>
    </row>
    <row r="173" spans="1:28" s="372" customFormat="1" ht="16">
      <c r="A173" s="466" t="s">
        <v>932</v>
      </c>
    </row>
    <row r="174" spans="1:28" s="372" customFormat="1">
      <c r="A174" s="467" t="s">
        <v>933</v>
      </c>
    </row>
    <row r="175" spans="1:28" s="372" customFormat="1">
      <c r="A175" s="468" t="s">
        <v>934</v>
      </c>
    </row>
    <row r="176" spans="1:28" s="372" customFormat="1">
      <c r="A176" s="469" t="s">
        <v>935</v>
      </c>
    </row>
    <row r="177" spans="1:1" s="372" customFormat="1">
      <c r="A177" s="372" t="s">
        <v>936</v>
      </c>
    </row>
    <row r="178" spans="1:1" s="372" customFormat="1">
      <c r="A178" s="470" t="s">
        <v>937</v>
      </c>
    </row>
    <row r="179" spans="1:1" s="372" customFormat="1">
      <c r="A179" s="372" t="s">
        <v>938</v>
      </c>
    </row>
    <row r="180" spans="1:1" s="372" customFormat="1">
      <c r="A180" s="471" t="s">
        <v>939</v>
      </c>
    </row>
    <row r="181" spans="1:1" s="372" customFormat="1">
      <c r="A181" s="372" t="s">
        <v>940</v>
      </c>
    </row>
    <row r="182" spans="1:1" s="372" customFormat="1">
      <c r="A182" s="372" t="s">
        <v>941</v>
      </c>
    </row>
    <row r="183" spans="1:1" s="372" customFormat="1">
      <c r="A183" s="472" t="s">
        <v>942</v>
      </c>
    </row>
    <row r="184" spans="1:1" s="372" customFormat="1">
      <c r="A184" s="472" t="s">
        <v>943</v>
      </c>
    </row>
    <row r="185" spans="1:1" s="372" customFormat="1">
      <c r="A185" s="372" t="s">
        <v>944</v>
      </c>
    </row>
    <row r="186" spans="1:1" s="372" customFormat="1">
      <c r="A186" s="372" t="s">
        <v>945</v>
      </c>
    </row>
    <row r="187" spans="1:1" s="372" customFormat="1">
      <c r="A187" s="470" t="s">
        <v>946</v>
      </c>
    </row>
    <row r="188" spans="1:1" s="372" customFormat="1">
      <c r="A188" s="470" t="s">
        <v>947</v>
      </c>
    </row>
    <row r="189" spans="1:1" s="372" customFormat="1">
      <c r="A189" s="471" t="s">
        <v>948</v>
      </c>
    </row>
    <row r="190" spans="1:1" s="372" customFormat="1">
      <c r="A190" s="470" t="s">
        <v>949</v>
      </c>
    </row>
    <row r="191" spans="1:1" s="372" customFormat="1">
      <c r="A191" s="372" t="s">
        <v>950</v>
      </c>
    </row>
    <row r="192" spans="1:1" s="372" customFormat="1"/>
    <row r="193" spans="1:17">
      <c r="A193" s="473" t="s">
        <v>951</v>
      </c>
    </row>
    <row r="194" spans="1:17">
      <c r="A194" s="380" t="s">
        <v>952</v>
      </c>
      <c r="B194" s="381"/>
      <c r="C194" s="381"/>
      <c r="D194" s="381"/>
      <c r="E194" s="381"/>
      <c r="F194" s="381"/>
      <c r="G194" s="381"/>
      <c r="H194" s="381"/>
      <c r="I194" s="381"/>
      <c r="J194" s="381"/>
      <c r="K194" s="381"/>
      <c r="L194" s="381"/>
      <c r="M194" s="382"/>
      <c r="N194" s="381"/>
      <c r="O194" s="381"/>
      <c r="P194" s="381"/>
      <c r="Q194" s="383"/>
    </row>
  </sheetData>
  <mergeCells count="8">
    <mergeCell ref="I143:L145"/>
    <mergeCell ref="I154:L160"/>
    <mergeCell ref="J30:L30"/>
    <mergeCell ref="I33:L36"/>
    <mergeCell ref="I37:L39"/>
    <mergeCell ref="I64:L122"/>
    <mergeCell ref="J136:L136"/>
    <mergeCell ref="I139:L142"/>
  </mergeCells>
  <pageMargins left="0" right="0" top="0" bottom="0" header="0.3" footer="0.3"/>
  <pageSetup scale="54"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E45E4-420F-4009-BDF4-C993FA505682}">
  <dimension ref="A1:AB194"/>
  <sheetViews>
    <sheetView zoomScale="147" zoomScaleNormal="147" workbookViewId="0">
      <selection activeCell="B4" sqref="B4:B9"/>
    </sheetView>
  </sheetViews>
  <sheetFormatPr baseColWidth="10" defaultColWidth="9.1640625" defaultRowHeight="15"/>
  <cols>
    <col min="1" max="1" width="18.6640625" customWidth="1"/>
    <col min="2" max="3" width="11.33203125" customWidth="1"/>
    <col min="4" max="5" width="7.6640625" customWidth="1"/>
    <col min="6" max="6" width="10.1640625" customWidth="1"/>
    <col min="7" max="7" width="11.5" customWidth="1"/>
    <col min="9" max="9" width="13.1640625" customWidth="1"/>
    <col min="10" max="10" width="4.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474"/>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t="s">
        <v>32</v>
      </c>
      <c r="C14" t="s">
        <v>11</v>
      </c>
    </row>
    <row r="15" spans="1:25" s="90" customFormat="1">
      <c r="A15" s="89" t="s">
        <v>12</v>
      </c>
    </row>
    <row r="16" spans="1:25">
      <c r="B16" s="117"/>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s="475">
        <v>-1050</v>
      </c>
      <c r="C23" s="73" t="s">
        <v>30</v>
      </c>
      <c r="D23" s="12">
        <v>0.17592262140645501</v>
      </c>
      <c r="E23" s="10">
        <v>11</v>
      </c>
      <c r="F23" s="10">
        <v>258.5</v>
      </c>
      <c r="G23" s="6">
        <v>-0.86</v>
      </c>
      <c r="H23" s="14">
        <f t="shared" ref="H23:H86" si="0">0.5-G23-0.01*(F23-25)</f>
        <v>-0.97500000000000009</v>
      </c>
      <c r="I23" s="53" t="s">
        <v>31</v>
      </c>
      <c r="J23" s="54"/>
      <c r="K23" s="14"/>
      <c r="L23" s="14"/>
      <c r="M23" s="11" t="s">
        <v>33</v>
      </c>
    </row>
    <row r="24" spans="1:28">
      <c r="A24" s="82" t="s">
        <v>35</v>
      </c>
      <c r="B24" s="476">
        <v>-2157</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s="476">
        <v>-2671</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s="476">
        <v>-3761</v>
      </c>
      <c r="C26" s="73" t="s">
        <v>46</v>
      </c>
      <c r="D26" s="12">
        <v>0.16999222507469616</v>
      </c>
      <c r="E26" s="10">
        <v>3</v>
      </c>
      <c r="F26" s="10">
        <v>234</v>
      </c>
      <c r="G26" s="6">
        <v>3.19</v>
      </c>
      <c r="H26" s="14">
        <f t="shared" si="0"/>
        <v>-4.7799999999999994</v>
      </c>
      <c r="I26" s="15" t="s">
        <v>47</v>
      </c>
      <c r="J26" s="29" t="s">
        <v>32</v>
      </c>
      <c r="K26" s="14"/>
      <c r="L26" s="14"/>
      <c r="M26" s="11" t="s">
        <v>48</v>
      </c>
    </row>
    <row r="27" spans="1:28">
      <c r="A27" s="82" t="s">
        <v>50</v>
      </c>
      <c r="B27" s="476">
        <v>-5258</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s="476">
        <v>-6249</v>
      </c>
      <c r="C28" s="71"/>
      <c r="D28" s="12">
        <v>0.18412396392404196</v>
      </c>
      <c r="E28" s="10">
        <v>3</v>
      </c>
      <c r="F28" s="10">
        <v>224.00000000000003</v>
      </c>
      <c r="G28" s="6">
        <v>5.51</v>
      </c>
      <c r="H28" s="14">
        <f t="shared" si="0"/>
        <v>-7</v>
      </c>
      <c r="I28" s="15" t="s">
        <v>56</v>
      </c>
      <c r="J28" s="29"/>
      <c r="K28" s="14"/>
      <c r="L28" s="14"/>
      <c r="M28" s="11" t="s">
        <v>57</v>
      </c>
    </row>
    <row r="29" spans="1:28">
      <c r="A29" s="81" t="s">
        <v>59</v>
      </c>
      <c r="B29" s="476">
        <v>-1295</v>
      </c>
      <c r="C29" s="71"/>
      <c r="D29" s="12">
        <v>0.14933733874523175</v>
      </c>
      <c r="E29" s="10">
        <v>6</v>
      </c>
      <c r="F29" s="10">
        <v>172.5</v>
      </c>
      <c r="G29" s="6">
        <v>1.78</v>
      </c>
      <c r="H29" s="14">
        <f t="shared" si="0"/>
        <v>-2.7549999999999999</v>
      </c>
      <c r="I29" s="15" t="s">
        <v>60</v>
      </c>
      <c r="J29" s="31"/>
      <c r="K29" s="14"/>
      <c r="L29" s="14"/>
      <c r="M29" s="11" t="s">
        <v>61</v>
      </c>
    </row>
    <row r="30" spans="1:28">
      <c r="A30" s="81" t="s">
        <v>63</v>
      </c>
      <c r="B30" s="476">
        <v>-1568</v>
      </c>
      <c r="C30" s="71"/>
      <c r="D30" s="12">
        <v>0.14842266063120066</v>
      </c>
      <c r="E30" s="10">
        <v>4</v>
      </c>
      <c r="F30" s="10">
        <v>207.50000000000003</v>
      </c>
      <c r="G30" s="6">
        <v>1.86</v>
      </c>
      <c r="H30" s="14">
        <f t="shared" si="0"/>
        <v>-3.1850000000000005</v>
      </c>
      <c r="I30" s="30" t="s">
        <v>64</v>
      </c>
      <c r="J30" s="123"/>
      <c r="K30" s="33"/>
      <c r="L30" s="34"/>
      <c r="M30" s="11" t="s">
        <v>65</v>
      </c>
    </row>
    <row r="31" spans="1:28">
      <c r="A31" s="83" t="s">
        <v>66</v>
      </c>
      <c r="B31" s="476">
        <v>-1717</v>
      </c>
      <c r="C31" s="71"/>
      <c r="D31" s="12">
        <v>0.1617973106900604</v>
      </c>
      <c r="E31" s="10">
        <v>10</v>
      </c>
      <c r="F31" s="10">
        <v>166.5</v>
      </c>
      <c r="G31" s="6">
        <v>0.79</v>
      </c>
      <c r="H31" s="14">
        <f t="shared" si="0"/>
        <v>-1.7050000000000001</v>
      </c>
      <c r="J31" s="14"/>
      <c r="K31" s="14"/>
      <c r="L31" s="14"/>
      <c r="M31" s="11" t="s">
        <v>67</v>
      </c>
    </row>
    <row r="32" spans="1:28">
      <c r="A32" s="82" t="s">
        <v>68</v>
      </c>
      <c r="B32" s="476">
        <v>-4488</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s="476">
        <v>-3036</v>
      </c>
      <c r="C33" s="72"/>
      <c r="D33" s="4">
        <v>0.12912520605069597</v>
      </c>
      <c r="E33" s="2">
        <v>3</v>
      </c>
      <c r="F33" s="13">
        <v>192.7</v>
      </c>
      <c r="G33" s="6">
        <v>2.63</v>
      </c>
      <c r="H33" s="14">
        <f t="shared" si="0"/>
        <v>-3.8069999999999995</v>
      </c>
      <c r="I33" s="477" t="s">
        <v>954</v>
      </c>
      <c r="J33" s="21"/>
      <c r="K33" s="21"/>
      <c r="L33" s="22"/>
      <c r="M33" s="11" t="s">
        <v>72</v>
      </c>
    </row>
    <row r="34" spans="1:13">
      <c r="A34" s="81" t="s">
        <v>74</v>
      </c>
      <c r="B34" s="476">
        <v>-6947</v>
      </c>
      <c r="C34" s="71"/>
      <c r="D34" s="12">
        <v>0.14911462098310888</v>
      </c>
      <c r="E34" s="10">
        <v>6</v>
      </c>
      <c r="F34" s="10">
        <v>167</v>
      </c>
      <c r="G34" s="6">
        <v>6.32</v>
      </c>
      <c r="H34" s="14">
        <f t="shared" si="0"/>
        <v>-7.24</v>
      </c>
      <c r="I34" s="478" t="s">
        <v>955</v>
      </c>
      <c r="J34" s="7"/>
      <c r="K34" s="7"/>
      <c r="L34" s="24"/>
      <c r="M34" s="11" t="s">
        <v>75</v>
      </c>
    </row>
    <row r="35" spans="1:13">
      <c r="A35" s="82" t="s">
        <v>77</v>
      </c>
      <c r="B35" s="476">
        <v>-4036</v>
      </c>
      <c r="C35" s="71"/>
      <c r="D35" s="12">
        <v>0.15809078703524676</v>
      </c>
      <c r="E35" s="10">
        <v>15</v>
      </c>
      <c r="F35" s="10">
        <v>191.5</v>
      </c>
      <c r="G35" s="6">
        <v>3.39</v>
      </c>
      <c r="H35" s="14">
        <f t="shared" si="0"/>
        <v>-4.5549999999999997</v>
      </c>
      <c r="I35" s="23"/>
      <c r="J35" s="7"/>
      <c r="K35" s="7"/>
      <c r="L35" s="24"/>
      <c r="M35" s="11" t="s">
        <v>78</v>
      </c>
    </row>
    <row r="36" spans="1:13">
      <c r="A36" s="83" t="s">
        <v>80</v>
      </c>
      <c r="B36" s="476">
        <v>-3435</v>
      </c>
      <c r="C36" s="71"/>
      <c r="D36" s="12">
        <v>0.1911503089068218</v>
      </c>
      <c r="E36" s="10">
        <v>3</v>
      </c>
      <c r="F36" s="10">
        <v>246.2</v>
      </c>
      <c r="G36" s="6">
        <v>3.32</v>
      </c>
      <c r="H36" s="14">
        <f t="shared" si="0"/>
        <v>-5.032</v>
      </c>
      <c r="I36" s="25"/>
      <c r="J36" s="7"/>
      <c r="K36" s="7"/>
      <c r="L36" s="24"/>
      <c r="M36" s="11" t="s">
        <v>81</v>
      </c>
    </row>
    <row r="37" spans="1:13">
      <c r="A37" s="83" t="s">
        <v>73</v>
      </c>
      <c r="B37" s="476">
        <v>-1681</v>
      </c>
      <c r="C37" s="71"/>
      <c r="D37" s="12">
        <v>0.19050575600734274</v>
      </c>
      <c r="E37" s="10">
        <v>4</v>
      </c>
      <c r="F37" s="10">
        <v>304</v>
      </c>
      <c r="G37" s="6">
        <v>1.74</v>
      </c>
      <c r="H37" s="14">
        <f t="shared" si="0"/>
        <v>-4.03</v>
      </c>
      <c r="I37" s="25"/>
      <c r="J37" s="7"/>
      <c r="K37" s="7"/>
      <c r="L37" s="24"/>
      <c r="M37" s="11" t="s">
        <v>83</v>
      </c>
    </row>
    <row r="38" spans="1:13">
      <c r="A38" s="81" t="s">
        <v>76</v>
      </c>
      <c r="B38" s="476">
        <v>-2287</v>
      </c>
      <c r="C38" s="71"/>
      <c r="D38" s="12">
        <v>0.13682393527498057</v>
      </c>
      <c r="E38" s="10">
        <v>7</v>
      </c>
      <c r="F38" s="10">
        <v>187</v>
      </c>
      <c r="G38" s="6">
        <v>-0.87</v>
      </c>
      <c r="H38" s="14">
        <f t="shared" si="0"/>
        <v>-0.25</v>
      </c>
      <c r="I38" s="25"/>
      <c r="J38" s="7"/>
      <c r="K38" s="7"/>
      <c r="L38" s="24"/>
      <c r="M38" s="66" t="s">
        <v>85</v>
      </c>
    </row>
    <row r="39" spans="1:13">
      <c r="A39" s="81" t="s">
        <v>87</v>
      </c>
      <c r="B39" s="476">
        <v>-2133</v>
      </c>
      <c r="C39" s="71"/>
      <c r="D39" s="12">
        <v>0.20462356367492032</v>
      </c>
      <c r="E39" s="10">
        <v>4</v>
      </c>
      <c r="F39" s="10">
        <v>221.5</v>
      </c>
      <c r="G39" s="6">
        <v>0.71</v>
      </c>
      <c r="H39" s="14">
        <f t="shared" si="0"/>
        <v>-2.1749999999999998</v>
      </c>
      <c r="I39" s="25"/>
      <c r="J39" s="7"/>
      <c r="K39" s="7"/>
      <c r="L39" s="24"/>
      <c r="M39" s="11" t="s">
        <v>88</v>
      </c>
    </row>
    <row r="40" spans="1:13">
      <c r="A40" s="81" t="s">
        <v>90</v>
      </c>
      <c r="B40" s="476">
        <v>-4898</v>
      </c>
      <c r="C40" s="71"/>
      <c r="D40" s="12">
        <v>0.18274602564465547</v>
      </c>
      <c r="E40" s="10">
        <v>6</v>
      </c>
      <c r="F40" s="10">
        <v>157.83333333333334</v>
      </c>
      <c r="G40" s="6">
        <v>3.51</v>
      </c>
      <c r="H40" s="14">
        <f t="shared" si="0"/>
        <v>-4.3383333333333329</v>
      </c>
      <c r="I40" s="25"/>
      <c r="J40" s="39"/>
      <c r="K40" s="39"/>
      <c r="L40" s="40"/>
      <c r="M40" s="11" t="s">
        <v>91</v>
      </c>
    </row>
    <row r="41" spans="1:13">
      <c r="A41" s="84" t="s">
        <v>93</v>
      </c>
      <c r="B41" s="476">
        <v>-1942</v>
      </c>
      <c r="C41" s="72"/>
      <c r="D41" s="4">
        <v>0.12610247911779729</v>
      </c>
      <c r="E41" s="2">
        <v>8</v>
      </c>
      <c r="F41" s="10">
        <v>140</v>
      </c>
      <c r="G41" s="6">
        <v>0.35</v>
      </c>
      <c r="H41" s="14">
        <f t="shared" si="0"/>
        <v>-1</v>
      </c>
      <c r="I41" s="25"/>
      <c r="J41" s="39"/>
      <c r="K41" s="39"/>
      <c r="L41" s="40"/>
      <c r="M41" s="11" t="s">
        <v>94</v>
      </c>
    </row>
    <row r="42" spans="1:13">
      <c r="A42" s="82" t="s">
        <v>96</v>
      </c>
      <c r="B42" s="476">
        <v>-2443</v>
      </c>
      <c r="C42" s="71"/>
      <c r="D42" s="12">
        <v>0.14493441954543959</v>
      </c>
      <c r="E42" s="10">
        <v>7</v>
      </c>
      <c r="F42" s="10">
        <v>127.93333333333334</v>
      </c>
      <c r="G42" s="6">
        <v>1.74</v>
      </c>
      <c r="H42" s="14">
        <f t="shared" si="0"/>
        <v>-2.2693333333333334</v>
      </c>
      <c r="I42" s="25"/>
      <c r="J42" s="39"/>
      <c r="K42" s="39"/>
      <c r="L42" s="40"/>
      <c r="M42" s="11" t="s">
        <v>97</v>
      </c>
    </row>
    <row r="43" spans="1:13">
      <c r="A43" s="82" t="s">
        <v>79</v>
      </c>
      <c r="B43" s="476">
        <v>-5534</v>
      </c>
      <c r="C43" s="71"/>
      <c r="D43" s="12">
        <v>0.14861388626870758</v>
      </c>
      <c r="E43" s="10">
        <v>7</v>
      </c>
      <c r="F43" s="10">
        <v>176</v>
      </c>
      <c r="G43" s="6">
        <v>4.4800000000000004</v>
      </c>
      <c r="H43" s="14">
        <f t="shared" si="0"/>
        <v>-5.49</v>
      </c>
      <c r="I43" s="25"/>
      <c r="J43" s="39"/>
      <c r="K43" s="39"/>
      <c r="L43" s="40"/>
      <c r="M43" s="11" t="s">
        <v>99</v>
      </c>
    </row>
    <row r="44" spans="1:13">
      <c r="A44" s="85" t="s">
        <v>101</v>
      </c>
      <c r="B44" s="476">
        <v>-2673</v>
      </c>
      <c r="C44" s="72"/>
      <c r="D44" s="4">
        <v>0.1280711495400205</v>
      </c>
      <c r="E44" s="2">
        <v>3</v>
      </c>
      <c r="F44" s="10">
        <v>159.69999999999999</v>
      </c>
      <c r="G44" s="6">
        <v>3.46</v>
      </c>
      <c r="H44" s="14">
        <f t="shared" si="0"/>
        <v>-4.3070000000000004</v>
      </c>
      <c r="I44" s="25"/>
      <c r="J44" s="39"/>
      <c r="K44" s="39"/>
      <c r="L44" s="40"/>
      <c r="M44" s="11" t="s">
        <v>102</v>
      </c>
    </row>
    <row r="45" spans="1:13">
      <c r="A45" s="84" t="s">
        <v>104</v>
      </c>
      <c r="B45" s="479" t="s">
        <v>956</v>
      </c>
      <c r="C45" s="72"/>
      <c r="D45" s="4">
        <v>0.21683500301481054</v>
      </c>
      <c r="E45" s="2">
        <v>8</v>
      </c>
      <c r="F45" s="10">
        <v>142</v>
      </c>
      <c r="G45" s="6">
        <v>0.6</v>
      </c>
      <c r="H45" s="14">
        <f t="shared" si="0"/>
        <v>-1.27</v>
      </c>
      <c r="I45" s="25"/>
      <c r="J45" s="39"/>
      <c r="K45" s="39"/>
      <c r="L45" s="40"/>
      <c r="M45" s="11" t="s">
        <v>105</v>
      </c>
    </row>
    <row r="46" spans="1:13">
      <c r="A46" s="82" t="s">
        <v>107</v>
      </c>
      <c r="B46" s="476">
        <v>-2984</v>
      </c>
      <c r="C46" s="71"/>
      <c r="D46" s="12">
        <v>0.18255878892749886</v>
      </c>
      <c r="E46" s="10">
        <v>20</v>
      </c>
      <c r="F46" s="10">
        <v>267</v>
      </c>
      <c r="G46" s="6">
        <v>1.58</v>
      </c>
      <c r="H46" s="14">
        <f t="shared" si="0"/>
        <v>-3.5</v>
      </c>
      <c r="I46" s="25"/>
      <c r="J46" s="39"/>
      <c r="K46" s="39"/>
      <c r="L46" s="40"/>
      <c r="M46" s="11" t="s">
        <v>108</v>
      </c>
    </row>
    <row r="47" spans="1:13">
      <c r="A47" s="81" t="s">
        <v>110</v>
      </c>
      <c r="B47" s="476">
        <v>-5145</v>
      </c>
      <c r="C47" s="71"/>
      <c r="D47" s="12">
        <v>0.16704647063532602</v>
      </c>
      <c r="E47" s="10">
        <v>6</v>
      </c>
      <c r="F47" s="10">
        <v>110.00000000000001</v>
      </c>
      <c r="G47" s="6">
        <v>3.36</v>
      </c>
      <c r="H47" s="14">
        <f t="shared" si="0"/>
        <v>-3.71</v>
      </c>
      <c r="I47" s="25"/>
      <c r="J47" s="39"/>
      <c r="K47" s="39"/>
      <c r="L47" s="40"/>
      <c r="M47" s="11" t="s">
        <v>111</v>
      </c>
    </row>
    <row r="48" spans="1:13">
      <c r="A48" s="82" t="s">
        <v>82</v>
      </c>
      <c r="B48" s="476">
        <v>-3309</v>
      </c>
      <c r="C48" s="71"/>
      <c r="D48" s="12">
        <v>0.17164501312359953</v>
      </c>
      <c r="E48" s="10">
        <v>7</v>
      </c>
      <c r="F48" s="10">
        <v>182</v>
      </c>
      <c r="G48" s="6">
        <v>2.67</v>
      </c>
      <c r="H48" s="14">
        <f t="shared" si="0"/>
        <v>-3.74</v>
      </c>
      <c r="I48" s="25"/>
      <c r="J48" s="39"/>
      <c r="K48" s="39"/>
      <c r="L48" s="40"/>
      <c r="M48" s="11" t="s">
        <v>113</v>
      </c>
    </row>
    <row r="49" spans="1:13">
      <c r="A49" s="84" t="s">
        <v>115</v>
      </c>
      <c r="B49" s="476">
        <v>-3581</v>
      </c>
      <c r="C49" s="72"/>
      <c r="D49" s="4">
        <v>0.12558353028546052</v>
      </c>
      <c r="E49" s="2">
        <v>4</v>
      </c>
      <c r="F49" s="10">
        <v>222.00000000000003</v>
      </c>
      <c r="G49" s="6">
        <v>2.56</v>
      </c>
      <c r="H49" s="14">
        <f t="shared" si="0"/>
        <v>-4.03</v>
      </c>
      <c r="I49" s="25"/>
      <c r="J49" s="39"/>
      <c r="K49" s="39"/>
      <c r="L49" s="40"/>
      <c r="M49" s="11" t="s">
        <v>116</v>
      </c>
    </row>
    <row r="50" spans="1:13">
      <c r="A50" s="82" t="s">
        <v>118</v>
      </c>
      <c r="B50" s="476">
        <v>-6093</v>
      </c>
      <c r="C50" s="71"/>
      <c r="D50" s="12">
        <v>0.1568133990664792</v>
      </c>
      <c r="E50" s="10">
        <v>6</v>
      </c>
      <c r="F50" s="10">
        <v>151</v>
      </c>
      <c r="G50" s="6">
        <v>3.27</v>
      </c>
      <c r="H50" s="14">
        <f t="shared" si="0"/>
        <v>-4.03</v>
      </c>
      <c r="I50" s="25"/>
      <c r="J50" s="39"/>
      <c r="K50" s="39"/>
      <c r="L50" s="40"/>
      <c r="M50" s="11" t="s">
        <v>119</v>
      </c>
    </row>
    <row r="51" spans="1:13">
      <c r="A51" s="85" t="s">
        <v>84</v>
      </c>
      <c r="B51" s="476">
        <v>-3471</v>
      </c>
      <c r="C51" s="72"/>
      <c r="D51" s="4">
        <v>0.12789394574374285</v>
      </c>
      <c r="E51" s="2">
        <v>5</v>
      </c>
      <c r="F51" s="10">
        <v>330</v>
      </c>
      <c r="G51" s="6">
        <v>2.87</v>
      </c>
      <c r="H51" s="14">
        <f t="shared" si="0"/>
        <v>-5.42</v>
      </c>
      <c r="I51" s="25"/>
      <c r="J51" s="39"/>
      <c r="K51" s="39"/>
      <c r="L51" s="40"/>
      <c r="M51" s="11" t="s">
        <v>120</v>
      </c>
    </row>
    <row r="52" spans="1:13">
      <c r="A52" s="82" t="s">
        <v>121</v>
      </c>
      <c r="B52" s="476">
        <v>-4681</v>
      </c>
      <c r="C52" s="71"/>
      <c r="D52" s="12">
        <v>0.18012800124370357</v>
      </c>
      <c r="E52" s="10">
        <v>3</v>
      </c>
      <c r="F52" s="10">
        <v>100</v>
      </c>
      <c r="G52" s="6">
        <v>3.53</v>
      </c>
      <c r="H52" s="14">
        <f t="shared" si="0"/>
        <v>-3.78</v>
      </c>
      <c r="I52" s="23"/>
      <c r="J52" s="7"/>
      <c r="K52" s="7"/>
      <c r="L52" s="24"/>
      <c r="M52" s="11" t="s">
        <v>122</v>
      </c>
    </row>
    <row r="53" spans="1:13">
      <c r="A53" s="81" t="s">
        <v>123</v>
      </c>
      <c r="B53" s="476">
        <v>-3151</v>
      </c>
      <c r="C53" s="71"/>
      <c r="D53" s="12">
        <v>0.18062104750721683</v>
      </c>
      <c r="E53" s="10">
        <v>16</v>
      </c>
      <c r="F53" s="10">
        <v>262.5</v>
      </c>
      <c r="G53" s="6">
        <v>1.9</v>
      </c>
      <c r="H53" s="14">
        <f t="shared" si="0"/>
        <v>-3.7749999999999999</v>
      </c>
      <c r="I53" s="23"/>
      <c r="J53" s="7"/>
      <c r="K53" s="7"/>
      <c r="L53" s="24"/>
      <c r="M53" s="11" t="s">
        <v>124</v>
      </c>
    </row>
    <row r="54" spans="1:13">
      <c r="A54" s="84" t="s">
        <v>125</v>
      </c>
      <c r="B54" s="476">
        <v>-1470</v>
      </c>
      <c r="C54" s="72"/>
      <c r="D54" s="4">
        <v>0.22156244268660033</v>
      </c>
      <c r="E54" s="2">
        <v>4</v>
      </c>
      <c r="F54" s="10">
        <v>328.85</v>
      </c>
      <c r="G54" s="6">
        <v>1.87</v>
      </c>
      <c r="H54" s="14">
        <f t="shared" si="0"/>
        <v>-4.4085000000000001</v>
      </c>
      <c r="I54" s="23"/>
      <c r="J54" s="7"/>
      <c r="K54" s="7"/>
      <c r="L54" s="24"/>
      <c r="M54" s="11" t="s">
        <v>126</v>
      </c>
    </row>
    <row r="55" spans="1:13">
      <c r="A55" s="82" t="s">
        <v>127</v>
      </c>
      <c r="B55" s="476">
        <v>-5014</v>
      </c>
      <c r="C55" s="71"/>
      <c r="D55" s="12">
        <v>0.18450811780713378</v>
      </c>
      <c r="E55" s="10">
        <v>33</v>
      </c>
      <c r="F55" s="10">
        <v>167.5</v>
      </c>
      <c r="G55" s="6">
        <v>4.3600000000000003</v>
      </c>
      <c r="H55" s="14">
        <f t="shared" si="0"/>
        <v>-5.2850000000000001</v>
      </c>
      <c r="I55" s="23"/>
      <c r="J55" s="7"/>
      <c r="K55" s="7"/>
      <c r="L55" s="24"/>
      <c r="M55" s="11" t="s">
        <v>128</v>
      </c>
    </row>
    <row r="56" spans="1:13">
      <c r="A56" s="82" t="s">
        <v>86</v>
      </c>
      <c r="B56" s="476">
        <v>-4473</v>
      </c>
      <c r="C56" s="71"/>
      <c r="D56" s="12">
        <v>0.15609203233531485</v>
      </c>
      <c r="E56" s="10">
        <v>3</v>
      </c>
      <c r="F56" s="10">
        <v>223</v>
      </c>
      <c r="G56" s="6">
        <v>2.99</v>
      </c>
      <c r="H56" s="14">
        <f t="shared" si="0"/>
        <v>-4.4700000000000006</v>
      </c>
      <c r="I56" s="23"/>
      <c r="J56" s="7"/>
      <c r="K56" s="7"/>
      <c r="L56" s="24"/>
      <c r="M56" s="11" t="s">
        <v>129</v>
      </c>
    </row>
    <row r="57" spans="1:13">
      <c r="A57" s="82" t="s">
        <v>89</v>
      </c>
      <c r="B57" s="476">
        <v>-4053</v>
      </c>
      <c r="C57" s="71"/>
      <c r="D57" s="12">
        <v>0.20872343532408041</v>
      </c>
      <c r="E57" s="10">
        <v>3</v>
      </c>
      <c r="F57" s="10">
        <v>210.5</v>
      </c>
      <c r="G57" s="6">
        <v>2.72</v>
      </c>
      <c r="H57" s="14">
        <f t="shared" si="0"/>
        <v>-4.0750000000000002</v>
      </c>
      <c r="I57" s="26"/>
      <c r="J57" s="27"/>
      <c r="K57" s="27"/>
      <c r="L57" s="28"/>
      <c r="M57" s="11" t="s">
        <v>130</v>
      </c>
    </row>
    <row r="58" spans="1:13">
      <c r="A58" s="84" t="s">
        <v>131</v>
      </c>
      <c r="B58" s="476">
        <v>-4201</v>
      </c>
      <c r="C58" s="72"/>
      <c r="D58" s="4">
        <v>0.1297319013416561</v>
      </c>
      <c r="E58" s="2">
        <v>3</v>
      </c>
      <c r="F58" s="10">
        <v>209.75</v>
      </c>
      <c r="G58" s="6">
        <v>3.37</v>
      </c>
      <c r="H58" s="14">
        <f t="shared" si="0"/>
        <v>-4.7175000000000002</v>
      </c>
      <c r="J58" s="14"/>
      <c r="K58" s="14"/>
      <c r="L58" s="14"/>
      <c r="M58" s="11" t="s">
        <v>132</v>
      </c>
    </row>
    <row r="59" spans="1:13">
      <c r="A59" s="81" t="s">
        <v>92</v>
      </c>
      <c r="B59" s="476">
        <v>-3530</v>
      </c>
      <c r="C59" s="71"/>
      <c r="D59" s="12">
        <v>0.14124198841117766</v>
      </c>
      <c r="E59" s="10">
        <v>3</v>
      </c>
      <c r="F59" s="10">
        <v>53.5</v>
      </c>
      <c r="G59" s="6">
        <v>3.43</v>
      </c>
      <c r="H59" s="14">
        <f t="shared" si="0"/>
        <v>-3.2150000000000003</v>
      </c>
      <c r="I59" s="70" t="s">
        <v>133</v>
      </c>
      <c r="J59" s="131">
        <v>248</v>
      </c>
      <c r="K59" s="34"/>
      <c r="L59" s="14"/>
      <c r="M59" s="11" t="s">
        <v>134</v>
      </c>
    </row>
    <row r="60" spans="1:13">
      <c r="A60" s="81" t="s">
        <v>135</v>
      </c>
      <c r="B60" s="479" t="s">
        <v>957</v>
      </c>
      <c r="C60" s="71"/>
      <c r="D60" s="12">
        <v>0.17069281866408892</v>
      </c>
      <c r="E60" s="10">
        <v>6</v>
      </c>
      <c r="F60" s="10">
        <v>270</v>
      </c>
      <c r="G60" s="6">
        <v>0.05</v>
      </c>
      <c r="H60" s="14">
        <f t="shared" si="0"/>
        <v>-2</v>
      </c>
      <c r="I60" s="70" t="s">
        <v>136</v>
      </c>
      <c r="J60" s="480">
        <v>0.2</v>
      </c>
      <c r="K60" s="34"/>
      <c r="L60" s="14"/>
      <c r="M60" s="11" t="s">
        <v>137</v>
      </c>
    </row>
    <row r="61" spans="1:13">
      <c r="A61" s="82" t="s">
        <v>138</v>
      </c>
      <c r="B61" s="476">
        <v>-2968</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s="476">
        <v>-4812</v>
      </c>
      <c r="C62" s="71"/>
      <c r="D62" s="12">
        <v>0.18021422622763517</v>
      </c>
      <c r="E62" s="10">
        <v>5</v>
      </c>
      <c r="F62" s="10">
        <v>214.5</v>
      </c>
      <c r="G62" s="6">
        <v>3.61</v>
      </c>
      <c r="H62" s="14">
        <f t="shared" si="0"/>
        <v>-5.0049999999999999</v>
      </c>
      <c r="I62" s="14"/>
      <c r="J62" s="14"/>
      <c r="K62" s="14"/>
      <c r="L62" s="14"/>
      <c r="M62" s="11" t="s">
        <v>142</v>
      </c>
    </row>
    <row r="63" spans="1:13">
      <c r="A63" s="82" t="s">
        <v>143</v>
      </c>
      <c r="B63" s="476">
        <v>-4619</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s="476">
        <v>-2733</v>
      </c>
      <c r="C64" s="71"/>
      <c r="D64" s="12">
        <v>0.17</v>
      </c>
      <c r="E64" s="10">
        <v>3</v>
      </c>
      <c r="F64" s="10">
        <v>189</v>
      </c>
      <c r="G64" s="6">
        <v>1.34</v>
      </c>
      <c r="H64" s="14">
        <f t="shared" si="0"/>
        <v>-2.4800000000000004</v>
      </c>
      <c r="I64" s="124" t="s">
        <v>958</v>
      </c>
      <c r="J64" s="21"/>
      <c r="K64" s="21"/>
      <c r="L64" s="22"/>
      <c r="M64" s="11" t="s">
        <v>148</v>
      </c>
    </row>
    <row r="65" spans="1:13">
      <c r="A65" s="82" t="s">
        <v>149</v>
      </c>
      <c r="B65" s="476">
        <v>-4554</v>
      </c>
      <c r="C65" s="71"/>
      <c r="D65" s="12">
        <v>0.19794493160510693</v>
      </c>
      <c r="E65" s="10">
        <v>4</v>
      </c>
      <c r="F65" s="10">
        <v>243.5</v>
      </c>
      <c r="G65" s="6">
        <v>1.34</v>
      </c>
      <c r="H65" s="14">
        <f t="shared" si="0"/>
        <v>-3.0250000000000004</v>
      </c>
      <c r="I65" s="23"/>
      <c r="J65" s="7"/>
      <c r="K65" s="7"/>
      <c r="L65" s="24"/>
      <c r="M65" s="11" t="s">
        <v>151</v>
      </c>
    </row>
    <row r="66" spans="1:13">
      <c r="A66" s="81" t="s">
        <v>95</v>
      </c>
      <c r="B66" s="476">
        <v>-2070</v>
      </c>
      <c r="C66" s="71"/>
      <c r="D66" s="12">
        <v>0.21056099074293383</v>
      </c>
      <c r="E66" s="10">
        <v>3</v>
      </c>
      <c r="F66" s="10">
        <v>36.5</v>
      </c>
      <c r="G66" s="6">
        <v>2.74</v>
      </c>
      <c r="H66" s="14">
        <f t="shared" si="0"/>
        <v>-2.3550000000000004</v>
      </c>
      <c r="I66" s="23"/>
      <c r="J66" s="7"/>
      <c r="K66" s="7"/>
      <c r="L66" s="24"/>
      <c r="M66" s="11" t="s">
        <v>152</v>
      </c>
    </row>
    <row r="67" spans="1:13">
      <c r="A67" s="83" t="s">
        <v>153</v>
      </c>
      <c r="B67" s="476">
        <v>-4100</v>
      </c>
      <c r="C67" s="71"/>
      <c r="D67" s="12">
        <v>0.21092434073951916</v>
      </c>
      <c r="E67" s="10">
        <v>10</v>
      </c>
      <c r="F67" s="10">
        <v>186</v>
      </c>
      <c r="G67" s="6">
        <v>3.4</v>
      </c>
      <c r="H67" s="14">
        <f t="shared" si="0"/>
        <v>-4.51</v>
      </c>
      <c r="I67" s="23"/>
      <c r="J67" s="7"/>
      <c r="K67" s="7"/>
      <c r="L67" s="24"/>
      <c r="M67" s="11" t="s">
        <v>154</v>
      </c>
    </row>
    <row r="68" spans="1:13">
      <c r="A68" s="81" t="s">
        <v>98</v>
      </c>
      <c r="B68" s="476">
        <v>-2933</v>
      </c>
      <c r="C68" s="71"/>
      <c r="D68" s="12">
        <v>0.18695478693957188</v>
      </c>
      <c r="E68" s="10">
        <v>3</v>
      </c>
      <c r="F68" s="10">
        <v>252.99999999999997</v>
      </c>
      <c r="G68" s="6">
        <v>2.35</v>
      </c>
      <c r="H68" s="14">
        <f t="shared" si="0"/>
        <v>-4.13</v>
      </c>
      <c r="I68" s="23"/>
      <c r="J68" s="7"/>
      <c r="K68" s="7"/>
      <c r="L68" s="24"/>
      <c r="M68" s="11" t="s">
        <v>155</v>
      </c>
    </row>
    <row r="69" spans="1:13">
      <c r="A69" s="83" t="s">
        <v>156</v>
      </c>
      <c r="B69" s="476">
        <v>-4708</v>
      </c>
      <c r="C69" s="71"/>
      <c r="D69" s="12">
        <v>0.20491085989689112</v>
      </c>
      <c r="E69" s="10">
        <v>23</v>
      </c>
      <c r="F69" s="10">
        <v>111.00000000000001</v>
      </c>
      <c r="G69" s="6">
        <v>3.68</v>
      </c>
      <c r="H69" s="14">
        <f t="shared" si="0"/>
        <v>-4.04</v>
      </c>
      <c r="I69" s="23"/>
      <c r="J69" s="7"/>
      <c r="K69" s="7"/>
      <c r="L69" s="24"/>
      <c r="M69" s="11" t="s">
        <v>157</v>
      </c>
    </row>
    <row r="70" spans="1:13">
      <c r="A70" s="81" t="s">
        <v>158</v>
      </c>
      <c r="B70" s="476">
        <v>-3767</v>
      </c>
      <c r="C70" s="71"/>
      <c r="D70" s="12">
        <v>0.15545016183846921</v>
      </c>
      <c r="E70" s="10">
        <v>6</v>
      </c>
      <c r="F70" s="10">
        <v>250</v>
      </c>
      <c r="G70" s="6">
        <v>-0.04</v>
      </c>
      <c r="H70" s="14">
        <f t="shared" si="0"/>
        <v>-1.71</v>
      </c>
      <c r="I70" s="23"/>
      <c r="J70" s="7"/>
      <c r="K70" s="7"/>
      <c r="L70" s="24"/>
      <c r="M70" s="11" t="s">
        <v>159</v>
      </c>
    </row>
    <row r="71" spans="1:13">
      <c r="A71" s="82" t="s">
        <v>160</v>
      </c>
      <c r="B71" s="476">
        <v>-1100</v>
      </c>
      <c r="C71" s="71"/>
      <c r="D71" s="12">
        <v>0.13261436390895148</v>
      </c>
      <c r="E71" s="10">
        <v>3</v>
      </c>
      <c r="F71" s="10">
        <v>250</v>
      </c>
      <c r="G71" s="6">
        <v>-1.97</v>
      </c>
      <c r="H71" s="14">
        <f t="shared" si="0"/>
        <v>0.21999999999999975</v>
      </c>
      <c r="I71" s="23"/>
      <c r="J71" s="7"/>
      <c r="K71" s="7"/>
      <c r="L71" s="24"/>
      <c r="M71" s="11" t="s">
        <v>161</v>
      </c>
    </row>
    <row r="72" spans="1:13">
      <c r="A72" s="82" t="s">
        <v>162</v>
      </c>
      <c r="B72" s="476">
        <v>-4869</v>
      </c>
      <c r="C72" s="71"/>
      <c r="D72" s="12">
        <v>0.21159815676624968</v>
      </c>
      <c r="E72" s="10">
        <v>9</v>
      </c>
      <c r="F72" s="10">
        <v>208.5</v>
      </c>
      <c r="G72" s="6">
        <v>2.08</v>
      </c>
      <c r="H72" s="14">
        <f t="shared" si="0"/>
        <v>-3.415</v>
      </c>
      <c r="I72" s="23"/>
      <c r="J72" s="7"/>
      <c r="K72" s="7"/>
      <c r="L72" s="24"/>
      <c r="M72" s="11" t="s">
        <v>163</v>
      </c>
    </row>
    <row r="73" spans="1:13">
      <c r="A73" s="82" t="s">
        <v>164</v>
      </c>
      <c r="B73" s="476">
        <v>-2881</v>
      </c>
      <c r="C73" s="71"/>
      <c r="D73" s="12">
        <v>0.1900151243705871</v>
      </c>
      <c r="E73" s="10">
        <v>15</v>
      </c>
      <c r="F73" s="10">
        <v>220.00000000000003</v>
      </c>
      <c r="G73" s="6">
        <v>2.69</v>
      </c>
      <c r="H73" s="14">
        <f t="shared" si="0"/>
        <v>-4.1400000000000006</v>
      </c>
      <c r="I73" s="23"/>
      <c r="J73" s="7"/>
      <c r="K73" s="7"/>
      <c r="L73" s="24"/>
      <c r="M73" s="11" t="s">
        <v>165</v>
      </c>
    </row>
    <row r="74" spans="1:13">
      <c r="A74" s="82" t="s">
        <v>166</v>
      </c>
      <c r="B74" s="476">
        <v>-4806</v>
      </c>
      <c r="C74" s="71"/>
      <c r="D74" s="12">
        <v>0.16978183023026608</v>
      </c>
      <c r="E74" s="10">
        <v>10</v>
      </c>
      <c r="F74" s="10">
        <v>151</v>
      </c>
      <c r="G74" s="6">
        <v>4.43</v>
      </c>
      <c r="H74" s="14">
        <f t="shared" si="0"/>
        <v>-5.1899999999999995</v>
      </c>
      <c r="I74" s="23"/>
      <c r="J74" s="7"/>
      <c r="K74" s="7"/>
      <c r="L74" s="24"/>
      <c r="M74" s="11" t="s">
        <v>167</v>
      </c>
    </row>
    <row r="75" spans="1:13">
      <c r="A75" s="83" t="s">
        <v>100</v>
      </c>
      <c r="B75" s="476">
        <v>-5617</v>
      </c>
      <c r="C75" s="71"/>
      <c r="D75" s="12">
        <v>0.19416214604145643</v>
      </c>
      <c r="E75" s="10">
        <v>7</v>
      </c>
      <c r="F75" s="10">
        <v>154.5</v>
      </c>
      <c r="G75" s="6">
        <v>4.22</v>
      </c>
      <c r="H75" s="14">
        <f t="shared" si="0"/>
        <v>-5.0149999999999997</v>
      </c>
      <c r="I75" s="23"/>
      <c r="J75" s="7"/>
      <c r="K75" s="7"/>
      <c r="L75" s="24"/>
      <c r="M75" s="11" t="s">
        <v>168</v>
      </c>
    </row>
    <row r="76" spans="1:13">
      <c r="A76" s="82" t="s">
        <v>169</v>
      </c>
      <c r="B76" s="476">
        <v>-5665</v>
      </c>
      <c r="C76" s="71"/>
      <c r="D76" s="12">
        <v>0.16048013551961601</v>
      </c>
      <c r="E76" s="10">
        <v>5</v>
      </c>
      <c r="F76" s="10">
        <v>167.75</v>
      </c>
      <c r="G76" s="6">
        <v>2.87</v>
      </c>
      <c r="H76" s="14">
        <f t="shared" si="0"/>
        <v>-3.7975000000000003</v>
      </c>
      <c r="I76" s="23"/>
      <c r="J76" s="7"/>
      <c r="K76" s="7"/>
      <c r="L76" s="24"/>
      <c r="M76" s="11" t="s">
        <v>170</v>
      </c>
    </row>
    <row r="77" spans="1:13">
      <c r="A77" s="84" t="s">
        <v>171</v>
      </c>
      <c r="B77" s="476">
        <v>-5559</v>
      </c>
      <c r="C77" s="72"/>
      <c r="D77" s="4">
        <v>0.22239504833634874</v>
      </c>
      <c r="E77" s="2">
        <v>21</v>
      </c>
      <c r="F77" s="10">
        <v>159</v>
      </c>
      <c r="G77" s="6">
        <v>3.93</v>
      </c>
      <c r="H77" s="14">
        <f t="shared" si="0"/>
        <v>-4.7700000000000005</v>
      </c>
      <c r="I77" s="23"/>
      <c r="J77" s="7"/>
      <c r="K77" s="7"/>
      <c r="L77" s="24"/>
      <c r="M77" s="11" t="s">
        <v>172</v>
      </c>
    </row>
    <row r="78" spans="1:13">
      <c r="A78" s="82" t="s">
        <v>173</v>
      </c>
      <c r="B78" s="476">
        <v>-5156</v>
      </c>
      <c r="C78" s="71"/>
      <c r="D78" s="12">
        <v>0.21209434799218393</v>
      </c>
      <c r="E78" s="10">
        <v>5</v>
      </c>
      <c r="F78" s="10">
        <v>213.49999999999997</v>
      </c>
      <c r="G78" s="6">
        <v>3.04</v>
      </c>
      <c r="H78" s="14">
        <f t="shared" si="0"/>
        <v>-4.4249999999999998</v>
      </c>
      <c r="I78" s="23"/>
      <c r="J78" s="7"/>
      <c r="K78" s="7"/>
      <c r="L78" s="24"/>
      <c r="M78" s="11" t="s">
        <v>174</v>
      </c>
    </row>
    <row r="79" spans="1:13">
      <c r="A79" s="82" t="s">
        <v>175</v>
      </c>
      <c r="B79" s="476">
        <v>-5405</v>
      </c>
      <c r="C79" s="71"/>
      <c r="D79" s="12">
        <v>0.1407224156406931</v>
      </c>
      <c r="E79" s="10">
        <v>11</v>
      </c>
      <c r="F79" s="10">
        <v>146</v>
      </c>
      <c r="G79" s="6">
        <v>4.21</v>
      </c>
      <c r="H79" s="14">
        <f t="shared" si="0"/>
        <v>-4.92</v>
      </c>
      <c r="I79" s="23"/>
      <c r="J79" s="7"/>
      <c r="K79" s="7"/>
      <c r="L79" s="24"/>
      <c r="M79" s="11" t="s">
        <v>176</v>
      </c>
    </row>
    <row r="80" spans="1:13">
      <c r="A80" s="82" t="s">
        <v>177</v>
      </c>
      <c r="B80" s="476">
        <v>-5143</v>
      </c>
      <c r="C80" s="71"/>
      <c r="D80" s="12">
        <v>0.21748916450754371</v>
      </c>
      <c r="E80" s="10">
        <v>5</v>
      </c>
      <c r="F80" s="10">
        <v>92.333333333333329</v>
      </c>
      <c r="G80" s="6">
        <v>4.21</v>
      </c>
      <c r="H80" s="14">
        <f t="shared" si="0"/>
        <v>-4.3833333333333329</v>
      </c>
      <c r="I80" s="23"/>
      <c r="J80" s="7"/>
      <c r="K80" s="7"/>
      <c r="L80" s="24"/>
      <c r="M80" s="11" t="s">
        <v>178</v>
      </c>
    </row>
    <row r="81" spans="1:13">
      <c r="A81" s="81" t="s">
        <v>179</v>
      </c>
      <c r="B81" s="476">
        <v>-5700</v>
      </c>
      <c r="C81" s="71"/>
      <c r="D81" s="12">
        <v>0.20531013145176411</v>
      </c>
      <c r="E81" s="10">
        <v>8</v>
      </c>
      <c r="F81" s="10">
        <v>256</v>
      </c>
      <c r="G81" s="6">
        <v>2.71</v>
      </c>
      <c r="H81" s="14">
        <f t="shared" si="0"/>
        <v>-4.5199999999999996</v>
      </c>
      <c r="I81" s="23"/>
      <c r="J81" s="7"/>
      <c r="K81" s="7"/>
      <c r="L81" s="24"/>
      <c r="M81" s="11" t="s">
        <v>180</v>
      </c>
    </row>
    <row r="82" spans="1:13">
      <c r="A82" s="81" t="s">
        <v>181</v>
      </c>
      <c r="B82" s="476">
        <v>-3472</v>
      </c>
      <c r="C82" s="71"/>
      <c r="D82" s="12">
        <v>0.21176785142223761</v>
      </c>
      <c r="E82" s="10">
        <v>3</v>
      </c>
      <c r="F82" s="10">
        <v>80</v>
      </c>
      <c r="G82" s="6">
        <v>3.37</v>
      </c>
      <c r="H82" s="14">
        <f t="shared" si="0"/>
        <v>-3.42</v>
      </c>
      <c r="I82" s="23"/>
      <c r="J82" s="7"/>
      <c r="K82" s="7"/>
      <c r="L82" s="24"/>
      <c r="M82" s="11" t="s">
        <v>182</v>
      </c>
    </row>
    <row r="83" spans="1:13">
      <c r="A83" s="81" t="s">
        <v>183</v>
      </c>
      <c r="B83" s="476">
        <v>-4125</v>
      </c>
      <c r="C83" s="71"/>
      <c r="D83" s="12">
        <v>0.16217657762412213</v>
      </c>
      <c r="E83" s="10">
        <v>17</v>
      </c>
      <c r="F83" s="10">
        <v>153</v>
      </c>
      <c r="G83" s="6">
        <v>3.04</v>
      </c>
      <c r="H83" s="14">
        <f t="shared" si="0"/>
        <v>-3.8200000000000003</v>
      </c>
      <c r="I83" s="23"/>
      <c r="J83" s="7"/>
      <c r="K83" s="7"/>
      <c r="L83" s="24"/>
      <c r="M83" s="11" t="s">
        <v>184</v>
      </c>
    </row>
    <row r="84" spans="1:13">
      <c r="A84" s="82" t="s">
        <v>185</v>
      </c>
      <c r="B84" s="476">
        <v>-6702</v>
      </c>
      <c r="C84" s="71"/>
      <c r="D84" s="12">
        <v>0.20448827496623867</v>
      </c>
      <c r="E84" s="10">
        <v>3</v>
      </c>
      <c r="F84" s="10">
        <v>349.84</v>
      </c>
      <c r="G84" s="6">
        <v>4.75</v>
      </c>
      <c r="H84" s="14">
        <f t="shared" si="0"/>
        <v>-7.4984000000000002</v>
      </c>
      <c r="I84" s="23"/>
      <c r="J84" s="7"/>
      <c r="K84" s="7"/>
      <c r="L84" s="24"/>
      <c r="M84" s="11" t="s">
        <v>186</v>
      </c>
    </row>
    <row r="85" spans="1:13">
      <c r="A85" s="82" t="s">
        <v>187</v>
      </c>
      <c r="B85" s="476">
        <v>-3057</v>
      </c>
      <c r="C85" s="71"/>
      <c r="D85" s="12">
        <v>0.14358294446577732</v>
      </c>
      <c r="E85" s="10">
        <v>6</v>
      </c>
      <c r="F85" s="10">
        <v>248</v>
      </c>
      <c r="G85" s="6">
        <v>2.65</v>
      </c>
      <c r="H85" s="14">
        <f t="shared" si="0"/>
        <v>-4.38</v>
      </c>
      <c r="I85" s="23"/>
      <c r="J85" s="7"/>
      <c r="K85" s="7"/>
      <c r="L85" s="24"/>
      <c r="M85" s="11" t="s">
        <v>188</v>
      </c>
    </row>
    <row r="86" spans="1:13">
      <c r="A86" s="82" t="s">
        <v>189</v>
      </c>
      <c r="B86" s="476">
        <v>-4026</v>
      </c>
      <c r="C86" s="71"/>
      <c r="D86" s="12">
        <v>0.15384096988991314</v>
      </c>
      <c r="E86" s="10">
        <v>11</v>
      </c>
      <c r="F86" s="10">
        <v>173</v>
      </c>
      <c r="G86" s="6">
        <v>2.1800000000000002</v>
      </c>
      <c r="H86" s="14">
        <f t="shared" si="0"/>
        <v>-3.16</v>
      </c>
      <c r="I86" s="23"/>
      <c r="J86" s="7"/>
      <c r="K86" s="7"/>
      <c r="L86" s="24"/>
      <c r="M86" s="11" t="s">
        <v>190</v>
      </c>
    </row>
    <row r="87" spans="1:13">
      <c r="A87" s="82" t="s">
        <v>191</v>
      </c>
      <c r="B87" s="476">
        <v>-3392</v>
      </c>
      <c r="C87" s="71"/>
      <c r="D87" s="12">
        <v>0.14176528631434945</v>
      </c>
      <c r="E87" s="10">
        <v>5</v>
      </c>
      <c r="F87" s="10">
        <v>143.75</v>
      </c>
      <c r="G87" s="6">
        <v>2.76</v>
      </c>
      <c r="H87" s="14">
        <f t="shared" ref="H87:H122" si="1">0.5-G87-0.01*(F87-25)</f>
        <v>-3.4474999999999998</v>
      </c>
      <c r="I87" s="23"/>
      <c r="J87" s="7"/>
      <c r="K87" s="7"/>
      <c r="L87" s="24"/>
      <c r="M87" s="11" t="s">
        <v>192</v>
      </c>
    </row>
    <row r="88" spans="1:13">
      <c r="A88" s="82" t="s">
        <v>193</v>
      </c>
      <c r="B88" s="476">
        <v>-2962</v>
      </c>
      <c r="C88" s="71"/>
      <c r="D88" s="12">
        <v>0.16213928191469343</v>
      </c>
      <c r="E88" s="10">
        <v>19</v>
      </c>
      <c r="F88" s="10">
        <v>220.5</v>
      </c>
      <c r="G88" s="6">
        <v>1.27</v>
      </c>
      <c r="H88" s="14">
        <f t="shared" si="1"/>
        <v>-2.7250000000000001</v>
      </c>
      <c r="I88" s="23"/>
      <c r="J88" s="7"/>
      <c r="K88" s="7"/>
      <c r="L88" s="24"/>
      <c r="M88" s="11" t="s">
        <v>194</v>
      </c>
    </row>
    <row r="89" spans="1:13">
      <c r="A89" s="82" t="s">
        <v>195</v>
      </c>
      <c r="B89" s="476">
        <v>-5074</v>
      </c>
      <c r="C89" s="71"/>
      <c r="D89" s="12">
        <v>0.16127920198135692</v>
      </c>
      <c r="E89" s="10">
        <v>5</v>
      </c>
      <c r="F89" s="10">
        <v>214</v>
      </c>
      <c r="G89" s="6">
        <v>3.83</v>
      </c>
      <c r="H89" s="14">
        <f t="shared" si="1"/>
        <v>-5.2200000000000006</v>
      </c>
      <c r="I89" s="23"/>
      <c r="J89" s="7"/>
      <c r="K89" s="7"/>
      <c r="L89" s="24"/>
      <c r="M89" s="11" t="s">
        <v>196</v>
      </c>
    </row>
    <row r="90" spans="1:13">
      <c r="A90" s="83" t="s">
        <v>197</v>
      </c>
      <c r="B90" s="476">
        <v>-3978</v>
      </c>
      <c r="C90" s="71"/>
      <c r="D90" s="12">
        <v>0.13869006117838048</v>
      </c>
      <c r="E90" s="10">
        <v>3</v>
      </c>
      <c r="F90" s="10">
        <v>176</v>
      </c>
      <c r="G90" s="6">
        <v>2.88</v>
      </c>
      <c r="H90" s="14">
        <f t="shared" si="1"/>
        <v>-3.8899999999999997</v>
      </c>
      <c r="I90" s="23"/>
      <c r="J90" s="7"/>
      <c r="K90" s="7"/>
      <c r="L90" s="24"/>
      <c r="M90" s="11" t="s">
        <v>198</v>
      </c>
    </row>
    <row r="91" spans="1:13">
      <c r="A91" s="85" t="s">
        <v>199</v>
      </c>
      <c r="B91" s="476">
        <v>-2856</v>
      </c>
      <c r="C91" s="72"/>
      <c r="D91" s="4">
        <v>0.1259834086188602</v>
      </c>
      <c r="E91" s="2">
        <v>14</v>
      </c>
      <c r="F91" s="10">
        <v>253.5</v>
      </c>
      <c r="G91" s="6">
        <v>1.54</v>
      </c>
      <c r="H91" s="14">
        <f t="shared" si="1"/>
        <v>-3.3250000000000002</v>
      </c>
      <c r="I91" s="23"/>
      <c r="J91" s="7"/>
      <c r="K91" s="7"/>
      <c r="L91" s="24"/>
      <c r="M91" s="11" t="s">
        <v>200</v>
      </c>
    </row>
    <row r="92" spans="1:13">
      <c r="A92" s="82" t="s">
        <v>201</v>
      </c>
      <c r="B92" s="476">
        <v>-3314</v>
      </c>
      <c r="C92" s="71"/>
      <c r="D92" s="12">
        <v>0.16504944177542516</v>
      </c>
      <c r="E92" s="10">
        <v>5</v>
      </c>
      <c r="F92" s="10">
        <v>205.50000000000003</v>
      </c>
      <c r="G92" s="6">
        <v>2.4500000000000002</v>
      </c>
      <c r="H92" s="14">
        <f t="shared" si="1"/>
        <v>-3.7550000000000008</v>
      </c>
      <c r="I92" s="23"/>
      <c r="J92" s="7"/>
      <c r="K92" s="7"/>
      <c r="L92" s="24"/>
      <c r="M92" s="11" t="s">
        <v>202</v>
      </c>
    </row>
    <row r="93" spans="1:13">
      <c r="A93" s="83" t="s">
        <v>203</v>
      </c>
      <c r="B93" s="476">
        <v>-4559</v>
      </c>
      <c r="C93" s="71"/>
      <c r="D93" s="12">
        <v>0.19426266518058349</v>
      </c>
      <c r="E93" s="10">
        <v>3</v>
      </c>
      <c r="F93" s="10">
        <v>96</v>
      </c>
      <c r="G93" s="6">
        <v>3.49</v>
      </c>
      <c r="H93" s="14">
        <f t="shared" si="1"/>
        <v>-3.7</v>
      </c>
      <c r="I93" s="23"/>
      <c r="J93" s="7"/>
      <c r="K93" s="7"/>
      <c r="L93" s="24"/>
      <c r="M93" s="11" t="s">
        <v>204</v>
      </c>
    </row>
    <row r="94" spans="1:13">
      <c r="A94" s="82" t="s">
        <v>205</v>
      </c>
      <c r="B94" s="476">
        <v>-4240</v>
      </c>
      <c r="C94" s="71"/>
      <c r="D94" s="12">
        <v>0.18894337149737056</v>
      </c>
      <c r="E94" s="10">
        <v>12</v>
      </c>
      <c r="F94" s="10">
        <v>147.25</v>
      </c>
      <c r="G94" s="6">
        <v>3.86</v>
      </c>
      <c r="H94" s="14">
        <f t="shared" si="1"/>
        <v>-4.5824999999999996</v>
      </c>
      <c r="I94" s="23"/>
      <c r="J94" s="7"/>
      <c r="K94" s="7"/>
      <c r="L94" s="24"/>
      <c r="M94" s="11" t="s">
        <v>206</v>
      </c>
    </row>
    <row r="95" spans="1:13">
      <c r="A95" s="82" t="s">
        <v>207</v>
      </c>
      <c r="B95" s="476">
        <v>-4446</v>
      </c>
      <c r="C95" s="71"/>
      <c r="D95" s="12">
        <v>0.17391407185160324</v>
      </c>
      <c r="E95" s="10">
        <v>6</v>
      </c>
      <c r="F95" s="10">
        <v>97</v>
      </c>
      <c r="G95" s="6">
        <v>3.94</v>
      </c>
      <c r="H95" s="14">
        <f t="shared" si="1"/>
        <v>-4.16</v>
      </c>
      <c r="I95" s="23"/>
      <c r="J95" s="7"/>
      <c r="K95" s="7"/>
      <c r="L95" s="24"/>
      <c r="M95" s="11" t="s">
        <v>208</v>
      </c>
    </row>
    <row r="96" spans="1:13">
      <c r="A96" s="81" t="s">
        <v>209</v>
      </c>
      <c r="B96" s="476">
        <v>-1388</v>
      </c>
      <c r="C96" s="71"/>
      <c r="D96" s="12">
        <v>0.13764369691033657</v>
      </c>
      <c r="E96" s="10">
        <v>10</v>
      </c>
      <c r="F96" s="10">
        <v>134.5</v>
      </c>
      <c r="G96" s="6">
        <v>2.04</v>
      </c>
      <c r="H96" s="14">
        <f t="shared" si="1"/>
        <v>-2.6349999999999998</v>
      </c>
      <c r="I96" s="23"/>
      <c r="J96" s="7"/>
      <c r="K96" s="7"/>
      <c r="L96" s="24"/>
      <c r="M96" s="11" t="s">
        <v>210</v>
      </c>
    </row>
    <row r="97" spans="1:13">
      <c r="A97" s="82" t="s">
        <v>211</v>
      </c>
      <c r="B97" s="476">
        <v>-2786</v>
      </c>
      <c r="C97" s="71"/>
      <c r="D97" s="12">
        <v>0.16245746888591447</v>
      </c>
      <c r="E97" s="10">
        <v>7</v>
      </c>
      <c r="F97" s="10">
        <v>139</v>
      </c>
      <c r="G97" s="6">
        <v>2.66</v>
      </c>
      <c r="H97" s="14">
        <f t="shared" si="1"/>
        <v>-3.3000000000000003</v>
      </c>
      <c r="I97" s="23"/>
      <c r="J97" s="7"/>
      <c r="K97" s="7"/>
      <c r="L97" s="24"/>
      <c r="M97" s="11" t="s">
        <v>212</v>
      </c>
    </row>
    <row r="98" spans="1:13">
      <c r="A98" s="82" t="s">
        <v>213</v>
      </c>
      <c r="B98" s="476">
        <v>-2192</v>
      </c>
      <c r="C98" s="71"/>
      <c r="D98" s="12">
        <v>0.15322122505052199</v>
      </c>
      <c r="E98" s="10">
        <v>9</v>
      </c>
      <c r="F98" s="10">
        <v>170</v>
      </c>
      <c r="G98" s="6">
        <v>1.91</v>
      </c>
      <c r="H98" s="14">
        <f t="shared" si="1"/>
        <v>-2.86</v>
      </c>
      <c r="I98" s="23"/>
      <c r="J98" s="7"/>
      <c r="K98" s="7"/>
      <c r="L98" s="24"/>
      <c r="M98" s="11" t="s">
        <v>214</v>
      </c>
    </row>
    <row r="99" spans="1:13">
      <c r="A99" s="81" t="s">
        <v>215</v>
      </c>
      <c r="B99" s="476">
        <v>-3325</v>
      </c>
      <c r="C99" s="71"/>
      <c r="D99" s="12">
        <v>0.15273607916541068</v>
      </c>
      <c r="E99" s="10">
        <v>10</v>
      </c>
      <c r="F99" s="10">
        <v>326</v>
      </c>
      <c r="G99" s="6">
        <v>2.44</v>
      </c>
      <c r="H99" s="14">
        <f t="shared" si="1"/>
        <v>-4.95</v>
      </c>
      <c r="I99" s="23"/>
      <c r="J99" s="7"/>
      <c r="K99" s="7"/>
      <c r="L99" s="24"/>
      <c r="M99" s="11" t="s">
        <v>216</v>
      </c>
    </row>
    <row r="100" spans="1:13">
      <c r="A100" s="82" t="s">
        <v>217</v>
      </c>
      <c r="B100" s="476">
        <v>-3332</v>
      </c>
      <c r="C100" s="71"/>
      <c r="D100" s="12">
        <v>0.18404701512102448</v>
      </c>
      <c r="E100" s="10">
        <v>5</v>
      </c>
      <c r="F100" s="10">
        <v>232.50000000000003</v>
      </c>
      <c r="G100" s="6">
        <v>1.8</v>
      </c>
      <c r="H100" s="14">
        <f t="shared" si="1"/>
        <v>-3.375</v>
      </c>
      <c r="I100" s="23"/>
      <c r="J100" s="7"/>
      <c r="K100" s="7"/>
      <c r="L100" s="24"/>
      <c r="M100" s="11" t="s">
        <v>218</v>
      </c>
    </row>
    <row r="101" spans="1:13">
      <c r="A101" s="82" t="s">
        <v>219</v>
      </c>
      <c r="B101" s="476">
        <v>-1446</v>
      </c>
      <c r="C101" s="71"/>
      <c r="D101" s="12">
        <v>0.13604063752604376</v>
      </c>
      <c r="E101" s="10">
        <v>4</v>
      </c>
      <c r="F101" s="10">
        <v>281.5</v>
      </c>
      <c r="G101" s="6">
        <v>0.54</v>
      </c>
      <c r="H101" s="14">
        <f t="shared" si="1"/>
        <v>-2.605</v>
      </c>
      <c r="I101" s="23"/>
      <c r="J101" s="7"/>
      <c r="K101" s="7"/>
      <c r="L101" s="24"/>
      <c r="M101" s="11" t="s">
        <v>220</v>
      </c>
    </row>
    <row r="102" spans="1:13">
      <c r="A102" s="82" t="s">
        <v>221</v>
      </c>
      <c r="B102" s="476">
        <v>-2917</v>
      </c>
      <c r="C102" s="71"/>
      <c r="D102" s="12">
        <v>0.19798964803022484</v>
      </c>
      <c r="E102" s="10">
        <v>4</v>
      </c>
      <c r="F102" s="10">
        <v>197.1</v>
      </c>
      <c r="G102" s="6">
        <v>2.2000000000000002</v>
      </c>
      <c r="H102" s="14">
        <f t="shared" si="1"/>
        <v>-3.4210000000000003</v>
      </c>
      <c r="I102" s="23"/>
      <c r="J102" s="7"/>
      <c r="K102" s="7"/>
      <c r="L102" s="24"/>
      <c r="M102" s="11" t="s">
        <v>222</v>
      </c>
    </row>
    <row r="103" spans="1:13">
      <c r="A103" s="83" t="s">
        <v>223</v>
      </c>
      <c r="B103" s="476">
        <v>-4793</v>
      </c>
      <c r="C103" s="71"/>
      <c r="D103" s="12">
        <v>0.13486720020739137</v>
      </c>
      <c r="E103" s="10">
        <v>4</v>
      </c>
      <c r="F103" s="10">
        <v>33</v>
      </c>
      <c r="G103" s="6">
        <v>4.24</v>
      </c>
      <c r="H103" s="14">
        <f t="shared" si="1"/>
        <v>-3.8200000000000003</v>
      </c>
      <c r="I103" s="23"/>
      <c r="J103" s="7"/>
      <c r="K103" s="7"/>
      <c r="L103" s="24"/>
      <c r="M103" s="11" t="s">
        <v>224</v>
      </c>
    </row>
    <row r="104" spans="1:13">
      <c r="A104" s="82" t="s">
        <v>225</v>
      </c>
      <c r="B104" s="476">
        <v>-5074</v>
      </c>
      <c r="C104" s="71"/>
      <c r="D104" s="12">
        <v>0.18801274760604275</v>
      </c>
      <c r="E104" s="10">
        <v>11</v>
      </c>
      <c r="F104" s="10">
        <v>60</v>
      </c>
      <c r="G104" s="6">
        <v>4.24</v>
      </c>
      <c r="H104" s="14">
        <f t="shared" si="1"/>
        <v>-4.09</v>
      </c>
      <c r="I104" s="23"/>
      <c r="J104" s="7"/>
      <c r="K104" s="7"/>
      <c r="L104" s="24"/>
      <c r="M104" s="11" t="s">
        <v>226</v>
      </c>
    </row>
    <row r="105" spans="1:13">
      <c r="A105" s="82" t="s">
        <v>227</v>
      </c>
      <c r="B105" s="476">
        <v>-6692</v>
      </c>
      <c r="C105" s="71"/>
      <c r="D105" s="12">
        <v>0.1664014074224209</v>
      </c>
      <c r="E105" s="10">
        <v>4</v>
      </c>
      <c r="F105" s="10">
        <v>130.5</v>
      </c>
      <c r="G105" s="6">
        <v>5.22</v>
      </c>
      <c r="H105" s="14">
        <f t="shared" si="1"/>
        <v>-5.7749999999999995</v>
      </c>
      <c r="I105" s="23"/>
      <c r="J105" s="7"/>
      <c r="K105" s="7"/>
      <c r="L105" s="24"/>
      <c r="M105" s="11" t="s">
        <v>228</v>
      </c>
    </row>
    <row r="106" spans="1:13">
      <c r="A106" s="83" t="s">
        <v>103</v>
      </c>
      <c r="B106" s="476">
        <v>-3443</v>
      </c>
      <c r="C106" s="71"/>
      <c r="D106" s="12">
        <v>0.17506472136100007</v>
      </c>
      <c r="E106" s="10">
        <v>7</v>
      </c>
      <c r="F106" s="10">
        <v>254</v>
      </c>
      <c r="G106" s="6">
        <v>2.97</v>
      </c>
      <c r="H106" s="14">
        <f t="shared" si="1"/>
        <v>-4.76</v>
      </c>
      <c r="I106" s="23"/>
      <c r="J106" s="7"/>
      <c r="K106" s="7"/>
      <c r="L106" s="24"/>
      <c r="M106" s="11" t="s">
        <v>229</v>
      </c>
    </row>
    <row r="107" spans="1:13">
      <c r="A107" s="83" t="s">
        <v>230</v>
      </c>
      <c r="B107" s="476">
        <v>-6539</v>
      </c>
      <c r="C107" s="71"/>
      <c r="D107" s="12">
        <v>0.1605416460069265</v>
      </c>
      <c r="E107" s="10">
        <v>5</v>
      </c>
      <c r="F107" s="10">
        <v>121</v>
      </c>
      <c r="G107" s="6">
        <v>5.91</v>
      </c>
      <c r="H107" s="14">
        <f t="shared" si="1"/>
        <v>-6.37</v>
      </c>
      <c r="I107" s="23"/>
      <c r="J107" s="7"/>
      <c r="K107" s="7"/>
      <c r="L107" s="24"/>
      <c r="M107" s="11" t="s">
        <v>231</v>
      </c>
    </row>
    <row r="108" spans="1:13">
      <c r="A108" s="82" t="s">
        <v>232</v>
      </c>
      <c r="B108" s="476">
        <v>-3739</v>
      </c>
      <c r="C108" s="71"/>
      <c r="D108" s="12">
        <v>0.15756984748208766</v>
      </c>
      <c r="E108" s="10">
        <v>5</v>
      </c>
      <c r="F108" s="10">
        <v>206.99999999999997</v>
      </c>
      <c r="G108" s="6">
        <v>2.56</v>
      </c>
      <c r="H108" s="14">
        <f t="shared" si="1"/>
        <v>-3.88</v>
      </c>
      <c r="I108" s="23"/>
      <c r="J108" s="7"/>
      <c r="K108" s="7"/>
      <c r="L108" s="24"/>
      <c r="M108" s="11" t="s">
        <v>233</v>
      </c>
    </row>
    <row r="109" spans="1:13">
      <c r="A109" s="81" t="s">
        <v>234</v>
      </c>
      <c r="B109" s="476">
        <v>-5212</v>
      </c>
      <c r="C109" s="71"/>
      <c r="D109" s="12">
        <v>0.16160362353179636</v>
      </c>
      <c r="E109" s="10">
        <v>6</v>
      </c>
      <c r="F109" s="10">
        <v>134.5</v>
      </c>
      <c r="G109" s="6">
        <v>4.8499999999999996</v>
      </c>
      <c r="H109" s="14">
        <f t="shared" si="1"/>
        <v>-5.4449999999999994</v>
      </c>
      <c r="I109" s="23"/>
      <c r="J109" s="7"/>
      <c r="K109" s="7"/>
      <c r="L109" s="24"/>
      <c r="M109" s="11" t="s">
        <v>235</v>
      </c>
    </row>
    <row r="110" spans="1:13">
      <c r="A110" s="81" t="s">
        <v>236</v>
      </c>
      <c r="B110" s="476">
        <v>-3306</v>
      </c>
      <c r="C110" s="71"/>
      <c r="D110" s="12">
        <v>0.18685765827673947</v>
      </c>
      <c r="E110" s="10">
        <v>6</v>
      </c>
      <c r="F110" s="10">
        <v>275</v>
      </c>
      <c r="G110" s="6">
        <v>2.09</v>
      </c>
      <c r="H110" s="14">
        <f t="shared" si="1"/>
        <v>-4.09</v>
      </c>
      <c r="I110" s="23"/>
      <c r="J110" s="7"/>
      <c r="K110" s="7"/>
      <c r="L110" s="24"/>
      <c r="M110" s="11" t="s">
        <v>237</v>
      </c>
    </row>
    <row r="111" spans="1:13">
      <c r="A111" s="82" t="s">
        <v>238</v>
      </c>
      <c r="B111" s="476">
        <v>-2935</v>
      </c>
      <c r="C111" s="71"/>
      <c r="D111" s="12">
        <v>0.13950112944748669</v>
      </c>
      <c r="E111" s="10">
        <v>9</v>
      </c>
      <c r="F111" s="10">
        <v>220.00000000000003</v>
      </c>
      <c r="G111" s="6">
        <v>1.8</v>
      </c>
      <c r="H111" s="14">
        <f t="shared" si="1"/>
        <v>-3.2500000000000004</v>
      </c>
      <c r="I111" s="23"/>
      <c r="J111" s="7"/>
      <c r="K111" s="7"/>
      <c r="L111" s="24"/>
      <c r="M111" s="11" t="s">
        <v>239</v>
      </c>
    </row>
    <row r="112" spans="1:13">
      <c r="A112" s="85" t="s">
        <v>240</v>
      </c>
      <c r="B112" s="476">
        <v>-1833</v>
      </c>
      <c r="C112" s="72"/>
      <c r="D112" s="4">
        <v>0.22014005046870977</v>
      </c>
      <c r="E112" s="2">
        <v>9</v>
      </c>
      <c r="F112" s="10">
        <v>202</v>
      </c>
      <c r="G112" s="6">
        <v>1.53</v>
      </c>
      <c r="H112" s="14">
        <f t="shared" si="1"/>
        <v>-2.8</v>
      </c>
      <c r="I112" s="23"/>
      <c r="J112" s="7"/>
      <c r="K112" s="7"/>
      <c r="L112" s="24"/>
      <c r="M112" s="11" t="s">
        <v>241</v>
      </c>
    </row>
    <row r="113" spans="1:28">
      <c r="A113" s="82" t="s">
        <v>242</v>
      </c>
      <c r="B113" s="476">
        <v>-2529</v>
      </c>
      <c r="C113" s="71"/>
      <c r="D113" s="12">
        <v>0.14014083879485537</v>
      </c>
      <c r="E113" s="10">
        <v>3</v>
      </c>
      <c r="F113" s="10">
        <v>243.00000000000003</v>
      </c>
      <c r="G113" s="6">
        <v>1.48</v>
      </c>
      <c r="H113" s="14">
        <f t="shared" si="1"/>
        <v>-3.16</v>
      </c>
      <c r="I113" s="23"/>
      <c r="J113" s="7"/>
      <c r="K113" s="7"/>
      <c r="L113" s="24"/>
      <c r="M113" s="11" t="s">
        <v>243</v>
      </c>
    </row>
    <row r="114" spans="1:28">
      <c r="A114" s="83" t="s">
        <v>244</v>
      </c>
      <c r="B114" s="476">
        <v>-3586</v>
      </c>
      <c r="C114" s="71"/>
      <c r="D114" s="12">
        <v>0.13726989684757951</v>
      </c>
      <c r="E114" s="10">
        <v>3</v>
      </c>
      <c r="F114" s="10">
        <v>191</v>
      </c>
      <c r="G114" s="6">
        <v>1.67</v>
      </c>
      <c r="H114" s="14">
        <f t="shared" si="1"/>
        <v>-2.83</v>
      </c>
      <c r="I114" s="23"/>
      <c r="J114" s="7"/>
      <c r="K114" s="7"/>
      <c r="L114" s="24"/>
      <c r="M114" s="11" t="s">
        <v>245</v>
      </c>
    </row>
    <row r="115" spans="1:28">
      <c r="A115" s="82" t="s">
        <v>246</v>
      </c>
      <c r="B115" s="476">
        <v>-5695</v>
      </c>
      <c r="C115" s="71"/>
      <c r="D115" s="12">
        <v>0.21357402153711522</v>
      </c>
      <c r="E115" s="10">
        <v>7</v>
      </c>
      <c r="F115" s="10">
        <v>183.5</v>
      </c>
      <c r="G115" s="6">
        <v>4.37</v>
      </c>
      <c r="H115" s="14">
        <f t="shared" si="1"/>
        <v>-5.4550000000000001</v>
      </c>
      <c r="I115" s="23"/>
      <c r="J115" s="7"/>
      <c r="K115" s="7"/>
      <c r="L115" s="24"/>
      <c r="M115" s="11" t="s">
        <v>247</v>
      </c>
    </row>
    <row r="116" spans="1:28">
      <c r="A116" s="82" t="s">
        <v>248</v>
      </c>
      <c r="B116" s="476">
        <v>-3107</v>
      </c>
      <c r="C116" s="71"/>
      <c r="D116" s="12">
        <v>0.10564411177747912</v>
      </c>
      <c r="E116" s="10">
        <v>3</v>
      </c>
      <c r="F116" s="10">
        <v>149</v>
      </c>
      <c r="G116" s="6">
        <v>2.62</v>
      </c>
      <c r="H116" s="14">
        <f t="shared" si="1"/>
        <v>-3.3600000000000003</v>
      </c>
      <c r="I116" s="23"/>
      <c r="J116" s="7"/>
      <c r="K116" s="7"/>
      <c r="L116" s="24"/>
      <c r="M116" s="11" t="s">
        <v>249</v>
      </c>
    </row>
    <row r="117" spans="1:28">
      <c r="A117" s="81" t="s">
        <v>250</v>
      </c>
      <c r="B117" s="476">
        <v>-2976</v>
      </c>
      <c r="C117" s="71"/>
      <c r="D117" s="12">
        <v>0.14623917640453388</v>
      </c>
      <c r="E117" s="10">
        <v>8</v>
      </c>
      <c r="F117" s="10">
        <v>165</v>
      </c>
      <c r="G117" s="6">
        <v>-0.37</v>
      </c>
      <c r="H117" s="14">
        <f t="shared" si="1"/>
        <v>-0.53000000000000014</v>
      </c>
      <c r="I117" s="23"/>
      <c r="J117" s="7"/>
      <c r="K117" s="7"/>
      <c r="L117" s="24"/>
      <c r="M117" s="11" t="s">
        <v>251</v>
      </c>
    </row>
    <row r="118" spans="1:28">
      <c r="A118" s="82" t="s">
        <v>252</v>
      </c>
      <c r="B118" s="476">
        <v>-3150</v>
      </c>
      <c r="C118" s="71"/>
      <c r="D118" s="12">
        <v>0.16291639539032501</v>
      </c>
      <c r="E118" s="10">
        <v>10</v>
      </c>
      <c r="F118" s="10">
        <v>225</v>
      </c>
      <c r="G118" s="6">
        <v>0.81</v>
      </c>
      <c r="H118" s="14">
        <f t="shared" si="1"/>
        <v>-2.31</v>
      </c>
      <c r="I118" s="23"/>
      <c r="J118" s="7"/>
      <c r="K118" s="7"/>
      <c r="L118" s="24"/>
      <c r="M118" s="11" t="s">
        <v>253</v>
      </c>
    </row>
    <row r="119" spans="1:28">
      <c r="A119" s="82" t="s">
        <v>254</v>
      </c>
      <c r="B119" s="476">
        <v>-2045</v>
      </c>
      <c r="C119" s="71"/>
      <c r="D119" s="12">
        <v>0.21166647357477791</v>
      </c>
      <c r="E119" s="10">
        <v>5</v>
      </c>
      <c r="F119" s="10">
        <v>270</v>
      </c>
      <c r="G119" s="6">
        <v>0.62</v>
      </c>
      <c r="H119" s="14">
        <f t="shared" si="1"/>
        <v>-2.5700000000000003</v>
      </c>
      <c r="I119" s="23"/>
      <c r="J119" s="7"/>
      <c r="K119" s="7"/>
      <c r="L119" s="24"/>
      <c r="M119" s="11" t="s">
        <v>255</v>
      </c>
    </row>
    <row r="120" spans="1:28">
      <c r="A120" s="81" t="s">
        <v>256</v>
      </c>
      <c r="B120" s="476">
        <v>-3391</v>
      </c>
      <c r="C120" s="71"/>
      <c r="D120" s="12">
        <v>0.14175650298978676</v>
      </c>
      <c r="E120" s="10">
        <v>9</v>
      </c>
      <c r="F120" s="10">
        <v>312.66666666666669</v>
      </c>
      <c r="G120" s="6">
        <v>0.83</v>
      </c>
      <c r="H120" s="14">
        <f t="shared" si="1"/>
        <v>-3.206666666666667</v>
      </c>
      <c r="I120" s="23"/>
      <c r="J120" s="7"/>
      <c r="K120" s="7"/>
      <c r="L120" s="24"/>
      <c r="M120" s="11" t="s">
        <v>257</v>
      </c>
    </row>
    <row r="121" spans="1:28">
      <c r="A121" s="82" t="s">
        <v>258</v>
      </c>
      <c r="B121" s="476">
        <v>-3844</v>
      </c>
      <c r="C121" s="71"/>
      <c r="D121" s="12">
        <v>0.2034688635346244</v>
      </c>
      <c r="E121" s="10">
        <v>11</v>
      </c>
      <c r="F121" s="10">
        <v>161</v>
      </c>
      <c r="G121" s="6">
        <v>3.61</v>
      </c>
      <c r="H121" s="14">
        <f t="shared" si="1"/>
        <v>-4.47</v>
      </c>
      <c r="I121" s="23"/>
      <c r="J121" s="7"/>
      <c r="K121" s="7"/>
      <c r="L121" s="24"/>
      <c r="M121" s="11" t="s">
        <v>259</v>
      </c>
    </row>
    <row r="122" spans="1:28">
      <c r="A122" s="81" t="s">
        <v>109</v>
      </c>
      <c r="B122" s="476">
        <v>-1969</v>
      </c>
      <c r="C122" s="71"/>
      <c r="D122" s="12">
        <v>0.20579636821699754</v>
      </c>
      <c r="E122" s="10">
        <v>3</v>
      </c>
      <c r="F122" s="10">
        <v>300</v>
      </c>
      <c r="G122" s="6">
        <v>-1.06</v>
      </c>
      <c r="H122" s="14">
        <f t="shared" si="1"/>
        <v>-1.19</v>
      </c>
      <c r="I122" s="35"/>
      <c r="J122" s="27"/>
      <c r="K122" s="27"/>
      <c r="L122" s="28"/>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s="475">
        <v>-1869</v>
      </c>
      <c r="C129" s="73" t="s">
        <v>30</v>
      </c>
      <c r="D129" s="12">
        <v>0.50033555401430185</v>
      </c>
      <c r="E129" s="10">
        <v>3</v>
      </c>
      <c r="F129" s="10">
        <v>180</v>
      </c>
      <c r="G129" s="1">
        <v>1.91</v>
      </c>
      <c r="H129" s="14">
        <f t="shared" ref="H129:H160" si="2">0.5-G129-0.01*(F129-25)</f>
        <v>-2.96</v>
      </c>
      <c r="I129" s="53" t="s">
        <v>31</v>
      </c>
      <c r="J129" s="54"/>
      <c r="K129" s="14"/>
      <c r="L129" s="14"/>
      <c r="M129" s="3" t="s">
        <v>269</v>
      </c>
    </row>
    <row r="130" spans="1:13">
      <c r="A130" s="82" t="s">
        <v>270</v>
      </c>
      <c r="B130" s="476">
        <v>-6961</v>
      </c>
      <c r="C130" s="73" t="s">
        <v>36</v>
      </c>
      <c r="D130" s="12">
        <v>0.5</v>
      </c>
      <c r="E130" s="6">
        <v>5</v>
      </c>
      <c r="F130" s="10">
        <v>156</v>
      </c>
      <c r="G130" s="1">
        <v>6.94</v>
      </c>
      <c r="H130" s="14">
        <f t="shared" si="2"/>
        <v>-7.75</v>
      </c>
      <c r="I130" s="53" t="s">
        <v>37</v>
      </c>
      <c r="J130" s="54"/>
      <c r="K130" s="14"/>
      <c r="L130" s="14"/>
      <c r="M130" s="3" t="s">
        <v>271</v>
      </c>
    </row>
    <row r="131" spans="1:13">
      <c r="A131" s="83" t="s">
        <v>272</v>
      </c>
      <c r="B131" s="476">
        <v>-5060</v>
      </c>
      <c r="C131" s="73" t="s">
        <v>41</v>
      </c>
      <c r="D131" s="12">
        <v>0.6530957900260097</v>
      </c>
      <c r="E131" s="10">
        <v>3</v>
      </c>
      <c r="F131" s="10">
        <v>208</v>
      </c>
      <c r="G131" s="1">
        <v>5.18</v>
      </c>
      <c r="H131" s="14">
        <f t="shared" si="2"/>
        <v>-6.51</v>
      </c>
      <c r="I131" s="53" t="s">
        <v>42</v>
      </c>
      <c r="J131" s="54"/>
      <c r="K131" s="14"/>
      <c r="L131" s="14"/>
      <c r="M131" s="3" t="s">
        <v>273</v>
      </c>
    </row>
    <row r="132" spans="1:13">
      <c r="A132" s="82" t="s">
        <v>274</v>
      </c>
      <c r="B132" s="476">
        <v>-2451</v>
      </c>
      <c r="C132" s="73" t="s">
        <v>46</v>
      </c>
      <c r="D132" s="12">
        <v>0.59285217963150294</v>
      </c>
      <c r="E132" s="10">
        <v>3</v>
      </c>
      <c r="F132" s="10">
        <v>100</v>
      </c>
      <c r="G132" s="1">
        <v>2.37</v>
      </c>
      <c r="H132" s="14">
        <f t="shared" si="2"/>
        <v>-2.62</v>
      </c>
      <c r="I132" s="15" t="s">
        <v>47</v>
      </c>
      <c r="J132" s="29" t="s">
        <v>32</v>
      </c>
      <c r="K132" s="14"/>
      <c r="L132" s="14"/>
      <c r="M132" s="3" t="s">
        <v>275</v>
      </c>
    </row>
    <row r="133" spans="1:13">
      <c r="A133" s="82" t="s">
        <v>276</v>
      </c>
      <c r="B133" s="476">
        <v>-6654</v>
      </c>
      <c r="C133" s="73" t="s">
        <v>51</v>
      </c>
      <c r="D133" s="12">
        <v>0.51067901383936642</v>
      </c>
      <c r="E133" s="10">
        <v>5</v>
      </c>
      <c r="F133" s="10">
        <v>217</v>
      </c>
      <c r="G133" s="1">
        <v>3.19</v>
      </c>
      <c r="H133" s="14">
        <f t="shared" si="2"/>
        <v>-4.6099999999999994</v>
      </c>
      <c r="I133" s="15" t="s">
        <v>52</v>
      </c>
      <c r="J133" s="29"/>
      <c r="K133" s="14"/>
      <c r="L133" s="14"/>
      <c r="M133" s="3" t="s">
        <v>277</v>
      </c>
    </row>
    <row r="134" spans="1:13">
      <c r="A134" s="82" t="s">
        <v>278</v>
      </c>
      <c r="B134" s="476">
        <v>-5681</v>
      </c>
      <c r="C134" s="71"/>
      <c r="D134" s="12">
        <v>0.83065522865171437</v>
      </c>
      <c r="E134" s="10">
        <v>3</v>
      </c>
      <c r="F134" s="10">
        <v>209.50000000000003</v>
      </c>
      <c r="G134" s="1">
        <v>4.41</v>
      </c>
      <c r="H134" s="14">
        <f t="shared" si="2"/>
        <v>-5.7550000000000008</v>
      </c>
      <c r="I134" s="15" t="s">
        <v>56</v>
      </c>
      <c r="J134" s="29"/>
      <c r="K134" s="14"/>
      <c r="L134" s="14"/>
      <c r="M134" s="3" t="s">
        <v>279</v>
      </c>
    </row>
    <row r="135" spans="1:13">
      <c r="A135" s="82" t="s">
        <v>280</v>
      </c>
      <c r="B135" s="476">
        <v>-5634</v>
      </c>
      <c r="C135" s="71"/>
      <c r="D135" s="12">
        <v>0.51097181417141646</v>
      </c>
      <c r="E135" s="10">
        <v>6</v>
      </c>
      <c r="F135" s="10">
        <v>97.5</v>
      </c>
      <c r="G135" s="1">
        <v>5.19</v>
      </c>
      <c r="H135" s="14">
        <f t="shared" si="2"/>
        <v>-5.415</v>
      </c>
      <c r="I135" s="15" t="s">
        <v>60</v>
      </c>
      <c r="J135" s="31"/>
      <c r="K135" s="14"/>
      <c r="L135" s="14"/>
      <c r="M135" s="3" t="s">
        <v>281</v>
      </c>
    </row>
    <row r="136" spans="1:13">
      <c r="A136" s="81" t="s">
        <v>282</v>
      </c>
      <c r="B136" s="476">
        <v>-7176</v>
      </c>
      <c r="C136" s="71"/>
      <c r="D136" s="12">
        <v>0.92735432696895004</v>
      </c>
      <c r="E136" s="10">
        <v>5</v>
      </c>
      <c r="F136" s="10">
        <v>211</v>
      </c>
      <c r="G136" s="1">
        <v>7.49</v>
      </c>
      <c r="H136" s="14">
        <f t="shared" si="2"/>
        <v>-8.85</v>
      </c>
      <c r="I136" s="30" t="s">
        <v>64</v>
      </c>
      <c r="J136" s="123"/>
      <c r="K136" s="33"/>
      <c r="L136" s="34"/>
      <c r="M136" s="3" t="s">
        <v>283</v>
      </c>
    </row>
    <row r="137" spans="1:13">
      <c r="A137" s="82" t="s">
        <v>112</v>
      </c>
      <c r="B137" s="476">
        <v>-3518</v>
      </c>
      <c r="C137" s="71"/>
      <c r="D137" s="12">
        <v>0.68239272333923895</v>
      </c>
      <c r="E137" s="10">
        <v>3</v>
      </c>
      <c r="F137" s="10">
        <v>177</v>
      </c>
      <c r="G137" s="1">
        <v>3.37</v>
      </c>
      <c r="H137" s="14">
        <f t="shared" si="2"/>
        <v>-4.3900000000000006</v>
      </c>
      <c r="J137" s="14"/>
      <c r="K137" s="14"/>
      <c r="L137" s="14"/>
      <c r="M137" s="3" t="s">
        <v>284</v>
      </c>
    </row>
    <row r="138" spans="1:13">
      <c r="A138" s="82" t="s">
        <v>285</v>
      </c>
      <c r="B138" s="476">
        <v>-4948</v>
      </c>
      <c r="C138" s="71"/>
      <c r="D138" s="12">
        <v>0.520951861602862</v>
      </c>
      <c r="E138" s="10">
        <v>10</v>
      </c>
      <c r="F138" s="10">
        <v>228.6</v>
      </c>
      <c r="G138" s="1">
        <v>4.22</v>
      </c>
      <c r="H138" s="14">
        <f t="shared" si="2"/>
        <v>-5.7560000000000002</v>
      </c>
      <c r="I138" s="16" t="s">
        <v>286</v>
      </c>
      <c r="J138" s="17"/>
      <c r="K138" s="17"/>
      <c r="L138" s="18"/>
      <c r="M138" s="3" t="s">
        <v>287</v>
      </c>
    </row>
    <row r="139" spans="1:13">
      <c r="A139" s="81" t="s">
        <v>288</v>
      </c>
      <c r="B139" s="476">
        <v>-1538</v>
      </c>
      <c r="C139" s="71"/>
      <c r="D139" s="12">
        <v>0.53906642829149898</v>
      </c>
      <c r="E139" s="10">
        <v>3</v>
      </c>
      <c r="F139" s="10">
        <v>161.5</v>
      </c>
      <c r="G139" s="1">
        <v>-0.21</v>
      </c>
      <c r="H139" s="14">
        <f t="shared" si="2"/>
        <v>-0.65500000000000003</v>
      </c>
      <c r="I139" s="477" t="s">
        <v>954</v>
      </c>
      <c r="J139" s="21"/>
      <c r="K139" s="21"/>
      <c r="L139" s="22"/>
      <c r="M139" s="3" t="s">
        <v>289</v>
      </c>
    </row>
    <row r="140" spans="1:13">
      <c r="A140" s="81" t="s">
        <v>290</v>
      </c>
      <c r="B140" s="476">
        <v>-4099</v>
      </c>
      <c r="C140" s="71"/>
      <c r="D140" s="12">
        <v>0.56233984781338708</v>
      </c>
      <c r="E140" s="10">
        <v>11</v>
      </c>
      <c r="F140" s="10">
        <v>213.49999999999997</v>
      </c>
      <c r="G140" s="1">
        <v>3.04</v>
      </c>
      <c r="H140" s="14">
        <f t="shared" si="2"/>
        <v>-4.4249999999999998</v>
      </c>
      <c r="I140" s="478" t="s">
        <v>955</v>
      </c>
      <c r="J140" s="7"/>
      <c r="K140" s="7"/>
      <c r="L140" s="24"/>
      <c r="M140" s="3" t="s">
        <v>291</v>
      </c>
    </row>
    <row r="141" spans="1:13">
      <c r="A141" s="83" t="s">
        <v>292</v>
      </c>
      <c r="B141" s="476">
        <v>-3354</v>
      </c>
      <c r="C141" s="71"/>
      <c r="D141" s="12">
        <v>0.54710381306524825</v>
      </c>
      <c r="E141" s="10">
        <v>4</v>
      </c>
      <c r="F141" s="10">
        <v>168.5</v>
      </c>
      <c r="G141" s="1">
        <v>3.35</v>
      </c>
      <c r="H141" s="14">
        <f t="shared" si="2"/>
        <v>-4.2850000000000001</v>
      </c>
      <c r="I141" s="23"/>
      <c r="J141" s="7"/>
      <c r="K141" s="7"/>
      <c r="L141" s="24"/>
      <c r="M141" s="3" t="s">
        <v>293</v>
      </c>
    </row>
    <row r="142" spans="1:13">
      <c r="A142" s="81" t="s">
        <v>114</v>
      </c>
      <c r="B142" s="476">
        <v>-2867</v>
      </c>
      <c r="C142" s="71"/>
      <c r="D142" s="12">
        <v>0.54612637818466869</v>
      </c>
      <c r="E142" s="10">
        <v>3</v>
      </c>
      <c r="F142" s="13">
        <v>124.1</v>
      </c>
      <c r="G142" s="1">
        <v>2.81</v>
      </c>
      <c r="H142" s="14">
        <f t="shared" si="2"/>
        <v>-3.3010000000000002</v>
      </c>
      <c r="I142" s="25"/>
      <c r="J142" s="7"/>
      <c r="K142" s="7"/>
      <c r="L142" s="24"/>
      <c r="M142" s="3" t="s">
        <v>294</v>
      </c>
    </row>
    <row r="143" spans="1:13">
      <c r="A143" s="81" t="s">
        <v>295</v>
      </c>
      <c r="B143" s="476">
        <v>-5125</v>
      </c>
      <c r="C143" s="71"/>
      <c r="D143" s="12">
        <v>0.51160213896594608</v>
      </c>
      <c r="E143" s="10">
        <v>4</v>
      </c>
      <c r="F143" s="10">
        <v>165</v>
      </c>
      <c r="G143" s="1">
        <v>4.8899999999999997</v>
      </c>
      <c r="H143" s="14">
        <f t="shared" si="2"/>
        <v>-5.79</v>
      </c>
      <c r="I143" s="25"/>
      <c r="J143" s="7"/>
      <c r="K143" s="7"/>
      <c r="L143" s="24"/>
      <c r="M143" s="3" t="s">
        <v>296</v>
      </c>
    </row>
    <row r="144" spans="1:13">
      <c r="A144" s="81" t="s">
        <v>117</v>
      </c>
      <c r="B144" s="476">
        <v>-5529</v>
      </c>
      <c r="C144" s="71"/>
      <c r="D144" s="12">
        <v>0.65141515533308314</v>
      </c>
      <c r="E144" s="10">
        <v>4</v>
      </c>
      <c r="F144" s="10">
        <v>161.1</v>
      </c>
      <c r="G144" s="1">
        <v>4.76</v>
      </c>
      <c r="H144" s="14">
        <f t="shared" si="2"/>
        <v>-5.6209999999999996</v>
      </c>
      <c r="I144" s="25"/>
      <c r="J144" s="7"/>
      <c r="K144" s="7"/>
      <c r="L144" s="24"/>
      <c r="M144" s="3" t="s">
        <v>297</v>
      </c>
    </row>
    <row r="145" spans="1:28">
      <c r="A145" s="83" t="s">
        <v>298</v>
      </c>
      <c r="B145" s="476">
        <v>-5777</v>
      </c>
      <c r="C145" s="71"/>
      <c r="D145" s="12">
        <v>0.65883215509381909</v>
      </c>
      <c r="E145" s="10">
        <v>3</v>
      </c>
      <c r="F145" s="10">
        <v>155</v>
      </c>
      <c r="G145" s="1">
        <v>3.74</v>
      </c>
      <c r="H145" s="14">
        <f t="shared" si="2"/>
        <v>-4.54</v>
      </c>
      <c r="I145" s="25"/>
      <c r="J145" s="7"/>
      <c r="K145" s="7"/>
      <c r="L145" s="24"/>
      <c r="M145" s="3" t="s">
        <v>299</v>
      </c>
    </row>
    <row r="146" spans="1:28">
      <c r="A146" s="82" t="s">
        <v>300</v>
      </c>
      <c r="B146" s="476">
        <v>-7021</v>
      </c>
      <c r="C146" s="71"/>
      <c r="D146" s="12">
        <v>0.61400477095750339</v>
      </c>
      <c r="E146" s="10">
        <v>3</v>
      </c>
      <c r="F146" s="10">
        <v>165.4</v>
      </c>
      <c r="G146" s="1">
        <v>5.58</v>
      </c>
      <c r="H146" s="14">
        <f t="shared" si="2"/>
        <v>-6.484</v>
      </c>
      <c r="I146" s="25"/>
      <c r="J146" s="7"/>
      <c r="K146" s="7"/>
      <c r="L146" s="24"/>
      <c r="M146" s="3" t="s">
        <v>301</v>
      </c>
    </row>
    <row r="147" spans="1:28">
      <c r="A147" s="82" t="s">
        <v>302</v>
      </c>
      <c r="B147" s="476">
        <v>-5795</v>
      </c>
      <c r="C147" s="71"/>
      <c r="D147" s="12">
        <v>0.50406532001413251</v>
      </c>
      <c r="E147" s="10">
        <v>6</v>
      </c>
      <c r="F147" s="10">
        <v>161</v>
      </c>
      <c r="G147" s="1">
        <v>6.45</v>
      </c>
      <c r="H147" s="14">
        <f t="shared" si="2"/>
        <v>-7.3100000000000005</v>
      </c>
      <c r="I147" s="26"/>
      <c r="J147" s="27"/>
      <c r="K147" s="27"/>
      <c r="L147" s="28"/>
      <c r="M147" s="3" t="s">
        <v>303</v>
      </c>
    </row>
    <row r="148" spans="1:28">
      <c r="A148" s="82" t="s">
        <v>304</v>
      </c>
      <c r="B148" s="476">
        <v>-5794</v>
      </c>
      <c r="C148" s="71"/>
      <c r="D148" s="12">
        <v>0.75493366325441691</v>
      </c>
      <c r="E148" s="10">
        <v>4</v>
      </c>
      <c r="F148" s="10">
        <v>193.5</v>
      </c>
      <c r="G148" s="1">
        <v>5.41</v>
      </c>
      <c r="H148" s="14">
        <f t="shared" si="2"/>
        <v>-6.5950000000000006</v>
      </c>
      <c r="J148" s="14"/>
      <c r="K148" s="14"/>
      <c r="L148" s="14"/>
      <c r="M148" s="3" t="s">
        <v>305</v>
      </c>
    </row>
    <row r="149" spans="1:28">
      <c r="A149" s="82" t="s">
        <v>306</v>
      </c>
      <c r="B149" s="476">
        <v>-2688</v>
      </c>
      <c r="C149" s="71"/>
      <c r="D149" s="12">
        <v>0.50089358058597189</v>
      </c>
      <c r="E149" s="10">
        <v>3</v>
      </c>
      <c r="F149" s="10">
        <v>156</v>
      </c>
      <c r="G149" s="1">
        <v>2.9</v>
      </c>
      <c r="H149" s="14">
        <f t="shared" si="2"/>
        <v>-3.71</v>
      </c>
      <c r="I149" s="70" t="s">
        <v>133</v>
      </c>
      <c r="J149" s="131">
        <v>248</v>
      </c>
      <c r="K149" s="34"/>
      <c r="L149" s="14"/>
      <c r="M149" s="3" t="s">
        <v>307</v>
      </c>
    </row>
    <row r="150" spans="1:28">
      <c r="A150" s="83" t="s">
        <v>308</v>
      </c>
      <c r="B150" s="476">
        <v>-4660</v>
      </c>
      <c r="C150" s="71"/>
      <c r="D150" s="12">
        <v>0.6587984329866341</v>
      </c>
      <c r="E150" s="10">
        <v>4</v>
      </c>
      <c r="F150" s="10">
        <v>183.5</v>
      </c>
      <c r="G150" s="1">
        <v>3.16</v>
      </c>
      <c r="H150" s="14">
        <f t="shared" si="2"/>
        <v>-4.2450000000000001</v>
      </c>
      <c r="I150" s="70" t="s">
        <v>136</v>
      </c>
      <c r="J150" s="480">
        <v>0.2</v>
      </c>
      <c r="K150" s="34"/>
      <c r="L150" s="14"/>
      <c r="M150" s="3" t="s">
        <v>309</v>
      </c>
    </row>
    <row r="151" spans="1:28">
      <c r="A151" s="83" t="s">
        <v>310</v>
      </c>
      <c r="B151" s="476">
        <v>-2803</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s="476">
        <v>-2517</v>
      </c>
      <c r="C152" s="71"/>
      <c r="D152" s="12">
        <v>0.57115657899345518</v>
      </c>
      <c r="E152" s="10">
        <v>7</v>
      </c>
      <c r="F152" s="10">
        <v>177</v>
      </c>
      <c r="G152" s="1">
        <v>3.17</v>
      </c>
      <c r="H152" s="14">
        <f t="shared" si="2"/>
        <v>-4.1899999999999995</v>
      </c>
      <c r="I152" s="14"/>
      <c r="J152" s="14"/>
      <c r="K152" s="14"/>
      <c r="L152" s="14"/>
      <c r="M152" s="3" t="s">
        <v>313</v>
      </c>
    </row>
    <row r="153" spans="1:28">
      <c r="A153" s="81" t="s">
        <v>314</v>
      </c>
      <c r="B153" s="476">
        <v>-6445</v>
      </c>
      <c r="C153" s="71"/>
      <c r="D153" s="12">
        <v>0.55807775121880254</v>
      </c>
      <c r="E153" s="10">
        <v>6</v>
      </c>
      <c r="F153" s="10">
        <v>145</v>
      </c>
      <c r="G153" s="1">
        <v>6.08</v>
      </c>
      <c r="H153" s="14">
        <f t="shared" si="2"/>
        <v>-6.78</v>
      </c>
      <c r="I153" s="19" t="s">
        <v>144</v>
      </c>
      <c r="J153" s="17"/>
      <c r="K153" s="17"/>
      <c r="L153" s="18"/>
      <c r="M153" s="3" t="s">
        <v>315</v>
      </c>
    </row>
    <row r="154" spans="1:28">
      <c r="A154" s="81" t="s">
        <v>316</v>
      </c>
      <c r="B154" s="476">
        <v>-7025</v>
      </c>
      <c r="C154" s="71"/>
      <c r="D154" s="12">
        <v>0.66417698790166113</v>
      </c>
      <c r="E154" s="10">
        <v>3</v>
      </c>
      <c r="F154" s="13">
        <v>175.8</v>
      </c>
      <c r="G154" s="1">
        <v>4.62</v>
      </c>
      <c r="H154" s="14">
        <f t="shared" si="2"/>
        <v>-5.6280000000000001</v>
      </c>
      <c r="I154" s="124" t="s">
        <v>958</v>
      </c>
      <c r="J154" s="21"/>
      <c r="K154" s="21"/>
      <c r="L154" s="22"/>
      <c r="M154" s="3" t="s">
        <v>317</v>
      </c>
    </row>
    <row r="155" spans="1:28">
      <c r="A155" s="82" t="s">
        <v>318</v>
      </c>
      <c r="B155" s="476">
        <v>-6746</v>
      </c>
      <c r="C155" s="71"/>
      <c r="D155" s="12">
        <v>0.57716593661781801</v>
      </c>
      <c r="E155" s="10">
        <v>3</v>
      </c>
      <c r="F155" s="10">
        <v>349.84</v>
      </c>
      <c r="G155" s="1">
        <v>3.09</v>
      </c>
      <c r="H155" s="14">
        <f t="shared" si="2"/>
        <v>-5.8384</v>
      </c>
      <c r="I155" s="23"/>
      <c r="J155" s="7"/>
      <c r="K155" s="7"/>
      <c r="L155" s="24"/>
      <c r="M155" s="3" t="s">
        <v>319</v>
      </c>
    </row>
    <row r="156" spans="1:28">
      <c r="A156" s="83" t="s">
        <v>320</v>
      </c>
      <c r="B156" s="476">
        <v>-2846</v>
      </c>
      <c r="C156" s="71"/>
      <c r="D156" s="12">
        <v>0.70324590282883903</v>
      </c>
      <c r="E156" s="10">
        <v>3</v>
      </c>
      <c r="F156" s="10">
        <v>204</v>
      </c>
      <c r="G156" s="1">
        <v>0.88</v>
      </c>
      <c r="H156" s="14">
        <f t="shared" si="2"/>
        <v>-2.17</v>
      </c>
      <c r="I156" s="23"/>
      <c r="J156" s="7"/>
      <c r="K156" s="7"/>
      <c r="L156" s="24"/>
      <c r="M156" s="3" t="s">
        <v>321</v>
      </c>
    </row>
    <row r="157" spans="1:28">
      <c r="A157" s="82" t="s">
        <v>322</v>
      </c>
      <c r="B157" s="476">
        <v>-6541</v>
      </c>
      <c r="C157" s="71"/>
      <c r="D157" s="12">
        <v>0.7237903588794764</v>
      </c>
      <c r="E157" s="10">
        <v>7</v>
      </c>
      <c r="F157" s="10">
        <v>97.8</v>
      </c>
      <c r="G157" s="1">
        <v>6</v>
      </c>
      <c r="H157" s="14">
        <f t="shared" si="2"/>
        <v>-6.2279999999999998</v>
      </c>
      <c r="I157" s="23"/>
      <c r="J157" s="7"/>
      <c r="K157" s="7"/>
      <c r="L157" s="24"/>
      <c r="M157" s="3" t="s">
        <v>323</v>
      </c>
    </row>
    <row r="158" spans="1:28">
      <c r="A158" s="82" t="s">
        <v>324</v>
      </c>
      <c r="B158" s="476">
        <v>-7578</v>
      </c>
      <c r="C158" s="71"/>
      <c r="D158" s="12">
        <v>0.84033450922624497</v>
      </c>
      <c r="E158" s="10">
        <v>5</v>
      </c>
      <c r="F158" s="10">
        <v>262</v>
      </c>
      <c r="G158" s="1">
        <v>7.26</v>
      </c>
      <c r="H158" s="14">
        <f t="shared" si="2"/>
        <v>-9.129999999999999</v>
      </c>
      <c r="I158" s="23"/>
      <c r="J158" s="7"/>
      <c r="K158" s="7"/>
      <c r="L158" s="24"/>
      <c r="M158" s="3" t="s">
        <v>325</v>
      </c>
    </row>
    <row r="159" spans="1:28">
      <c r="A159" s="82" t="s">
        <v>326</v>
      </c>
      <c r="B159" s="476">
        <v>-7012</v>
      </c>
      <c r="C159" s="71"/>
      <c r="D159" s="12">
        <v>0.70969645885144073</v>
      </c>
      <c r="E159" s="10">
        <v>11</v>
      </c>
      <c r="F159" s="10">
        <v>149.6</v>
      </c>
      <c r="G159" s="1">
        <v>6.45</v>
      </c>
      <c r="H159" s="14">
        <f t="shared" si="2"/>
        <v>-7.1959999999999997</v>
      </c>
      <c r="I159" s="23"/>
      <c r="J159" s="7"/>
      <c r="K159" s="7"/>
      <c r="L159" s="24"/>
      <c r="M159" s="3" t="s">
        <v>327</v>
      </c>
    </row>
    <row r="160" spans="1:28" s="62" customFormat="1">
      <c r="A160" s="81" t="s">
        <v>328</v>
      </c>
      <c r="B160" s="476">
        <v>-1726</v>
      </c>
      <c r="C160" s="71"/>
      <c r="D160" s="12">
        <v>0.49644864464459931</v>
      </c>
      <c r="E160" s="10">
        <v>4</v>
      </c>
      <c r="F160" s="10">
        <v>304.5</v>
      </c>
      <c r="G160" s="1">
        <v>2.69</v>
      </c>
      <c r="H160" s="14">
        <f t="shared" si="2"/>
        <v>-4.9849999999999994</v>
      </c>
      <c r="I160" s="35"/>
      <c r="J160" s="27"/>
      <c r="K160" s="27"/>
      <c r="L160" s="28"/>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481" t="s">
        <v>955</v>
      </c>
      <c r="B194" s="44"/>
      <c r="C194" s="44"/>
      <c r="D194" s="44"/>
      <c r="E194" s="44"/>
      <c r="F194" s="44"/>
      <c r="G194" s="44"/>
      <c r="H194" s="44"/>
      <c r="I194" s="44"/>
      <c r="J194" s="44"/>
      <c r="K194" s="44"/>
      <c r="L194" s="44"/>
      <c r="M194" s="48"/>
      <c r="N194" s="44"/>
      <c r="O194" s="44"/>
      <c r="P194" s="44"/>
      <c r="Q194" s="45"/>
    </row>
  </sheetData>
  <pageMargins left="0" right="0" top="0" bottom="0" header="0.3" footer="0.3"/>
  <pageSetup scale="54" orientation="landscape"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A1A96-D7D5-4F53-B704-13A9A0BB9EF8}">
  <dimension ref="A1:AB1000"/>
  <sheetViews>
    <sheetView workbookViewId="0">
      <selection activeCell="B4" sqref="B4:B9"/>
    </sheetView>
  </sheetViews>
  <sheetFormatPr baseColWidth="10" defaultColWidth="14" defaultRowHeight="15" customHeight="1"/>
  <cols>
    <col min="1" max="1" width="18.33203125" style="486" customWidth="1"/>
    <col min="2" max="3" width="11" style="486" customWidth="1"/>
    <col min="4" max="4" width="7.5" style="486" customWidth="1"/>
    <col min="5" max="5" width="7.6640625" style="486" customWidth="1"/>
    <col min="6" max="6" width="9.83203125" style="486" customWidth="1"/>
    <col min="7" max="7" width="11.1640625" style="486" customWidth="1"/>
    <col min="8" max="8" width="8.83203125" style="486" customWidth="1"/>
    <col min="9" max="9" width="12.6640625" style="486" customWidth="1"/>
    <col min="10" max="10" width="4.33203125" style="486" customWidth="1"/>
    <col min="11" max="12" width="8.83203125" style="486" customWidth="1"/>
    <col min="13" max="13" width="8.6640625" style="486" customWidth="1"/>
    <col min="14" max="28" width="8.83203125" style="486" customWidth="1"/>
    <col min="29" max="16384" width="14" style="486"/>
  </cols>
  <sheetData>
    <row r="1" spans="1:28" ht="34">
      <c r="A1" s="482"/>
      <c r="B1" s="483" t="s">
        <v>0</v>
      </c>
      <c r="C1" s="484"/>
      <c r="D1" s="482"/>
      <c r="E1" s="482"/>
      <c r="F1" s="482"/>
      <c r="G1" s="482"/>
      <c r="H1" s="482"/>
      <c r="I1" s="482"/>
      <c r="J1" s="482"/>
      <c r="K1" s="482"/>
      <c r="L1" s="482"/>
      <c r="M1" s="482"/>
      <c r="N1" s="482"/>
      <c r="O1" s="482"/>
      <c r="P1" s="482"/>
      <c r="Q1" s="482"/>
      <c r="R1" s="482"/>
      <c r="S1" s="482"/>
      <c r="T1" s="482"/>
      <c r="U1" s="482"/>
      <c r="V1" s="482"/>
      <c r="W1" s="482"/>
      <c r="X1" s="482"/>
      <c r="Y1" s="485"/>
      <c r="Z1" s="482"/>
      <c r="AA1" s="482"/>
      <c r="AB1" s="482"/>
    </row>
    <row r="2" spans="1:28" ht="21">
      <c r="A2" s="482"/>
      <c r="B2" s="487" t="s">
        <v>1</v>
      </c>
      <c r="C2" s="488"/>
      <c r="D2" s="482"/>
      <c r="E2" s="482"/>
      <c r="F2" s="482"/>
      <c r="G2" s="482"/>
      <c r="H2" s="482"/>
      <c r="I2" s="482"/>
      <c r="J2" s="482"/>
      <c r="K2" s="482"/>
      <c r="L2" s="482"/>
      <c r="M2" s="482"/>
      <c r="N2" s="482"/>
      <c r="O2" s="482"/>
      <c r="P2" s="482"/>
      <c r="Q2" s="482"/>
      <c r="R2" s="482"/>
      <c r="S2" s="482"/>
      <c r="T2" s="482"/>
      <c r="U2" s="482"/>
      <c r="V2" s="482"/>
      <c r="W2" s="482"/>
      <c r="X2" s="482"/>
      <c r="Y2" s="489"/>
      <c r="Z2" s="482"/>
      <c r="AA2" s="482"/>
      <c r="AB2" s="482"/>
    </row>
    <row r="3" spans="1:28" ht="19">
      <c r="A3" s="482"/>
      <c r="B3" s="490" t="s">
        <v>2</v>
      </c>
      <c r="C3" s="488"/>
      <c r="D3" s="482"/>
      <c r="E3" s="482"/>
      <c r="F3" s="482"/>
      <c r="G3" s="482"/>
      <c r="H3" s="482"/>
      <c r="I3" s="482"/>
      <c r="J3" s="482"/>
      <c r="K3" s="482"/>
      <c r="L3" s="482"/>
      <c r="M3" s="482"/>
      <c r="N3" s="482"/>
      <c r="O3" s="482"/>
      <c r="P3" s="482"/>
      <c r="Q3" s="482"/>
      <c r="R3" s="482"/>
      <c r="S3" s="482"/>
      <c r="T3" s="482"/>
      <c r="U3" s="482"/>
      <c r="V3" s="482"/>
      <c r="W3" s="482"/>
      <c r="X3" s="482"/>
      <c r="Y3" s="491"/>
      <c r="Z3" s="482"/>
      <c r="AA3" s="482"/>
      <c r="AB3" s="482"/>
    </row>
    <row r="4" spans="1:28">
      <c r="A4" s="492" t="s">
        <v>3</v>
      </c>
      <c r="B4" s="493"/>
      <c r="C4" s="494"/>
      <c r="D4" s="494"/>
      <c r="E4" s="494"/>
      <c r="F4" s="494"/>
      <c r="G4" s="494"/>
      <c r="H4" s="494"/>
      <c r="I4" s="494"/>
      <c r="J4" s="494"/>
      <c r="K4" s="494"/>
      <c r="L4" s="494"/>
      <c r="M4" s="494"/>
      <c r="N4" s="494"/>
      <c r="O4" s="494"/>
      <c r="P4" s="494"/>
      <c r="Q4" s="494"/>
      <c r="R4" s="495"/>
      <c r="S4" s="482"/>
      <c r="T4" s="482"/>
      <c r="U4" s="482"/>
      <c r="V4" s="482"/>
      <c r="W4" s="482"/>
      <c r="X4" s="482"/>
      <c r="Y4" s="482"/>
      <c r="Z4" s="482"/>
      <c r="AA4" s="482"/>
      <c r="AB4" s="482"/>
    </row>
    <row r="5" spans="1:28">
      <c r="A5" s="492" t="s">
        <v>4</v>
      </c>
      <c r="B5" s="496"/>
      <c r="C5" s="497"/>
      <c r="D5" s="497"/>
      <c r="E5" s="497"/>
      <c r="F5" s="497"/>
      <c r="G5" s="497"/>
      <c r="H5" s="497"/>
      <c r="I5" s="497"/>
      <c r="J5" s="497"/>
      <c r="K5" s="497"/>
      <c r="L5" s="497"/>
      <c r="M5" s="497"/>
      <c r="N5" s="497"/>
      <c r="O5" s="497"/>
      <c r="P5" s="497"/>
      <c r="Q5" s="497"/>
      <c r="R5" s="498"/>
      <c r="S5" s="482"/>
      <c r="T5" s="482"/>
      <c r="U5" s="482"/>
      <c r="V5" s="482"/>
      <c r="W5" s="482"/>
      <c r="X5" s="482"/>
      <c r="Y5" s="482"/>
      <c r="Z5" s="482"/>
      <c r="AA5" s="482"/>
      <c r="AB5" s="482"/>
    </row>
    <row r="6" spans="1:28">
      <c r="A6" s="499" t="s">
        <v>5</v>
      </c>
      <c r="B6" s="493"/>
      <c r="C6" s="494"/>
      <c r="D6" s="494"/>
      <c r="E6" s="494"/>
      <c r="F6" s="494"/>
      <c r="G6" s="494"/>
      <c r="H6" s="494"/>
      <c r="I6" s="494"/>
      <c r="J6" s="494"/>
      <c r="K6" s="494"/>
      <c r="L6" s="494"/>
      <c r="M6" s="494"/>
      <c r="N6" s="494"/>
      <c r="O6" s="494"/>
      <c r="P6" s="494"/>
      <c r="Q6" s="494"/>
      <c r="R6" s="495"/>
      <c r="S6" s="482"/>
      <c r="T6" s="482"/>
      <c r="U6" s="482"/>
      <c r="V6" s="482"/>
      <c r="W6" s="482"/>
      <c r="X6" s="482"/>
      <c r="Y6" s="482"/>
      <c r="Z6" s="482"/>
      <c r="AA6" s="482"/>
      <c r="AB6" s="482"/>
    </row>
    <row r="7" spans="1:28">
      <c r="A7" s="500"/>
      <c r="B7" s="501"/>
      <c r="C7" s="497"/>
      <c r="D7" s="497"/>
      <c r="E7" s="497"/>
      <c r="F7" s="497"/>
      <c r="G7" s="497"/>
      <c r="H7" s="497"/>
      <c r="I7" s="497"/>
      <c r="J7" s="497"/>
      <c r="K7" s="497"/>
      <c r="L7" s="497"/>
      <c r="M7" s="497"/>
      <c r="N7" s="497"/>
      <c r="O7" s="497"/>
      <c r="P7" s="497"/>
      <c r="Q7" s="497"/>
      <c r="R7" s="498"/>
      <c r="S7" s="482"/>
      <c r="T7" s="482"/>
      <c r="U7" s="482"/>
      <c r="V7" s="482"/>
      <c r="W7" s="482"/>
      <c r="X7" s="482"/>
      <c r="Y7" s="482"/>
      <c r="Z7" s="482"/>
      <c r="AA7" s="482"/>
      <c r="AB7" s="482"/>
    </row>
    <row r="8" spans="1:28">
      <c r="A8" s="499" t="s">
        <v>6</v>
      </c>
      <c r="B8" s="493"/>
      <c r="C8" s="494"/>
      <c r="D8" s="494"/>
      <c r="E8" s="494"/>
      <c r="F8" s="494"/>
      <c r="G8" s="494"/>
      <c r="H8" s="494"/>
      <c r="I8" s="494"/>
      <c r="J8" s="494"/>
      <c r="K8" s="494"/>
      <c r="L8" s="494"/>
      <c r="M8" s="494"/>
      <c r="N8" s="494"/>
      <c r="O8" s="494"/>
      <c r="P8" s="494"/>
      <c r="Q8" s="494"/>
      <c r="R8" s="495"/>
      <c r="S8" s="482"/>
      <c r="T8" s="482"/>
      <c r="U8" s="482"/>
      <c r="V8" s="482"/>
      <c r="W8" s="482"/>
      <c r="X8" s="482"/>
      <c r="Y8" s="482"/>
      <c r="Z8" s="482"/>
      <c r="AA8" s="482"/>
      <c r="AB8" s="482"/>
    </row>
    <row r="9" spans="1:28">
      <c r="A9" s="502" t="s">
        <v>7</v>
      </c>
      <c r="B9" s="503"/>
      <c r="C9" s="504"/>
      <c r="D9" s="504"/>
      <c r="E9" s="504"/>
      <c r="F9" s="504"/>
      <c r="G9" s="504"/>
      <c r="H9" s="504"/>
      <c r="I9" s="504"/>
      <c r="J9" s="504"/>
      <c r="K9" s="504"/>
      <c r="L9" s="504"/>
      <c r="M9" s="504"/>
      <c r="N9" s="504"/>
      <c r="O9" s="504"/>
      <c r="P9" s="504"/>
      <c r="Q9" s="504"/>
      <c r="R9" s="505"/>
      <c r="S9" s="482"/>
      <c r="T9" s="482"/>
      <c r="U9" s="482"/>
      <c r="V9" s="482"/>
      <c r="W9" s="482"/>
      <c r="X9" s="482"/>
      <c r="Y9" s="482"/>
      <c r="Z9" s="482"/>
      <c r="AA9" s="482"/>
      <c r="AB9" s="482"/>
    </row>
    <row r="10" spans="1:28">
      <c r="A10" s="506"/>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c r="AA10" s="482"/>
      <c r="AB10" s="482"/>
    </row>
    <row r="11" spans="1:28" ht="26">
      <c r="A11" s="507" t="s">
        <v>959</v>
      </c>
      <c r="B11" s="507"/>
      <c r="C11" s="507"/>
      <c r="D11" s="507"/>
      <c r="E11" s="507"/>
      <c r="F11" s="507"/>
      <c r="G11" s="507"/>
      <c r="H11" s="507"/>
      <c r="I11" s="507"/>
      <c r="J11" s="507"/>
      <c r="K11" s="507"/>
      <c r="L11" s="507"/>
      <c r="M11" s="507"/>
      <c r="N11" s="507"/>
      <c r="O11" s="507"/>
      <c r="P11" s="507"/>
      <c r="Q11" s="507"/>
      <c r="R11" s="507"/>
      <c r="S11" s="507"/>
      <c r="T11" s="507"/>
      <c r="U11" s="507"/>
      <c r="V11" s="507"/>
      <c r="W11" s="507"/>
      <c r="X11" s="507"/>
      <c r="Y11" s="507"/>
      <c r="Z11" s="507"/>
      <c r="AA11" s="507"/>
      <c r="AB11" s="507"/>
    </row>
    <row r="12" spans="1:28">
      <c r="A12" s="482"/>
      <c r="B12" s="508" t="s">
        <v>960</v>
      </c>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c r="AA12" s="482"/>
      <c r="AB12" s="482"/>
    </row>
    <row r="13" spans="1:28">
      <c r="A13" s="509" t="s">
        <v>961</v>
      </c>
      <c r="B13" s="510"/>
      <c r="C13" s="510"/>
      <c r="D13" s="510"/>
      <c r="E13" s="510"/>
      <c r="F13" s="510"/>
      <c r="G13" s="510"/>
      <c r="H13" s="510"/>
      <c r="I13" s="510"/>
      <c r="J13" s="510"/>
      <c r="K13" s="510"/>
      <c r="L13" s="510"/>
      <c r="M13" s="510"/>
      <c r="N13" s="510"/>
      <c r="O13" s="510"/>
      <c r="P13" s="510"/>
      <c r="Q13" s="510"/>
      <c r="R13" s="510"/>
      <c r="S13" s="510"/>
      <c r="T13" s="510"/>
      <c r="U13" s="510"/>
      <c r="V13" s="510"/>
      <c r="W13" s="510"/>
      <c r="X13" s="510"/>
      <c r="Y13" s="510"/>
      <c r="Z13" s="510"/>
      <c r="AA13" s="510"/>
      <c r="AB13" s="510"/>
    </row>
    <row r="14" spans="1:28">
      <c r="A14" s="482"/>
      <c r="B14" s="511" t="s">
        <v>32</v>
      </c>
      <c r="C14" s="482" t="s">
        <v>11</v>
      </c>
      <c r="D14" s="482"/>
      <c r="E14" s="482"/>
      <c r="F14" s="482"/>
      <c r="G14" s="482"/>
      <c r="H14" s="482"/>
      <c r="I14" s="482"/>
      <c r="J14" s="482"/>
      <c r="K14" s="482"/>
      <c r="L14" s="482"/>
      <c r="M14" s="482"/>
      <c r="N14" s="482"/>
      <c r="O14" s="482"/>
      <c r="P14" s="482"/>
      <c r="Q14" s="482"/>
      <c r="R14" s="482"/>
      <c r="S14" s="482"/>
      <c r="T14" s="482"/>
      <c r="U14" s="482"/>
      <c r="V14" s="482"/>
      <c r="W14" s="482"/>
      <c r="X14" s="482"/>
      <c r="Y14" s="482"/>
      <c r="Z14" s="482"/>
      <c r="AA14" s="482"/>
      <c r="AB14" s="482"/>
    </row>
    <row r="15" spans="1:28">
      <c r="A15" s="509" t="s">
        <v>12</v>
      </c>
      <c r="B15" s="510"/>
      <c r="C15" s="510"/>
      <c r="D15" s="510"/>
      <c r="E15" s="510"/>
      <c r="F15" s="510"/>
      <c r="G15" s="510"/>
      <c r="H15" s="510"/>
      <c r="I15" s="510"/>
      <c r="J15" s="510"/>
      <c r="K15" s="510"/>
      <c r="L15" s="510"/>
      <c r="M15" s="510"/>
      <c r="N15" s="510"/>
      <c r="O15" s="510"/>
      <c r="P15" s="510"/>
      <c r="Q15" s="510"/>
      <c r="R15" s="510"/>
      <c r="S15" s="510"/>
      <c r="T15" s="510"/>
      <c r="U15" s="510"/>
      <c r="V15" s="510"/>
      <c r="W15" s="510"/>
      <c r="X15" s="510"/>
      <c r="Y15" s="510"/>
      <c r="Z15" s="510"/>
      <c r="AA15" s="510"/>
      <c r="AB15" s="510"/>
    </row>
    <row r="16" spans="1:28">
      <c r="A16" s="482"/>
      <c r="B16" s="512"/>
      <c r="C16" s="482" t="s">
        <v>11</v>
      </c>
      <c r="D16" s="482"/>
      <c r="E16" s="482"/>
      <c r="F16" s="482"/>
      <c r="G16" s="482"/>
      <c r="H16" s="482"/>
      <c r="I16" s="482"/>
      <c r="J16" s="482"/>
      <c r="K16" s="482"/>
      <c r="L16" s="482"/>
      <c r="M16" s="482"/>
      <c r="N16" s="482"/>
      <c r="O16" s="482"/>
      <c r="P16" s="482"/>
      <c r="Q16" s="482"/>
      <c r="R16" s="482"/>
      <c r="S16" s="482"/>
      <c r="T16" s="482"/>
      <c r="U16" s="482"/>
      <c r="V16" s="482"/>
      <c r="W16" s="482"/>
      <c r="X16" s="482"/>
      <c r="Y16" s="482"/>
      <c r="Z16" s="482"/>
      <c r="AA16" s="482"/>
      <c r="AB16" s="482"/>
    </row>
    <row r="17" spans="1:28">
      <c r="A17" s="509" t="s">
        <v>13</v>
      </c>
      <c r="B17" s="510"/>
      <c r="C17" s="510"/>
      <c r="D17" s="510"/>
      <c r="E17" s="510"/>
      <c r="F17" s="510"/>
      <c r="G17" s="510"/>
      <c r="H17" s="510"/>
      <c r="I17" s="510"/>
      <c r="J17" s="510"/>
      <c r="K17" s="510"/>
      <c r="L17" s="510"/>
      <c r="M17" s="510"/>
      <c r="N17" s="510"/>
      <c r="O17" s="510"/>
      <c r="P17" s="510"/>
      <c r="Q17" s="510"/>
      <c r="R17" s="510"/>
      <c r="S17" s="510"/>
      <c r="T17" s="510"/>
      <c r="U17" s="510"/>
      <c r="V17" s="510"/>
      <c r="W17" s="510"/>
      <c r="X17" s="510"/>
      <c r="Y17" s="510"/>
      <c r="Z17" s="510"/>
      <c r="AA17" s="510"/>
      <c r="AB17" s="510"/>
    </row>
    <row r="18" spans="1:28">
      <c r="A18" s="482"/>
      <c r="B18" s="513"/>
      <c r="C18" s="494"/>
      <c r="D18" s="494"/>
      <c r="E18" s="494"/>
      <c r="F18" s="494"/>
      <c r="G18" s="494"/>
      <c r="H18" s="494"/>
      <c r="I18" s="494"/>
      <c r="J18" s="494"/>
      <c r="K18" s="494"/>
      <c r="L18" s="494"/>
      <c r="M18" s="494"/>
      <c r="N18" s="494"/>
      <c r="O18" s="494"/>
      <c r="P18" s="494"/>
      <c r="Q18" s="494"/>
      <c r="R18" s="495"/>
      <c r="S18" s="482" t="s">
        <v>15</v>
      </c>
      <c r="T18" s="482"/>
      <c r="U18" s="482"/>
      <c r="V18" s="482"/>
      <c r="W18" s="482"/>
      <c r="X18" s="482"/>
      <c r="Y18" s="482"/>
      <c r="Z18" s="482"/>
      <c r="AA18" s="482"/>
      <c r="AB18" s="482"/>
    </row>
    <row r="19" spans="1:28">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c r="AA19" s="482"/>
      <c r="AB19" s="482"/>
    </row>
    <row r="20" spans="1:28">
      <c r="A20" s="514" t="s">
        <v>962</v>
      </c>
      <c r="B20" s="514"/>
      <c r="C20" s="514"/>
      <c r="D20" s="514"/>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row>
    <row r="21" spans="1:28" ht="15.75" customHeight="1" thickBot="1">
      <c r="A21" s="515" t="s">
        <v>963</v>
      </c>
      <c r="B21" s="516"/>
      <c r="C21" s="516"/>
      <c r="D21" s="516"/>
      <c r="E21" s="516"/>
      <c r="F21" s="516"/>
      <c r="G21" s="516"/>
      <c r="H21" s="516"/>
      <c r="I21" s="516"/>
      <c r="J21" s="516"/>
      <c r="K21" s="516"/>
      <c r="L21" s="516"/>
      <c r="M21" s="517"/>
      <c r="N21" s="482"/>
      <c r="O21" s="482"/>
      <c r="P21" s="482"/>
      <c r="Q21" s="482"/>
      <c r="R21" s="482"/>
      <c r="S21" s="482"/>
      <c r="T21" s="482"/>
      <c r="U21" s="482"/>
      <c r="V21" s="482"/>
      <c r="W21" s="482"/>
      <c r="X21" s="482"/>
      <c r="Y21" s="482"/>
      <c r="Z21" s="482"/>
      <c r="AA21" s="482"/>
      <c r="AB21" s="482"/>
    </row>
    <row r="22" spans="1:28" ht="41.25" customHeight="1" thickBot="1">
      <c r="A22" s="518" t="s">
        <v>18</v>
      </c>
      <c r="B22" s="519" t="s">
        <v>964</v>
      </c>
      <c r="C22" s="519" t="s">
        <v>965</v>
      </c>
      <c r="D22" s="519" t="s">
        <v>21</v>
      </c>
      <c r="E22" s="519" t="s">
        <v>22</v>
      </c>
      <c r="F22" s="519" t="s">
        <v>23</v>
      </c>
      <c r="G22" s="519" t="s">
        <v>966</v>
      </c>
      <c r="H22" s="519" t="s">
        <v>967</v>
      </c>
      <c r="I22" s="520"/>
      <c r="J22" s="521" t="s">
        <v>27</v>
      </c>
      <c r="K22" s="521"/>
      <c r="L22" s="521"/>
      <c r="M22" s="522" t="s">
        <v>28</v>
      </c>
      <c r="N22" s="523"/>
      <c r="O22" s="523"/>
      <c r="P22" s="523"/>
      <c r="Q22" s="523"/>
      <c r="R22" s="523"/>
      <c r="S22" s="523"/>
      <c r="T22" s="524"/>
      <c r="U22" s="525"/>
      <c r="V22" s="525"/>
      <c r="W22" s="525"/>
      <c r="X22" s="525"/>
      <c r="Y22" s="525"/>
      <c r="Z22" s="525"/>
      <c r="AA22" s="525"/>
      <c r="AB22" s="525"/>
    </row>
    <row r="23" spans="1:28" ht="15.75" customHeight="1">
      <c r="A23" s="526" t="s">
        <v>29</v>
      </c>
      <c r="B23" s="527">
        <v>-1.5795432417678299</v>
      </c>
      <c r="C23" s="528" t="s">
        <v>30</v>
      </c>
      <c r="D23" s="529">
        <v>0.17592262140645501</v>
      </c>
      <c r="E23" s="530">
        <v>11</v>
      </c>
      <c r="F23" s="530">
        <v>258.5</v>
      </c>
      <c r="G23" s="531">
        <v>-0.86</v>
      </c>
      <c r="H23" s="529">
        <f t="shared" ref="H23:H122" si="0">0.5-G23-0.01*(F23-25)</f>
        <v>-0.97500000000000009</v>
      </c>
      <c r="I23" s="532" t="s">
        <v>31</v>
      </c>
      <c r="J23" s="533"/>
      <c r="K23" s="529"/>
      <c r="L23" s="529"/>
      <c r="M23" s="534" t="s">
        <v>33</v>
      </c>
      <c r="N23" s="482"/>
      <c r="O23" s="482"/>
      <c r="P23" s="482"/>
      <c r="Q23" s="482"/>
      <c r="R23" s="482"/>
      <c r="S23" s="482"/>
      <c r="T23" s="482"/>
      <c r="U23" s="482"/>
      <c r="V23" s="482"/>
      <c r="W23" s="482"/>
      <c r="X23" s="482"/>
      <c r="Y23" s="482"/>
      <c r="Z23" s="482"/>
      <c r="AA23" s="482"/>
      <c r="AB23" s="482"/>
    </row>
    <row r="24" spans="1:28" ht="15.75" customHeight="1">
      <c r="A24" s="535" t="s">
        <v>35</v>
      </c>
      <c r="B24" s="536">
        <v>-1.60406160527006</v>
      </c>
      <c r="C24" s="528" t="s">
        <v>36</v>
      </c>
      <c r="D24" s="529">
        <v>0.14701293131372209</v>
      </c>
      <c r="E24" s="530">
        <v>16</v>
      </c>
      <c r="F24" s="530">
        <v>142.4</v>
      </c>
      <c r="G24" s="531">
        <v>1.31</v>
      </c>
      <c r="H24" s="529">
        <f t="shared" si="0"/>
        <v>-1.9840000000000002</v>
      </c>
      <c r="I24" s="532" t="s">
        <v>37</v>
      </c>
      <c r="J24" s="533"/>
      <c r="K24" s="529"/>
      <c r="L24" s="529"/>
      <c r="M24" s="534" t="s">
        <v>38</v>
      </c>
      <c r="N24" s="482"/>
      <c r="O24" s="482"/>
      <c r="P24" s="482"/>
      <c r="Q24" s="482"/>
      <c r="R24" s="482"/>
      <c r="S24" s="482"/>
      <c r="T24" s="482"/>
      <c r="U24" s="482"/>
      <c r="V24" s="482"/>
      <c r="W24" s="482"/>
      <c r="X24" s="482"/>
      <c r="Y24" s="482"/>
      <c r="Z24" s="482"/>
      <c r="AA24" s="482"/>
      <c r="AB24" s="482"/>
    </row>
    <row r="25" spans="1:28" ht="15.75" customHeight="1">
      <c r="A25" s="526" t="s">
        <v>40</v>
      </c>
      <c r="B25" s="536">
        <v>-2.8394789596327898</v>
      </c>
      <c r="C25" s="528" t="s">
        <v>41</v>
      </c>
      <c r="D25" s="529">
        <v>0.15746026945991629</v>
      </c>
      <c r="E25" s="530">
        <v>4</v>
      </c>
      <c r="F25" s="530">
        <v>92</v>
      </c>
      <c r="G25" s="531">
        <v>2.5299999999999998</v>
      </c>
      <c r="H25" s="529">
        <f t="shared" si="0"/>
        <v>-2.6999999999999997</v>
      </c>
      <c r="I25" s="532" t="s">
        <v>42</v>
      </c>
      <c r="J25" s="533"/>
      <c r="K25" s="529"/>
      <c r="L25" s="529"/>
      <c r="M25" s="534" t="s">
        <v>43</v>
      </c>
      <c r="N25" s="482"/>
      <c r="O25" s="482"/>
      <c r="P25" s="482"/>
      <c r="Q25" s="482"/>
      <c r="R25" s="482"/>
      <c r="S25" s="482"/>
      <c r="T25" s="482"/>
      <c r="U25" s="482"/>
      <c r="V25" s="482"/>
      <c r="W25" s="482"/>
      <c r="X25" s="482"/>
      <c r="Y25" s="482"/>
      <c r="Z25" s="482"/>
      <c r="AA25" s="482"/>
      <c r="AB25" s="482"/>
    </row>
    <row r="26" spans="1:28" ht="15.75" customHeight="1">
      <c r="A26" s="535" t="s">
        <v>45</v>
      </c>
      <c r="B26" s="536">
        <v>-1.8823237575330001</v>
      </c>
      <c r="C26" s="528" t="s">
        <v>46</v>
      </c>
      <c r="D26" s="529">
        <v>0.16999222507469616</v>
      </c>
      <c r="E26" s="530">
        <v>3</v>
      </c>
      <c r="F26" s="530">
        <v>234</v>
      </c>
      <c r="G26" s="531">
        <v>3.19</v>
      </c>
      <c r="H26" s="529">
        <f t="shared" si="0"/>
        <v>-4.7799999999999994</v>
      </c>
      <c r="I26" s="537" t="s">
        <v>47</v>
      </c>
      <c r="J26" s="538"/>
      <c r="K26" s="529"/>
      <c r="L26" s="529"/>
      <c r="M26" s="534" t="s">
        <v>48</v>
      </c>
      <c r="N26" s="482"/>
      <c r="O26" s="482"/>
      <c r="P26" s="482"/>
      <c r="Q26" s="482"/>
      <c r="R26" s="482"/>
      <c r="S26" s="482"/>
      <c r="T26" s="482"/>
      <c r="U26" s="482"/>
      <c r="V26" s="482"/>
      <c r="W26" s="482"/>
      <c r="X26" s="482"/>
      <c r="Y26" s="482"/>
      <c r="Z26" s="482"/>
      <c r="AA26" s="482"/>
      <c r="AB26" s="482"/>
    </row>
    <row r="27" spans="1:28" ht="15.75" customHeight="1">
      <c r="A27" s="535" t="s">
        <v>50</v>
      </c>
      <c r="B27" s="536">
        <v>-4.3434400136747904</v>
      </c>
      <c r="C27" s="528" t="s">
        <v>51</v>
      </c>
      <c r="D27" s="529">
        <v>0.21168830858587184</v>
      </c>
      <c r="E27" s="530">
        <v>3</v>
      </c>
      <c r="F27" s="530">
        <v>139.25</v>
      </c>
      <c r="G27" s="531">
        <v>4.8600000000000003</v>
      </c>
      <c r="H27" s="529">
        <f t="shared" si="0"/>
        <v>-5.5025000000000004</v>
      </c>
      <c r="I27" s="537" t="s">
        <v>52</v>
      </c>
      <c r="J27" s="539"/>
      <c r="K27" s="529"/>
      <c r="L27" s="529"/>
      <c r="M27" s="534" t="s">
        <v>53</v>
      </c>
      <c r="N27" s="482"/>
      <c r="O27" s="482"/>
      <c r="P27" s="482"/>
      <c r="Q27" s="482"/>
      <c r="R27" s="482"/>
      <c r="S27" s="482"/>
      <c r="T27" s="482"/>
      <c r="U27" s="482"/>
      <c r="V27" s="482"/>
      <c r="W27" s="482"/>
      <c r="X27" s="482"/>
      <c r="Y27" s="482"/>
      <c r="Z27" s="482"/>
      <c r="AA27" s="482"/>
      <c r="AB27" s="482"/>
    </row>
    <row r="28" spans="1:28" ht="15.75" customHeight="1">
      <c r="A28" s="526" t="s">
        <v>55</v>
      </c>
      <c r="B28" s="536">
        <v>-5.7970194239674804</v>
      </c>
      <c r="C28" s="540"/>
      <c r="D28" s="529">
        <v>0.18412396392404196</v>
      </c>
      <c r="E28" s="530">
        <v>3</v>
      </c>
      <c r="F28" s="530">
        <v>224.00000000000003</v>
      </c>
      <c r="G28" s="531">
        <v>5.51</v>
      </c>
      <c r="H28" s="529">
        <f t="shared" si="0"/>
        <v>-7</v>
      </c>
      <c r="I28" s="537" t="s">
        <v>56</v>
      </c>
      <c r="J28" s="539"/>
      <c r="K28" s="529"/>
      <c r="L28" s="529"/>
      <c r="M28" s="534" t="s">
        <v>57</v>
      </c>
      <c r="N28" s="482"/>
      <c r="O28" s="482"/>
      <c r="P28" s="482"/>
      <c r="Q28" s="482"/>
      <c r="R28" s="482"/>
      <c r="S28" s="482"/>
      <c r="T28" s="482"/>
      <c r="U28" s="482"/>
      <c r="V28" s="482"/>
      <c r="W28" s="482"/>
      <c r="X28" s="482"/>
      <c r="Y28" s="482"/>
      <c r="Z28" s="482"/>
      <c r="AA28" s="482"/>
      <c r="AB28" s="482"/>
    </row>
    <row r="29" spans="1:28" ht="15.75" customHeight="1">
      <c r="A29" s="526" t="s">
        <v>59</v>
      </c>
      <c r="B29" s="536">
        <v>-3.9059144769222001</v>
      </c>
      <c r="C29" s="540"/>
      <c r="D29" s="529">
        <v>0.14933733874523175</v>
      </c>
      <c r="E29" s="530">
        <v>6</v>
      </c>
      <c r="F29" s="530">
        <v>172.5</v>
      </c>
      <c r="G29" s="531">
        <v>1.78</v>
      </c>
      <c r="H29" s="529">
        <f t="shared" si="0"/>
        <v>-2.7549999999999999</v>
      </c>
      <c r="I29" s="537" t="s">
        <v>60</v>
      </c>
      <c r="J29" s="541"/>
      <c r="K29" s="529"/>
      <c r="L29" s="529"/>
      <c r="M29" s="534" t="s">
        <v>61</v>
      </c>
      <c r="N29" s="482"/>
      <c r="O29" s="482"/>
      <c r="P29" s="482"/>
      <c r="Q29" s="482"/>
      <c r="R29" s="482"/>
      <c r="S29" s="482"/>
      <c r="T29" s="482"/>
      <c r="U29" s="482"/>
      <c r="V29" s="482"/>
      <c r="W29" s="482"/>
      <c r="X29" s="482"/>
      <c r="Y29" s="482"/>
      <c r="Z29" s="482"/>
      <c r="AA29" s="482"/>
      <c r="AB29" s="482"/>
    </row>
    <row r="30" spans="1:28" ht="15.75" customHeight="1">
      <c r="A30" s="526" t="s">
        <v>63</v>
      </c>
      <c r="B30" s="536">
        <v>-1.41512054885201</v>
      </c>
      <c r="C30" s="540"/>
      <c r="D30" s="529">
        <v>0.14842266063120066</v>
      </c>
      <c r="E30" s="530">
        <v>4</v>
      </c>
      <c r="F30" s="530">
        <v>207.50000000000003</v>
      </c>
      <c r="G30" s="531">
        <v>1.86</v>
      </c>
      <c r="H30" s="529">
        <f t="shared" si="0"/>
        <v>-3.1850000000000005</v>
      </c>
      <c r="I30" s="542" t="s">
        <v>64</v>
      </c>
      <c r="J30" s="543" t="s">
        <v>32</v>
      </c>
      <c r="K30" s="544" t="s">
        <v>968</v>
      </c>
      <c r="L30" s="545"/>
      <c r="M30" s="534" t="s">
        <v>65</v>
      </c>
      <c r="N30" s="482"/>
      <c r="O30" s="482"/>
      <c r="P30" s="482"/>
      <c r="Q30" s="482"/>
      <c r="R30" s="482"/>
      <c r="S30" s="482"/>
      <c r="T30" s="482"/>
      <c r="U30" s="482"/>
      <c r="V30" s="482"/>
      <c r="W30" s="482"/>
      <c r="X30" s="482"/>
      <c r="Y30" s="482"/>
      <c r="Z30" s="482"/>
      <c r="AA30" s="482"/>
      <c r="AB30" s="482"/>
    </row>
    <row r="31" spans="1:28" ht="15.75" customHeight="1">
      <c r="A31" s="546" t="s">
        <v>66</v>
      </c>
      <c r="B31" s="536">
        <v>-2.18042543961413</v>
      </c>
      <c r="C31" s="540"/>
      <c r="D31" s="529">
        <v>0.1617973106900604</v>
      </c>
      <c r="E31" s="530">
        <v>10</v>
      </c>
      <c r="F31" s="530">
        <v>166.5</v>
      </c>
      <c r="G31" s="531">
        <v>0.79</v>
      </c>
      <c r="H31" s="529">
        <f t="shared" si="0"/>
        <v>-1.7050000000000001</v>
      </c>
      <c r="I31" s="482"/>
      <c r="J31" s="529"/>
      <c r="K31" s="529"/>
      <c r="L31" s="529"/>
      <c r="M31" s="534" t="s">
        <v>67</v>
      </c>
      <c r="N31" s="482"/>
      <c r="O31" s="482"/>
      <c r="P31" s="482"/>
      <c r="Q31" s="482"/>
      <c r="R31" s="482"/>
      <c r="S31" s="482"/>
      <c r="T31" s="482"/>
      <c r="U31" s="482"/>
      <c r="V31" s="482"/>
      <c r="W31" s="482"/>
      <c r="X31" s="482"/>
      <c r="Y31" s="482"/>
      <c r="Z31" s="482"/>
      <c r="AA31" s="482"/>
      <c r="AB31" s="482"/>
    </row>
    <row r="32" spans="1:28" ht="15.75" customHeight="1">
      <c r="A32" s="535" t="s">
        <v>68</v>
      </c>
      <c r="B32" s="536">
        <v>-3.21071887008479</v>
      </c>
      <c r="C32" s="540"/>
      <c r="D32" s="529">
        <v>0.21543706061278237</v>
      </c>
      <c r="E32" s="530">
        <v>6</v>
      </c>
      <c r="F32" s="530">
        <v>231.5</v>
      </c>
      <c r="G32" s="531">
        <v>2.4300000000000002</v>
      </c>
      <c r="H32" s="529">
        <f t="shared" si="0"/>
        <v>-3.9950000000000001</v>
      </c>
      <c r="I32" s="547" t="s">
        <v>69</v>
      </c>
      <c r="J32" s="548"/>
      <c r="K32" s="548"/>
      <c r="L32" s="549"/>
      <c r="M32" s="534" t="s">
        <v>70</v>
      </c>
      <c r="N32" s="482"/>
      <c r="O32" s="482"/>
      <c r="P32" s="482"/>
      <c r="Q32" s="482"/>
      <c r="R32" s="482"/>
      <c r="S32" s="482"/>
      <c r="T32" s="482"/>
      <c r="U32" s="482"/>
      <c r="V32" s="482"/>
      <c r="W32" s="482"/>
      <c r="X32" s="482"/>
      <c r="Y32" s="482"/>
      <c r="Z32" s="482"/>
      <c r="AA32" s="482"/>
      <c r="AB32" s="482"/>
    </row>
    <row r="33" spans="1:28" ht="15.75" customHeight="1">
      <c r="A33" s="535" t="s">
        <v>71</v>
      </c>
      <c r="B33" s="550">
        <v>-4.0200371544007396</v>
      </c>
      <c r="C33" s="540"/>
      <c r="D33" s="529">
        <v>0.12912520605069597</v>
      </c>
      <c r="E33" s="551">
        <v>3</v>
      </c>
      <c r="F33" s="552">
        <v>192.7</v>
      </c>
      <c r="G33" s="531">
        <v>2.63</v>
      </c>
      <c r="H33" s="529">
        <f t="shared" si="0"/>
        <v>-3.8069999999999995</v>
      </c>
      <c r="I33" s="553" t="s">
        <v>969</v>
      </c>
      <c r="J33" s="554"/>
      <c r="K33" s="554"/>
      <c r="L33" s="555"/>
      <c r="M33" s="534" t="s">
        <v>72</v>
      </c>
      <c r="N33" s="482"/>
      <c r="O33" s="482"/>
      <c r="P33" s="482"/>
      <c r="Q33" s="482"/>
      <c r="R33" s="482"/>
      <c r="S33" s="482"/>
      <c r="T33" s="482"/>
      <c r="U33" s="482"/>
      <c r="V33" s="482"/>
      <c r="W33" s="482"/>
      <c r="X33" s="482"/>
      <c r="Y33" s="482"/>
      <c r="Z33" s="482"/>
      <c r="AA33" s="482"/>
      <c r="AB33" s="482"/>
    </row>
    <row r="34" spans="1:28" ht="15.75" customHeight="1">
      <c r="A34" s="526" t="s">
        <v>74</v>
      </c>
      <c r="B34" s="536">
        <v>-5.9409480878077598</v>
      </c>
      <c r="C34" s="540"/>
      <c r="D34" s="529">
        <v>0.14911462098310888</v>
      </c>
      <c r="E34" s="530">
        <v>6</v>
      </c>
      <c r="F34" s="530">
        <v>167</v>
      </c>
      <c r="G34" s="531">
        <v>6.32</v>
      </c>
      <c r="H34" s="529">
        <f t="shared" si="0"/>
        <v>-7.24</v>
      </c>
      <c r="I34" s="556" t="s">
        <v>970</v>
      </c>
      <c r="J34" s="557"/>
      <c r="K34" s="557"/>
      <c r="L34" s="558"/>
      <c r="M34" s="534" t="s">
        <v>75</v>
      </c>
      <c r="N34" s="482"/>
      <c r="O34" s="482"/>
      <c r="P34" s="482"/>
      <c r="Q34" s="482"/>
      <c r="R34" s="482"/>
      <c r="S34" s="482"/>
      <c r="T34" s="482"/>
      <c r="U34" s="482"/>
      <c r="V34" s="482"/>
      <c r="W34" s="482"/>
      <c r="X34" s="482"/>
      <c r="Y34" s="482"/>
      <c r="Z34" s="482"/>
      <c r="AA34" s="482"/>
      <c r="AB34" s="482"/>
    </row>
    <row r="35" spans="1:28" ht="15.75" customHeight="1">
      <c r="A35" s="535" t="s">
        <v>77</v>
      </c>
      <c r="B35" s="536">
        <v>-3.3854735637763498</v>
      </c>
      <c r="C35" s="540"/>
      <c r="D35" s="529">
        <v>0.15809078703524676</v>
      </c>
      <c r="E35" s="530">
        <v>15</v>
      </c>
      <c r="F35" s="530">
        <v>191.5</v>
      </c>
      <c r="G35" s="531">
        <v>3.39</v>
      </c>
      <c r="H35" s="529">
        <f t="shared" si="0"/>
        <v>-4.5549999999999997</v>
      </c>
      <c r="I35" s="556" t="s">
        <v>971</v>
      </c>
      <c r="J35" s="557"/>
      <c r="K35" s="557"/>
      <c r="L35" s="558"/>
      <c r="M35" s="534" t="s">
        <v>78</v>
      </c>
      <c r="N35" s="482"/>
      <c r="O35" s="482"/>
      <c r="P35" s="482"/>
      <c r="Q35" s="482"/>
      <c r="R35" s="482"/>
      <c r="S35" s="482"/>
      <c r="T35" s="482"/>
      <c r="U35" s="482"/>
      <c r="V35" s="482"/>
      <c r="W35" s="482"/>
      <c r="X35" s="482"/>
      <c r="Y35" s="482"/>
      <c r="Z35" s="482"/>
      <c r="AA35" s="482"/>
      <c r="AB35" s="482"/>
    </row>
    <row r="36" spans="1:28" ht="15.75" customHeight="1">
      <c r="A36" s="546" t="s">
        <v>80</v>
      </c>
      <c r="B36" s="536">
        <v>-4.8730453901577802</v>
      </c>
      <c r="C36" s="540"/>
      <c r="D36" s="529">
        <v>0.1911503089068218</v>
      </c>
      <c r="E36" s="530">
        <v>3</v>
      </c>
      <c r="F36" s="530">
        <v>246.2</v>
      </c>
      <c r="G36" s="531">
        <v>3.32</v>
      </c>
      <c r="H36" s="529">
        <f t="shared" si="0"/>
        <v>-5.032</v>
      </c>
      <c r="I36" s="559" t="s">
        <v>972</v>
      </c>
      <c r="J36" s="557"/>
      <c r="K36" s="557"/>
      <c r="L36" s="558"/>
      <c r="M36" s="534" t="s">
        <v>81</v>
      </c>
      <c r="N36" s="482"/>
      <c r="O36" s="482"/>
      <c r="P36" s="482"/>
      <c r="Q36" s="482"/>
      <c r="R36" s="482"/>
      <c r="S36" s="482"/>
      <c r="T36" s="482"/>
      <c r="U36" s="482"/>
      <c r="V36" s="482"/>
      <c r="W36" s="482"/>
      <c r="X36" s="482"/>
      <c r="Y36" s="482"/>
      <c r="Z36" s="482"/>
      <c r="AA36" s="482"/>
      <c r="AB36" s="482"/>
    </row>
    <row r="37" spans="1:28" ht="15.75" customHeight="1">
      <c r="A37" s="546" t="s">
        <v>73</v>
      </c>
      <c r="B37" s="536">
        <v>-2.9301309558030901</v>
      </c>
      <c r="C37" s="540"/>
      <c r="D37" s="529">
        <v>0.19050575600734274</v>
      </c>
      <c r="E37" s="530">
        <v>4</v>
      </c>
      <c r="F37" s="530">
        <v>304</v>
      </c>
      <c r="G37" s="531">
        <v>1.74</v>
      </c>
      <c r="H37" s="529">
        <f t="shared" si="0"/>
        <v>-4.03</v>
      </c>
      <c r="I37" s="559" t="s">
        <v>973</v>
      </c>
      <c r="J37" s="557"/>
      <c r="K37" s="557"/>
      <c r="L37" s="558"/>
      <c r="M37" s="534" t="s">
        <v>83</v>
      </c>
      <c r="N37" s="482"/>
      <c r="O37" s="482"/>
      <c r="P37" s="482"/>
      <c r="Q37" s="482"/>
      <c r="R37" s="482"/>
      <c r="S37" s="482"/>
      <c r="T37" s="482"/>
      <c r="U37" s="482"/>
      <c r="V37" s="482"/>
      <c r="W37" s="482"/>
      <c r="X37" s="482"/>
      <c r="Y37" s="482"/>
      <c r="Z37" s="482"/>
      <c r="AA37" s="482"/>
      <c r="AB37" s="482"/>
    </row>
    <row r="38" spans="1:28" ht="15.75" customHeight="1">
      <c r="A38" s="526" t="s">
        <v>76</v>
      </c>
      <c r="B38" s="536">
        <v>-1.8960295536319201</v>
      </c>
      <c r="C38" s="540"/>
      <c r="D38" s="529">
        <v>0.13682393527498057</v>
      </c>
      <c r="E38" s="530">
        <v>7</v>
      </c>
      <c r="F38" s="530">
        <v>187</v>
      </c>
      <c r="G38" s="531">
        <v>-0.87</v>
      </c>
      <c r="H38" s="529">
        <f t="shared" si="0"/>
        <v>-0.25</v>
      </c>
      <c r="I38" s="559" t="s">
        <v>974</v>
      </c>
      <c r="J38" s="557"/>
      <c r="K38" s="557"/>
      <c r="L38" s="558"/>
      <c r="M38" s="560" t="s">
        <v>85</v>
      </c>
      <c r="N38" s="482"/>
      <c r="O38" s="482"/>
      <c r="P38" s="482"/>
      <c r="Q38" s="482"/>
      <c r="R38" s="482"/>
      <c r="S38" s="482"/>
      <c r="T38" s="482"/>
      <c r="U38" s="482"/>
      <c r="V38" s="482"/>
      <c r="W38" s="482"/>
      <c r="X38" s="482"/>
      <c r="Y38" s="482"/>
      <c r="Z38" s="482"/>
      <c r="AA38" s="482"/>
      <c r="AB38" s="482"/>
    </row>
    <row r="39" spans="1:28" ht="15.75" customHeight="1">
      <c r="A39" s="526" t="s">
        <v>87</v>
      </c>
      <c r="B39" s="536">
        <v>-1.91229591425974</v>
      </c>
      <c r="C39" s="540"/>
      <c r="D39" s="529">
        <v>0.20462356367492032</v>
      </c>
      <c r="E39" s="530">
        <v>4</v>
      </c>
      <c r="F39" s="530">
        <v>221.5</v>
      </c>
      <c r="G39" s="531">
        <v>0.71</v>
      </c>
      <c r="H39" s="529">
        <f t="shared" si="0"/>
        <v>-2.1749999999999998</v>
      </c>
      <c r="I39" s="559" t="s">
        <v>975</v>
      </c>
      <c r="J39" s="557"/>
      <c r="K39" s="557"/>
      <c r="L39" s="558"/>
      <c r="M39" s="534" t="s">
        <v>88</v>
      </c>
      <c r="N39" s="482"/>
      <c r="O39" s="482"/>
      <c r="P39" s="482"/>
      <c r="Q39" s="482"/>
      <c r="R39" s="482"/>
      <c r="S39" s="482"/>
      <c r="T39" s="482"/>
      <c r="U39" s="482"/>
      <c r="V39" s="482"/>
      <c r="W39" s="482"/>
      <c r="X39" s="482"/>
      <c r="Y39" s="482"/>
      <c r="Z39" s="482"/>
      <c r="AA39" s="482"/>
      <c r="AB39" s="482"/>
    </row>
    <row r="40" spans="1:28" ht="15.75" customHeight="1">
      <c r="A40" s="526" t="s">
        <v>90</v>
      </c>
      <c r="B40" s="536">
        <v>-4.59890234965453</v>
      </c>
      <c r="C40" s="540"/>
      <c r="D40" s="529">
        <v>0.18274602564465547</v>
      </c>
      <c r="E40" s="530">
        <v>6</v>
      </c>
      <c r="F40" s="530">
        <v>157.83333333333334</v>
      </c>
      <c r="G40" s="531">
        <v>3.51</v>
      </c>
      <c r="H40" s="529">
        <f t="shared" si="0"/>
        <v>-4.3383333333333329</v>
      </c>
      <c r="I40" s="559" t="s">
        <v>976</v>
      </c>
      <c r="J40" s="497"/>
      <c r="K40" s="497"/>
      <c r="L40" s="498"/>
      <c r="M40" s="534" t="s">
        <v>91</v>
      </c>
      <c r="N40" s="482"/>
      <c r="O40" s="482"/>
      <c r="P40" s="482"/>
      <c r="Q40" s="482"/>
      <c r="R40" s="482"/>
      <c r="S40" s="482"/>
      <c r="T40" s="482"/>
      <c r="U40" s="482"/>
      <c r="V40" s="482"/>
      <c r="W40" s="482"/>
      <c r="X40" s="482"/>
      <c r="Y40" s="482"/>
      <c r="Z40" s="482"/>
      <c r="AA40" s="482"/>
      <c r="AB40" s="482"/>
    </row>
    <row r="41" spans="1:28" ht="15.75" customHeight="1">
      <c r="A41" s="535" t="s">
        <v>93</v>
      </c>
      <c r="B41" s="550">
        <v>-1.63639218636663</v>
      </c>
      <c r="C41" s="540"/>
      <c r="D41" s="529">
        <v>0.12610247911779729</v>
      </c>
      <c r="E41" s="551">
        <v>8</v>
      </c>
      <c r="F41" s="530">
        <v>140</v>
      </c>
      <c r="G41" s="531">
        <v>0.35</v>
      </c>
      <c r="H41" s="529">
        <f t="shared" si="0"/>
        <v>-1</v>
      </c>
      <c r="I41" s="559" t="s">
        <v>977</v>
      </c>
      <c r="J41" s="497"/>
      <c r="K41" s="497"/>
      <c r="L41" s="498"/>
      <c r="M41" s="534" t="s">
        <v>94</v>
      </c>
      <c r="N41" s="482"/>
      <c r="O41" s="482"/>
      <c r="P41" s="482"/>
      <c r="Q41" s="482"/>
      <c r="R41" s="482"/>
      <c r="S41" s="482"/>
      <c r="T41" s="482"/>
      <c r="U41" s="482"/>
      <c r="V41" s="482"/>
      <c r="W41" s="482"/>
      <c r="X41" s="482"/>
      <c r="Y41" s="482"/>
      <c r="Z41" s="482"/>
      <c r="AA41" s="482"/>
      <c r="AB41" s="482"/>
    </row>
    <row r="42" spans="1:28" ht="15.75" customHeight="1">
      <c r="A42" s="535" t="s">
        <v>96</v>
      </c>
      <c r="B42" s="536">
        <v>-3.3191571708832499</v>
      </c>
      <c r="C42" s="540"/>
      <c r="D42" s="529">
        <v>0.14493441954543959</v>
      </c>
      <c r="E42" s="530">
        <v>7</v>
      </c>
      <c r="F42" s="530">
        <v>127.93333333333334</v>
      </c>
      <c r="G42" s="531">
        <v>1.74</v>
      </c>
      <c r="H42" s="529">
        <f t="shared" si="0"/>
        <v>-2.2693333333333334</v>
      </c>
      <c r="I42" s="559" t="s">
        <v>978</v>
      </c>
      <c r="J42" s="497"/>
      <c r="K42" s="497"/>
      <c r="L42" s="498"/>
      <c r="M42" s="534" t="s">
        <v>97</v>
      </c>
      <c r="N42" s="482"/>
      <c r="O42" s="482"/>
      <c r="P42" s="482"/>
      <c r="Q42" s="482"/>
      <c r="R42" s="482"/>
      <c r="S42" s="482"/>
      <c r="T42" s="482"/>
      <c r="U42" s="482"/>
      <c r="V42" s="482"/>
      <c r="W42" s="482"/>
      <c r="X42" s="482"/>
      <c r="Y42" s="482"/>
      <c r="Z42" s="482"/>
      <c r="AA42" s="482"/>
      <c r="AB42" s="482"/>
    </row>
    <row r="43" spans="1:28" ht="15.75" customHeight="1">
      <c r="A43" s="535" t="s">
        <v>79</v>
      </c>
      <c r="B43" s="536">
        <v>-4.5598759472429196</v>
      </c>
      <c r="C43" s="540"/>
      <c r="D43" s="529">
        <v>0.14861388626870758</v>
      </c>
      <c r="E43" s="530">
        <v>7</v>
      </c>
      <c r="F43" s="530">
        <v>176</v>
      </c>
      <c r="G43" s="531">
        <v>4.4800000000000004</v>
      </c>
      <c r="H43" s="529">
        <f t="shared" si="0"/>
        <v>-5.49</v>
      </c>
      <c r="I43" s="559" t="s">
        <v>979</v>
      </c>
      <c r="J43" s="497"/>
      <c r="K43" s="497"/>
      <c r="L43" s="498"/>
      <c r="M43" s="534" t="s">
        <v>99</v>
      </c>
      <c r="N43" s="482"/>
      <c r="O43" s="482"/>
      <c r="P43" s="482"/>
      <c r="Q43" s="482"/>
      <c r="R43" s="482"/>
      <c r="S43" s="482"/>
      <c r="T43" s="482"/>
      <c r="U43" s="482"/>
      <c r="V43" s="482"/>
      <c r="W43" s="482"/>
      <c r="X43" s="482"/>
      <c r="Y43" s="482"/>
      <c r="Z43" s="482"/>
      <c r="AA43" s="482"/>
      <c r="AB43" s="482"/>
    </row>
    <row r="44" spans="1:28" ht="15.75" customHeight="1">
      <c r="A44" s="526" t="s">
        <v>101</v>
      </c>
      <c r="B44" s="550">
        <v>-3.72724982540693</v>
      </c>
      <c r="C44" s="540"/>
      <c r="D44" s="529">
        <v>0.1280711495400205</v>
      </c>
      <c r="E44" s="551">
        <v>3</v>
      </c>
      <c r="F44" s="530">
        <v>159.69999999999999</v>
      </c>
      <c r="G44" s="531">
        <v>3.46</v>
      </c>
      <c r="H44" s="529">
        <f t="shared" si="0"/>
        <v>-4.3070000000000004</v>
      </c>
      <c r="I44" s="561" t="s">
        <v>980</v>
      </c>
      <c r="J44" s="497"/>
      <c r="K44" s="497"/>
      <c r="L44" s="498"/>
      <c r="M44" s="534" t="s">
        <v>102</v>
      </c>
      <c r="N44" s="482"/>
      <c r="O44" s="482"/>
      <c r="P44" s="482"/>
      <c r="Q44" s="482"/>
      <c r="R44" s="482"/>
      <c r="S44" s="482"/>
      <c r="T44" s="482"/>
      <c r="U44" s="482"/>
      <c r="V44" s="482"/>
      <c r="W44" s="482"/>
      <c r="X44" s="482"/>
      <c r="Y44" s="482"/>
      <c r="Z44" s="482"/>
      <c r="AA44" s="482"/>
      <c r="AB44" s="482"/>
    </row>
    <row r="45" spans="1:28" ht="15.75" customHeight="1">
      <c r="A45" s="535" t="s">
        <v>104</v>
      </c>
      <c r="B45" s="550">
        <v>-2.3610661553688499</v>
      </c>
      <c r="C45" s="540"/>
      <c r="D45" s="529">
        <v>0.21683500301481054</v>
      </c>
      <c r="E45" s="551">
        <v>8</v>
      </c>
      <c r="F45" s="530">
        <v>142</v>
      </c>
      <c r="G45" s="531">
        <v>0.6</v>
      </c>
      <c r="H45" s="529">
        <f t="shared" si="0"/>
        <v>-1.27</v>
      </c>
      <c r="I45" s="561"/>
      <c r="J45" s="497"/>
      <c r="K45" s="497"/>
      <c r="L45" s="498"/>
      <c r="M45" s="534" t="s">
        <v>105</v>
      </c>
      <c r="N45" s="482"/>
      <c r="O45" s="482"/>
      <c r="P45" s="482"/>
      <c r="Q45" s="482"/>
      <c r="R45" s="482"/>
      <c r="S45" s="482"/>
      <c r="T45" s="482"/>
      <c r="U45" s="482"/>
      <c r="V45" s="482"/>
      <c r="W45" s="482"/>
      <c r="X45" s="482"/>
      <c r="Y45" s="482"/>
      <c r="Z45" s="482"/>
      <c r="AA45" s="482"/>
      <c r="AB45" s="482"/>
    </row>
    <row r="46" spans="1:28" ht="15.75" customHeight="1">
      <c r="A46" s="535" t="s">
        <v>107</v>
      </c>
      <c r="B46" s="536">
        <v>-3.2044535009766002</v>
      </c>
      <c r="C46" s="540"/>
      <c r="D46" s="529">
        <v>0.18255878892749886</v>
      </c>
      <c r="E46" s="530">
        <v>20</v>
      </c>
      <c r="F46" s="530">
        <v>267</v>
      </c>
      <c r="G46" s="531">
        <v>1.58</v>
      </c>
      <c r="H46" s="529">
        <f t="shared" si="0"/>
        <v>-3.5</v>
      </c>
      <c r="I46" s="562" t="s">
        <v>981</v>
      </c>
      <c r="J46" s="497"/>
      <c r="K46" s="497"/>
      <c r="L46" s="498"/>
      <c r="M46" s="534" t="s">
        <v>108</v>
      </c>
      <c r="N46" s="482"/>
      <c r="O46" s="482"/>
      <c r="P46" s="482"/>
      <c r="Q46" s="482"/>
      <c r="R46" s="482"/>
      <c r="S46" s="482"/>
      <c r="T46" s="482"/>
      <c r="U46" s="482"/>
      <c r="V46" s="482"/>
      <c r="W46" s="482"/>
      <c r="X46" s="482"/>
      <c r="Y46" s="482"/>
      <c r="Z46" s="482"/>
      <c r="AA46" s="482"/>
      <c r="AB46" s="482"/>
    </row>
    <row r="47" spans="1:28" ht="15.75" customHeight="1">
      <c r="A47" s="526" t="s">
        <v>110</v>
      </c>
      <c r="B47" s="536">
        <v>-4.5380900462316998</v>
      </c>
      <c r="C47" s="540"/>
      <c r="D47" s="529">
        <v>0.16704647063532602</v>
      </c>
      <c r="E47" s="530">
        <v>6</v>
      </c>
      <c r="F47" s="530">
        <v>110.00000000000001</v>
      </c>
      <c r="G47" s="531">
        <v>3.36</v>
      </c>
      <c r="H47" s="529">
        <f t="shared" si="0"/>
        <v>-3.71</v>
      </c>
      <c r="I47" s="562" t="s">
        <v>982</v>
      </c>
      <c r="J47" s="497"/>
      <c r="K47" s="497"/>
      <c r="L47" s="498"/>
      <c r="M47" s="534" t="s">
        <v>111</v>
      </c>
      <c r="N47" s="482"/>
      <c r="O47" s="482"/>
      <c r="P47" s="482"/>
      <c r="Q47" s="482"/>
      <c r="R47" s="482"/>
      <c r="S47" s="482"/>
      <c r="T47" s="482"/>
      <c r="U47" s="482"/>
      <c r="V47" s="482"/>
      <c r="W47" s="482"/>
      <c r="X47" s="482"/>
      <c r="Y47" s="482"/>
      <c r="Z47" s="482"/>
      <c r="AA47" s="482"/>
      <c r="AB47" s="482"/>
    </row>
    <row r="48" spans="1:28" ht="15.75" customHeight="1">
      <c r="A48" s="535" t="s">
        <v>82</v>
      </c>
      <c r="B48" s="536">
        <v>-3.0918918890922402</v>
      </c>
      <c r="C48" s="540"/>
      <c r="D48" s="529">
        <v>0.17164501312359953</v>
      </c>
      <c r="E48" s="530">
        <v>7</v>
      </c>
      <c r="F48" s="530">
        <v>182</v>
      </c>
      <c r="G48" s="531">
        <v>2.67</v>
      </c>
      <c r="H48" s="529">
        <f t="shared" si="0"/>
        <v>-3.74</v>
      </c>
      <c r="I48" s="562" t="s">
        <v>983</v>
      </c>
      <c r="J48" s="497"/>
      <c r="K48" s="497"/>
      <c r="L48" s="498"/>
      <c r="M48" s="534" t="s">
        <v>113</v>
      </c>
      <c r="N48" s="482"/>
      <c r="O48" s="482"/>
      <c r="P48" s="482"/>
      <c r="Q48" s="482"/>
      <c r="R48" s="482"/>
      <c r="S48" s="482"/>
      <c r="T48" s="482"/>
      <c r="U48" s="482"/>
      <c r="V48" s="482"/>
      <c r="W48" s="482"/>
      <c r="X48" s="482"/>
      <c r="Y48" s="482"/>
      <c r="Z48" s="482"/>
      <c r="AA48" s="482"/>
      <c r="AB48" s="482"/>
    </row>
    <row r="49" spans="1:28" ht="15.75" customHeight="1">
      <c r="A49" s="535" t="s">
        <v>115</v>
      </c>
      <c r="B49" s="550">
        <v>-4.5142175114616103</v>
      </c>
      <c r="C49" s="540"/>
      <c r="D49" s="529">
        <v>0.12558353028546052</v>
      </c>
      <c r="E49" s="551">
        <v>4</v>
      </c>
      <c r="F49" s="530">
        <v>222.00000000000003</v>
      </c>
      <c r="G49" s="531">
        <v>2.56</v>
      </c>
      <c r="H49" s="529">
        <f t="shared" si="0"/>
        <v>-4.03</v>
      </c>
      <c r="I49" s="561"/>
      <c r="J49" s="497"/>
      <c r="K49" s="497"/>
      <c r="L49" s="498"/>
      <c r="M49" s="534" t="s">
        <v>116</v>
      </c>
      <c r="N49" s="482"/>
      <c r="O49" s="482"/>
      <c r="P49" s="482"/>
      <c r="Q49" s="482"/>
      <c r="R49" s="482"/>
      <c r="S49" s="482"/>
      <c r="T49" s="482"/>
      <c r="U49" s="482"/>
      <c r="V49" s="482"/>
      <c r="W49" s="482"/>
      <c r="X49" s="482"/>
      <c r="Y49" s="482"/>
      <c r="Z49" s="482"/>
      <c r="AA49" s="482"/>
      <c r="AB49" s="482"/>
    </row>
    <row r="50" spans="1:28" ht="15.75" customHeight="1">
      <c r="A50" s="535" t="s">
        <v>118</v>
      </c>
      <c r="B50" s="536">
        <v>-3.05207092673513</v>
      </c>
      <c r="C50" s="540"/>
      <c r="D50" s="529">
        <v>0.1568133990664792</v>
      </c>
      <c r="E50" s="530">
        <v>6</v>
      </c>
      <c r="F50" s="530">
        <v>151</v>
      </c>
      <c r="G50" s="531">
        <v>3.27</v>
      </c>
      <c r="H50" s="529">
        <f t="shared" si="0"/>
        <v>-4.03</v>
      </c>
      <c r="I50" s="561"/>
      <c r="J50" s="497"/>
      <c r="K50" s="497"/>
      <c r="L50" s="498"/>
      <c r="M50" s="534" t="s">
        <v>119</v>
      </c>
      <c r="N50" s="482"/>
      <c r="O50" s="482"/>
      <c r="P50" s="482"/>
      <c r="Q50" s="482"/>
      <c r="R50" s="482"/>
      <c r="S50" s="482"/>
      <c r="T50" s="482"/>
      <c r="U50" s="482"/>
      <c r="V50" s="482"/>
      <c r="W50" s="482"/>
      <c r="X50" s="482"/>
      <c r="Y50" s="482"/>
      <c r="Z50" s="482"/>
      <c r="AA50" s="482"/>
      <c r="AB50" s="482"/>
    </row>
    <row r="51" spans="1:28" ht="15.75" customHeight="1">
      <c r="A51" s="526" t="s">
        <v>84</v>
      </c>
      <c r="B51" s="550">
        <v>-4.0277690905072401</v>
      </c>
      <c r="C51" s="540"/>
      <c r="D51" s="529">
        <v>0.12789394574374285</v>
      </c>
      <c r="E51" s="551">
        <v>5</v>
      </c>
      <c r="F51" s="530">
        <v>330</v>
      </c>
      <c r="G51" s="531">
        <v>2.87</v>
      </c>
      <c r="H51" s="529">
        <f t="shared" si="0"/>
        <v>-5.42</v>
      </c>
      <c r="I51" s="563"/>
      <c r="J51" s="497"/>
      <c r="K51" s="497"/>
      <c r="L51" s="498"/>
      <c r="M51" s="534" t="s">
        <v>120</v>
      </c>
      <c r="N51" s="482"/>
      <c r="O51" s="482"/>
      <c r="P51" s="482"/>
      <c r="Q51" s="482"/>
      <c r="R51" s="482"/>
      <c r="S51" s="482"/>
      <c r="T51" s="482"/>
      <c r="U51" s="482"/>
      <c r="V51" s="482"/>
      <c r="W51" s="482"/>
      <c r="X51" s="482"/>
      <c r="Y51" s="482"/>
      <c r="Z51" s="482"/>
      <c r="AA51" s="482"/>
      <c r="AB51" s="482"/>
    </row>
    <row r="52" spans="1:28" ht="15.75" customHeight="1">
      <c r="A52" s="535" t="s">
        <v>121</v>
      </c>
      <c r="B52" s="536">
        <v>-4.0052028387672101</v>
      </c>
      <c r="C52" s="540"/>
      <c r="D52" s="529">
        <v>0.18012800124370357</v>
      </c>
      <c r="E52" s="530">
        <v>3</v>
      </c>
      <c r="F52" s="530">
        <v>100</v>
      </c>
      <c r="G52" s="531">
        <v>3.53</v>
      </c>
      <c r="H52" s="529">
        <f t="shared" si="0"/>
        <v>-3.78</v>
      </c>
      <c r="I52" s="564"/>
      <c r="J52" s="557"/>
      <c r="K52" s="557"/>
      <c r="L52" s="558"/>
      <c r="M52" s="534" t="s">
        <v>122</v>
      </c>
      <c r="N52" s="482"/>
      <c r="O52" s="482"/>
      <c r="P52" s="482"/>
      <c r="Q52" s="482"/>
      <c r="R52" s="482"/>
      <c r="S52" s="482"/>
      <c r="T52" s="482"/>
      <c r="U52" s="482"/>
      <c r="V52" s="482"/>
      <c r="W52" s="482"/>
      <c r="X52" s="482"/>
      <c r="Y52" s="482"/>
      <c r="Z52" s="482"/>
      <c r="AA52" s="482"/>
      <c r="AB52" s="482"/>
    </row>
    <row r="53" spans="1:28" ht="15.75" customHeight="1">
      <c r="A53" s="526" t="s">
        <v>123</v>
      </c>
      <c r="B53" s="536">
        <v>-4.2954952643429998</v>
      </c>
      <c r="C53" s="540"/>
      <c r="D53" s="529">
        <v>0.18062104750721683</v>
      </c>
      <c r="E53" s="530">
        <v>16</v>
      </c>
      <c r="F53" s="530">
        <v>262.5</v>
      </c>
      <c r="G53" s="531">
        <v>1.9</v>
      </c>
      <c r="H53" s="529">
        <f t="shared" si="0"/>
        <v>-3.7749999999999999</v>
      </c>
      <c r="I53" s="564"/>
      <c r="J53" s="557"/>
      <c r="K53" s="557"/>
      <c r="L53" s="558"/>
      <c r="M53" s="534" t="s">
        <v>124</v>
      </c>
      <c r="N53" s="482"/>
      <c r="O53" s="482"/>
      <c r="P53" s="482"/>
      <c r="Q53" s="482"/>
      <c r="R53" s="482"/>
      <c r="S53" s="482"/>
      <c r="T53" s="482"/>
      <c r="U53" s="482"/>
      <c r="V53" s="482"/>
      <c r="W53" s="482"/>
      <c r="X53" s="482"/>
      <c r="Y53" s="482"/>
      <c r="Z53" s="482"/>
      <c r="AA53" s="482"/>
      <c r="AB53" s="482"/>
    </row>
    <row r="54" spans="1:28" ht="15.75" customHeight="1">
      <c r="A54" s="535" t="s">
        <v>125</v>
      </c>
      <c r="B54" s="550">
        <v>-2.50810750695365</v>
      </c>
      <c r="C54" s="540"/>
      <c r="D54" s="529">
        <v>0.22156244268660033</v>
      </c>
      <c r="E54" s="551">
        <v>4</v>
      </c>
      <c r="F54" s="530">
        <v>328.85</v>
      </c>
      <c r="G54" s="531">
        <v>1.87</v>
      </c>
      <c r="H54" s="529">
        <f t="shared" si="0"/>
        <v>-4.4085000000000001</v>
      </c>
      <c r="I54" s="564"/>
      <c r="J54" s="557"/>
      <c r="K54" s="557"/>
      <c r="L54" s="558"/>
      <c r="M54" s="534" t="s">
        <v>126</v>
      </c>
      <c r="N54" s="482"/>
      <c r="O54" s="482"/>
      <c r="P54" s="482"/>
      <c r="Q54" s="482"/>
      <c r="R54" s="482"/>
      <c r="S54" s="482"/>
      <c r="T54" s="482"/>
      <c r="U54" s="482"/>
      <c r="V54" s="482"/>
      <c r="W54" s="482"/>
      <c r="X54" s="482"/>
      <c r="Y54" s="482"/>
      <c r="Z54" s="482"/>
      <c r="AA54" s="482"/>
      <c r="AB54" s="482"/>
    </row>
    <row r="55" spans="1:28" ht="15.75" customHeight="1">
      <c r="A55" s="535" t="s">
        <v>127</v>
      </c>
      <c r="B55" s="536">
        <v>-4.6207537993521104</v>
      </c>
      <c r="C55" s="540"/>
      <c r="D55" s="529">
        <v>0.18450811780713378</v>
      </c>
      <c r="E55" s="530">
        <v>33</v>
      </c>
      <c r="F55" s="530">
        <v>167.5</v>
      </c>
      <c r="G55" s="531">
        <v>4.3600000000000003</v>
      </c>
      <c r="H55" s="529">
        <f t="shared" si="0"/>
        <v>-5.2850000000000001</v>
      </c>
      <c r="I55" s="564"/>
      <c r="J55" s="557"/>
      <c r="K55" s="557"/>
      <c r="L55" s="558"/>
      <c r="M55" s="534" t="s">
        <v>128</v>
      </c>
      <c r="N55" s="482"/>
      <c r="O55" s="482"/>
      <c r="P55" s="482"/>
      <c r="Q55" s="482"/>
      <c r="R55" s="482"/>
      <c r="S55" s="482"/>
      <c r="T55" s="482"/>
      <c r="U55" s="482"/>
      <c r="V55" s="482"/>
      <c r="W55" s="482"/>
      <c r="X55" s="482"/>
      <c r="Y55" s="482"/>
      <c r="Z55" s="482"/>
      <c r="AA55" s="482"/>
      <c r="AB55" s="482"/>
    </row>
    <row r="56" spans="1:28" ht="15.75" customHeight="1">
      <c r="A56" s="535" t="s">
        <v>86</v>
      </c>
      <c r="B56" s="536">
        <v>-4.8466543800061901</v>
      </c>
      <c r="C56" s="540"/>
      <c r="D56" s="529">
        <v>0.15609203233531485</v>
      </c>
      <c r="E56" s="530">
        <v>3</v>
      </c>
      <c r="F56" s="530">
        <v>223</v>
      </c>
      <c r="G56" s="531">
        <v>2.99</v>
      </c>
      <c r="H56" s="529">
        <f t="shared" si="0"/>
        <v>-4.4700000000000006</v>
      </c>
      <c r="I56" s="564"/>
      <c r="J56" s="557"/>
      <c r="K56" s="557"/>
      <c r="L56" s="558"/>
      <c r="M56" s="534" t="s">
        <v>129</v>
      </c>
      <c r="N56" s="482"/>
      <c r="O56" s="482"/>
      <c r="P56" s="482"/>
      <c r="Q56" s="482"/>
      <c r="R56" s="482"/>
      <c r="S56" s="482"/>
      <c r="T56" s="482"/>
      <c r="U56" s="482"/>
      <c r="V56" s="482"/>
      <c r="W56" s="482"/>
      <c r="X56" s="482"/>
      <c r="Y56" s="482"/>
      <c r="Z56" s="482"/>
      <c r="AA56" s="482"/>
      <c r="AB56" s="482"/>
    </row>
    <row r="57" spans="1:28" ht="15.75" customHeight="1">
      <c r="A57" s="535" t="s">
        <v>89</v>
      </c>
      <c r="B57" s="536">
        <v>-3.17851312971997</v>
      </c>
      <c r="C57" s="540"/>
      <c r="D57" s="529">
        <v>0.20872343532408041</v>
      </c>
      <c r="E57" s="530">
        <v>3</v>
      </c>
      <c r="F57" s="530">
        <v>210.5</v>
      </c>
      <c r="G57" s="531">
        <v>2.72</v>
      </c>
      <c r="H57" s="529">
        <f t="shared" si="0"/>
        <v>-4.0750000000000002</v>
      </c>
      <c r="I57" s="565"/>
      <c r="J57" s="566"/>
      <c r="K57" s="566"/>
      <c r="L57" s="567"/>
      <c r="M57" s="534" t="s">
        <v>130</v>
      </c>
      <c r="N57" s="482"/>
      <c r="O57" s="482"/>
      <c r="P57" s="482"/>
      <c r="Q57" s="482"/>
      <c r="R57" s="482"/>
      <c r="S57" s="482"/>
      <c r="T57" s="482"/>
      <c r="U57" s="482"/>
      <c r="V57" s="482"/>
      <c r="W57" s="482"/>
      <c r="X57" s="482"/>
      <c r="Y57" s="482"/>
      <c r="Z57" s="482"/>
      <c r="AA57" s="482"/>
      <c r="AB57" s="482"/>
    </row>
    <row r="58" spans="1:28" ht="15.75" customHeight="1">
      <c r="A58" s="535" t="s">
        <v>131</v>
      </c>
      <c r="B58" s="550">
        <v>-4.1576690555573901</v>
      </c>
      <c r="C58" s="540"/>
      <c r="D58" s="529">
        <v>0.1297319013416561</v>
      </c>
      <c r="E58" s="551">
        <v>3</v>
      </c>
      <c r="F58" s="530">
        <v>209.75</v>
      </c>
      <c r="G58" s="531">
        <v>3.37</v>
      </c>
      <c r="H58" s="529">
        <f t="shared" si="0"/>
        <v>-4.7175000000000002</v>
      </c>
      <c r="I58" s="482"/>
      <c r="J58" s="529"/>
      <c r="K58" s="529"/>
      <c r="L58" s="529"/>
      <c r="M58" s="534" t="s">
        <v>132</v>
      </c>
      <c r="N58" s="482"/>
      <c r="O58" s="482"/>
      <c r="P58" s="482"/>
      <c r="Q58" s="482"/>
      <c r="R58" s="482"/>
      <c r="S58" s="482"/>
      <c r="T58" s="482"/>
      <c r="U58" s="482"/>
      <c r="V58" s="482"/>
      <c r="W58" s="482"/>
      <c r="X58" s="482"/>
      <c r="Y58" s="482"/>
      <c r="Z58" s="482"/>
      <c r="AA58" s="482"/>
      <c r="AB58" s="482"/>
    </row>
    <row r="59" spans="1:28" ht="15.75" customHeight="1">
      <c r="A59" s="526" t="s">
        <v>92</v>
      </c>
      <c r="B59" s="536">
        <v>-3.4331437636642201</v>
      </c>
      <c r="C59" s="540"/>
      <c r="D59" s="529">
        <v>0.14124198841117766</v>
      </c>
      <c r="E59" s="530">
        <v>3</v>
      </c>
      <c r="F59" s="530">
        <v>53.5</v>
      </c>
      <c r="G59" s="531">
        <v>3.43</v>
      </c>
      <c r="H59" s="529">
        <f t="shared" si="0"/>
        <v>-3.2150000000000003</v>
      </c>
      <c r="I59" s="568" t="s">
        <v>133</v>
      </c>
      <c r="J59" s="569">
        <v>10237</v>
      </c>
      <c r="K59" s="545"/>
      <c r="L59" s="529"/>
      <c r="M59" s="534" t="s">
        <v>134</v>
      </c>
      <c r="N59" s="482"/>
      <c r="O59" s="482"/>
      <c r="P59" s="482"/>
      <c r="Q59" s="482"/>
      <c r="R59" s="482"/>
      <c r="S59" s="482"/>
      <c r="T59" s="482"/>
      <c r="U59" s="482"/>
      <c r="V59" s="482"/>
      <c r="W59" s="482"/>
      <c r="X59" s="482"/>
      <c r="Y59" s="482"/>
      <c r="Z59" s="482"/>
      <c r="AA59" s="482"/>
      <c r="AB59" s="482"/>
    </row>
    <row r="60" spans="1:28" ht="15.75" customHeight="1">
      <c r="A60" s="526" t="s">
        <v>135</v>
      </c>
      <c r="B60" s="536">
        <v>-1.22499752671301</v>
      </c>
      <c r="C60" s="540"/>
      <c r="D60" s="529">
        <v>0.17069281866408892</v>
      </c>
      <c r="E60" s="530">
        <v>6</v>
      </c>
      <c r="F60" s="530">
        <v>270</v>
      </c>
      <c r="G60" s="531">
        <v>0.05</v>
      </c>
      <c r="H60" s="529">
        <f t="shared" si="0"/>
        <v>-2</v>
      </c>
      <c r="I60" s="568" t="s">
        <v>136</v>
      </c>
      <c r="J60" s="569">
        <v>1138</v>
      </c>
      <c r="K60" s="545"/>
      <c r="L60" s="529"/>
      <c r="M60" s="534" t="s">
        <v>137</v>
      </c>
      <c r="N60" s="482"/>
      <c r="O60" s="482"/>
      <c r="P60" s="482"/>
      <c r="Q60" s="482"/>
      <c r="R60" s="482"/>
      <c r="S60" s="482"/>
      <c r="T60" s="482"/>
      <c r="U60" s="482"/>
      <c r="V60" s="482"/>
      <c r="W60" s="482"/>
      <c r="X60" s="482"/>
      <c r="Y60" s="482"/>
      <c r="Z60" s="482"/>
      <c r="AA60" s="482"/>
      <c r="AB60" s="482"/>
    </row>
    <row r="61" spans="1:28" ht="15.75" customHeight="1">
      <c r="A61" s="535" t="s">
        <v>138</v>
      </c>
      <c r="B61" s="536">
        <v>-1.90357210154719</v>
      </c>
      <c r="C61" s="540"/>
      <c r="D61" s="529">
        <v>0.2061475968316322</v>
      </c>
      <c r="E61" s="530">
        <v>3</v>
      </c>
      <c r="F61" s="530">
        <v>143.75</v>
      </c>
      <c r="G61" s="531">
        <v>1.6</v>
      </c>
      <c r="H61" s="529">
        <f t="shared" si="0"/>
        <v>-2.2875000000000001</v>
      </c>
      <c r="I61" s="568" t="s">
        <v>139</v>
      </c>
      <c r="J61" s="570">
        <f>COUNTA(A23:A122)</f>
        <v>100</v>
      </c>
      <c r="K61" s="545"/>
      <c r="L61" s="529"/>
      <c r="M61" s="534" t="s">
        <v>140</v>
      </c>
      <c r="N61" s="482"/>
      <c r="O61" s="482"/>
      <c r="P61" s="482"/>
      <c r="Q61" s="482"/>
      <c r="R61" s="482"/>
      <c r="S61" s="482"/>
      <c r="T61" s="482"/>
      <c r="U61" s="482"/>
      <c r="V61" s="482"/>
      <c r="W61" s="482"/>
      <c r="X61" s="482"/>
      <c r="Y61" s="482"/>
      <c r="Z61" s="482"/>
      <c r="AA61" s="482"/>
      <c r="AB61" s="482"/>
    </row>
    <row r="62" spans="1:28" ht="15.75" customHeight="1">
      <c r="A62" s="526" t="s">
        <v>141</v>
      </c>
      <c r="B62" s="536">
        <v>-4.4783646043008796</v>
      </c>
      <c r="C62" s="540"/>
      <c r="D62" s="529">
        <v>0.18021422622763517</v>
      </c>
      <c r="E62" s="530">
        <v>5</v>
      </c>
      <c r="F62" s="530">
        <v>214.5</v>
      </c>
      <c r="G62" s="531">
        <v>3.61</v>
      </c>
      <c r="H62" s="529">
        <f t="shared" si="0"/>
        <v>-5.0049999999999999</v>
      </c>
      <c r="I62" s="529"/>
      <c r="J62" s="529"/>
      <c r="K62" s="529"/>
      <c r="L62" s="529"/>
      <c r="M62" s="534" t="s">
        <v>142</v>
      </c>
      <c r="N62" s="482"/>
      <c r="O62" s="482"/>
      <c r="P62" s="482"/>
      <c r="Q62" s="482"/>
      <c r="R62" s="482"/>
      <c r="S62" s="482"/>
      <c r="T62" s="482"/>
      <c r="U62" s="482"/>
      <c r="V62" s="482"/>
      <c r="W62" s="482"/>
      <c r="X62" s="482"/>
      <c r="Y62" s="482"/>
      <c r="Z62" s="482"/>
      <c r="AA62" s="482"/>
      <c r="AB62" s="482"/>
    </row>
    <row r="63" spans="1:28" ht="15.75" customHeight="1">
      <c r="A63" s="535" t="s">
        <v>143</v>
      </c>
      <c r="B63" s="536">
        <v>-4.6504324831012198</v>
      </c>
      <c r="C63" s="540"/>
      <c r="D63" s="529">
        <v>0.19225415374507382</v>
      </c>
      <c r="E63" s="530">
        <v>8</v>
      </c>
      <c r="F63" s="530">
        <v>255.29999999999998</v>
      </c>
      <c r="G63" s="531">
        <v>3.82</v>
      </c>
      <c r="H63" s="529">
        <f t="shared" si="0"/>
        <v>-5.6229999999999993</v>
      </c>
      <c r="I63" s="571" t="s">
        <v>144</v>
      </c>
      <c r="J63" s="548"/>
      <c r="K63" s="548"/>
      <c r="L63" s="549"/>
      <c r="M63" s="534" t="s">
        <v>145</v>
      </c>
      <c r="N63" s="482"/>
      <c r="O63" s="482"/>
      <c r="P63" s="482"/>
      <c r="Q63" s="482"/>
      <c r="R63" s="482"/>
      <c r="S63" s="482"/>
      <c r="T63" s="482"/>
      <c r="U63" s="482"/>
      <c r="V63" s="482"/>
      <c r="W63" s="482"/>
      <c r="X63" s="482"/>
      <c r="Y63" s="482"/>
      <c r="Z63" s="482"/>
      <c r="AA63" s="482"/>
      <c r="AB63" s="482"/>
    </row>
    <row r="64" spans="1:28" ht="15.75" customHeight="1">
      <c r="A64" s="535" t="s">
        <v>146</v>
      </c>
      <c r="B64" s="536">
        <v>-2.9932204128801998</v>
      </c>
      <c r="C64" s="540"/>
      <c r="D64" s="529">
        <v>0.17</v>
      </c>
      <c r="E64" s="530">
        <v>3</v>
      </c>
      <c r="F64" s="530">
        <v>189</v>
      </c>
      <c r="G64" s="531">
        <v>1.34</v>
      </c>
      <c r="H64" s="529">
        <f t="shared" si="0"/>
        <v>-2.4800000000000004</v>
      </c>
      <c r="I64" s="572" t="s">
        <v>984</v>
      </c>
      <c r="J64" s="554"/>
      <c r="K64" s="554"/>
      <c r="L64" s="555"/>
      <c r="M64" s="534" t="s">
        <v>148</v>
      </c>
      <c r="N64" s="482"/>
      <c r="O64" s="482"/>
      <c r="P64" s="482"/>
      <c r="Q64" s="482"/>
      <c r="R64" s="482"/>
      <c r="S64" s="482"/>
      <c r="T64" s="482"/>
      <c r="U64" s="482"/>
      <c r="V64" s="482"/>
      <c r="W64" s="482"/>
      <c r="X64" s="482"/>
      <c r="Y64" s="482"/>
      <c r="Z64" s="482"/>
      <c r="AA64" s="482"/>
      <c r="AB64" s="482"/>
    </row>
    <row r="65" spans="1:28" ht="15.75" customHeight="1">
      <c r="A65" s="535" t="s">
        <v>149</v>
      </c>
      <c r="B65" s="536">
        <v>-5.27127846580892</v>
      </c>
      <c r="C65" s="540"/>
      <c r="D65" s="529">
        <v>0.19794493160510693</v>
      </c>
      <c r="E65" s="530">
        <v>4</v>
      </c>
      <c r="F65" s="530">
        <v>243.5</v>
      </c>
      <c r="G65" s="531">
        <v>1.34</v>
      </c>
      <c r="H65" s="529">
        <f t="shared" si="0"/>
        <v>-3.0250000000000004</v>
      </c>
      <c r="I65" s="564"/>
      <c r="J65" s="557"/>
      <c r="K65" s="557"/>
      <c r="L65" s="558"/>
      <c r="M65" s="534" t="s">
        <v>151</v>
      </c>
      <c r="N65" s="482"/>
      <c r="O65" s="482"/>
      <c r="P65" s="482"/>
      <c r="Q65" s="482"/>
      <c r="R65" s="482"/>
      <c r="S65" s="482"/>
      <c r="T65" s="482"/>
      <c r="U65" s="482"/>
      <c r="V65" s="482"/>
      <c r="W65" s="482"/>
      <c r="X65" s="482"/>
      <c r="Y65" s="482"/>
      <c r="Z65" s="482"/>
      <c r="AA65" s="482"/>
      <c r="AB65" s="482"/>
    </row>
    <row r="66" spans="1:28" ht="15.75" customHeight="1">
      <c r="A66" s="526" t="s">
        <v>95</v>
      </c>
      <c r="B66" s="536">
        <v>-2.06603906609037</v>
      </c>
      <c r="C66" s="540"/>
      <c r="D66" s="529">
        <v>0.21056099074293383</v>
      </c>
      <c r="E66" s="530">
        <v>3</v>
      </c>
      <c r="F66" s="530">
        <v>36.5</v>
      </c>
      <c r="G66" s="531">
        <v>2.74</v>
      </c>
      <c r="H66" s="529">
        <f t="shared" si="0"/>
        <v>-2.3550000000000004</v>
      </c>
      <c r="I66" s="564"/>
      <c r="J66" s="557"/>
      <c r="K66" s="557"/>
      <c r="L66" s="558"/>
      <c r="M66" s="534" t="s">
        <v>152</v>
      </c>
      <c r="N66" s="482"/>
      <c r="O66" s="482"/>
      <c r="P66" s="482"/>
      <c r="Q66" s="482"/>
      <c r="R66" s="482"/>
      <c r="S66" s="482"/>
      <c r="T66" s="482"/>
      <c r="U66" s="482"/>
      <c r="V66" s="482"/>
      <c r="W66" s="482"/>
      <c r="X66" s="482"/>
      <c r="Y66" s="482"/>
      <c r="Z66" s="482"/>
      <c r="AA66" s="482"/>
      <c r="AB66" s="482"/>
    </row>
    <row r="67" spans="1:28" ht="15.75" customHeight="1">
      <c r="A67" s="546" t="s">
        <v>153</v>
      </c>
      <c r="B67" s="536">
        <v>-3.70558299320914</v>
      </c>
      <c r="C67" s="540"/>
      <c r="D67" s="529">
        <v>0.21092434073951916</v>
      </c>
      <c r="E67" s="530">
        <v>10</v>
      </c>
      <c r="F67" s="530">
        <v>186</v>
      </c>
      <c r="G67" s="531">
        <v>3.4</v>
      </c>
      <c r="H67" s="529">
        <f t="shared" si="0"/>
        <v>-4.51</v>
      </c>
      <c r="I67" s="564"/>
      <c r="J67" s="557"/>
      <c r="K67" s="557"/>
      <c r="L67" s="558"/>
      <c r="M67" s="534" t="s">
        <v>154</v>
      </c>
      <c r="N67" s="482"/>
      <c r="O67" s="482"/>
      <c r="P67" s="482"/>
      <c r="Q67" s="482"/>
      <c r="R67" s="482"/>
      <c r="S67" s="482"/>
      <c r="T67" s="482"/>
      <c r="U67" s="482"/>
      <c r="V67" s="482"/>
      <c r="W67" s="482"/>
      <c r="X67" s="482"/>
      <c r="Y67" s="482"/>
      <c r="Z67" s="482"/>
      <c r="AA67" s="482"/>
      <c r="AB67" s="482"/>
    </row>
    <row r="68" spans="1:28" ht="15.75" customHeight="1">
      <c r="A68" s="526" t="s">
        <v>98</v>
      </c>
      <c r="B68" s="536">
        <v>-3.61691735482448</v>
      </c>
      <c r="C68" s="540"/>
      <c r="D68" s="529">
        <v>0.18695478693957188</v>
      </c>
      <c r="E68" s="530">
        <v>3</v>
      </c>
      <c r="F68" s="530">
        <v>252.99999999999997</v>
      </c>
      <c r="G68" s="531">
        <v>2.35</v>
      </c>
      <c r="H68" s="529">
        <f t="shared" si="0"/>
        <v>-4.13</v>
      </c>
      <c r="I68" s="564"/>
      <c r="J68" s="557"/>
      <c r="K68" s="557"/>
      <c r="L68" s="558"/>
      <c r="M68" s="534" t="s">
        <v>155</v>
      </c>
      <c r="N68" s="482"/>
      <c r="O68" s="482"/>
      <c r="P68" s="482"/>
      <c r="Q68" s="482"/>
      <c r="R68" s="482"/>
      <c r="S68" s="482"/>
      <c r="T68" s="482"/>
      <c r="U68" s="482"/>
      <c r="V68" s="482"/>
      <c r="W68" s="482"/>
      <c r="X68" s="482"/>
      <c r="Y68" s="482"/>
      <c r="Z68" s="482"/>
      <c r="AA68" s="482"/>
      <c r="AB68" s="482"/>
    </row>
    <row r="69" spans="1:28" ht="15.75" customHeight="1">
      <c r="A69" s="546" t="s">
        <v>156</v>
      </c>
      <c r="B69" s="536">
        <v>-3.91349198324323</v>
      </c>
      <c r="C69" s="540"/>
      <c r="D69" s="529">
        <v>0.20491085989689112</v>
      </c>
      <c r="E69" s="530">
        <v>23</v>
      </c>
      <c r="F69" s="530">
        <v>111.00000000000001</v>
      </c>
      <c r="G69" s="531">
        <v>3.68</v>
      </c>
      <c r="H69" s="529">
        <f t="shared" si="0"/>
        <v>-4.04</v>
      </c>
      <c r="I69" s="564"/>
      <c r="J69" s="557"/>
      <c r="K69" s="557"/>
      <c r="L69" s="558"/>
      <c r="M69" s="534" t="s">
        <v>157</v>
      </c>
      <c r="N69" s="482"/>
      <c r="O69" s="482"/>
      <c r="P69" s="482"/>
      <c r="Q69" s="482"/>
      <c r="R69" s="482"/>
      <c r="S69" s="482"/>
      <c r="T69" s="482"/>
      <c r="U69" s="482"/>
      <c r="V69" s="482"/>
      <c r="W69" s="482"/>
      <c r="X69" s="482"/>
      <c r="Y69" s="482"/>
      <c r="Z69" s="482"/>
      <c r="AA69" s="482"/>
      <c r="AB69" s="482"/>
    </row>
    <row r="70" spans="1:28" ht="15.75" customHeight="1">
      <c r="A70" s="526" t="s">
        <v>158</v>
      </c>
      <c r="B70" s="536">
        <v>-4.7418528215477496</v>
      </c>
      <c r="C70" s="540"/>
      <c r="D70" s="529">
        <v>0.15545016183846921</v>
      </c>
      <c r="E70" s="530">
        <v>6</v>
      </c>
      <c r="F70" s="530">
        <v>250</v>
      </c>
      <c r="G70" s="531">
        <v>-0.04</v>
      </c>
      <c r="H70" s="529">
        <f t="shared" si="0"/>
        <v>-1.71</v>
      </c>
      <c r="I70" s="564"/>
      <c r="J70" s="557"/>
      <c r="K70" s="557"/>
      <c r="L70" s="558"/>
      <c r="M70" s="534" t="s">
        <v>159</v>
      </c>
      <c r="N70" s="482"/>
      <c r="O70" s="482"/>
      <c r="P70" s="482"/>
      <c r="Q70" s="482"/>
      <c r="R70" s="482"/>
      <c r="S70" s="482"/>
      <c r="T70" s="482"/>
      <c r="U70" s="482"/>
      <c r="V70" s="482"/>
      <c r="W70" s="482"/>
      <c r="X70" s="482"/>
      <c r="Y70" s="482"/>
      <c r="Z70" s="482"/>
      <c r="AA70" s="482"/>
      <c r="AB70" s="482"/>
    </row>
    <row r="71" spans="1:28" ht="15.75" customHeight="1">
      <c r="A71" s="535" t="s">
        <v>160</v>
      </c>
      <c r="B71" s="536">
        <v>-1.68143854152832</v>
      </c>
      <c r="C71" s="540"/>
      <c r="D71" s="529">
        <v>0.13261436390895148</v>
      </c>
      <c r="E71" s="530">
        <v>3</v>
      </c>
      <c r="F71" s="530">
        <v>250</v>
      </c>
      <c r="G71" s="531">
        <v>-1.97</v>
      </c>
      <c r="H71" s="529">
        <f t="shared" si="0"/>
        <v>0.21999999999999975</v>
      </c>
      <c r="I71" s="564"/>
      <c r="J71" s="557"/>
      <c r="K71" s="557"/>
      <c r="L71" s="558"/>
      <c r="M71" s="534" t="s">
        <v>161</v>
      </c>
      <c r="N71" s="482"/>
      <c r="O71" s="482"/>
      <c r="P71" s="482"/>
      <c r="Q71" s="482"/>
      <c r="R71" s="482"/>
      <c r="S71" s="482"/>
      <c r="T71" s="482"/>
      <c r="U71" s="482"/>
      <c r="V71" s="482"/>
      <c r="W71" s="482"/>
      <c r="X71" s="482"/>
      <c r="Y71" s="482"/>
      <c r="Z71" s="482"/>
      <c r="AA71" s="482"/>
      <c r="AB71" s="482"/>
    </row>
    <row r="72" spans="1:28" ht="15.75" customHeight="1">
      <c r="A72" s="535" t="s">
        <v>162</v>
      </c>
      <c r="B72" s="536">
        <v>-4.4531264505665398</v>
      </c>
      <c r="C72" s="540"/>
      <c r="D72" s="529">
        <v>0.21159815676624968</v>
      </c>
      <c r="E72" s="530">
        <v>9</v>
      </c>
      <c r="F72" s="530">
        <v>208.5</v>
      </c>
      <c r="G72" s="531">
        <v>2.08</v>
      </c>
      <c r="H72" s="529">
        <f t="shared" si="0"/>
        <v>-3.415</v>
      </c>
      <c r="I72" s="564"/>
      <c r="J72" s="557"/>
      <c r="K72" s="557"/>
      <c r="L72" s="558"/>
      <c r="M72" s="534" t="s">
        <v>163</v>
      </c>
      <c r="N72" s="482"/>
      <c r="O72" s="482"/>
      <c r="P72" s="482"/>
      <c r="Q72" s="482"/>
      <c r="R72" s="482"/>
      <c r="S72" s="482"/>
      <c r="T72" s="482"/>
      <c r="U72" s="482"/>
      <c r="V72" s="482"/>
      <c r="W72" s="482"/>
      <c r="X72" s="482"/>
      <c r="Y72" s="482"/>
      <c r="Z72" s="482"/>
      <c r="AA72" s="482"/>
      <c r="AB72" s="482"/>
    </row>
    <row r="73" spans="1:28" ht="15.75" customHeight="1">
      <c r="A73" s="535" t="s">
        <v>164</v>
      </c>
      <c r="B73" s="536">
        <v>-4.1177807133454296</v>
      </c>
      <c r="C73" s="540"/>
      <c r="D73" s="529">
        <v>0.1900151243705871</v>
      </c>
      <c r="E73" s="530">
        <v>15</v>
      </c>
      <c r="F73" s="530">
        <v>220.00000000000003</v>
      </c>
      <c r="G73" s="531">
        <v>2.69</v>
      </c>
      <c r="H73" s="529">
        <f t="shared" si="0"/>
        <v>-4.1400000000000006</v>
      </c>
      <c r="I73" s="564"/>
      <c r="J73" s="557"/>
      <c r="K73" s="557"/>
      <c r="L73" s="558"/>
      <c r="M73" s="534" t="s">
        <v>165</v>
      </c>
      <c r="N73" s="482"/>
      <c r="O73" s="482"/>
      <c r="P73" s="482"/>
      <c r="Q73" s="482"/>
      <c r="R73" s="482"/>
      <c r="S73" s="482"/>
      <c r="T73" s="482"/>
      <c r="U73" s="482"/>
      <c r="V73" s="482"/>
      <c r="W73" s="482"/>
      <c r="X73" s="482"/>
      <c r="Y73" s="482"/>
      <c r="Z73" s="482"/>
      <c r="AA73" s="482"/>
      <c r="AB73" s="482"/>
    </row>
    <row r="74" spans="1:28" ht="15.75" customHeight="1">
      <c r="A74" s="535" t="s">
        <v>166</v>
      </c>
      <c r="B74" s="536">
        <v>-3.6642887200578298</v>
      </c>
      <c r="C74" s="540"/>
      <c r="D74" s="529">
        <v>0.16978183023026608</v>
      </c>
      <c r="E74" s="530">
        <v>10</v>
      </c>
      <c r="F74" s="530">
        <v>151</v>
      </c>
      <c r="G74" s="531">
        <v>4.43</v>
      </c>
      <c r="H74" s="529">
        <f t="shared" si="0"/>
        <v>-5.1899999999999995</v>
      </c>
      <c r="I74" s="564"/>
      <c r="J74" s="557"/>
      <c r="K74" s="557"/>
      <c r="L74" s="558"/>
      <c r="M74" s="534" t="s">
        <v>167</v>
      </c>
      <c r="N74" s="482"/>
      <c r="O74" s="482"/>
      <c r="P74" s="482"/>
      <c r="Q74" s="482"/>
      <c r="R74" s="482"/>
      <c r="S74" s="482"/>
      <c r="T74" s="482"/>
      <c r="U74" s="482"/>
      <c r="V74" s="482"/>
      <c r="W74" s="482"/>
      <c r="X74" s="482"/>
      <c r="Y74" s="482"/>
      <c r="Z74" s="482"/>
      <c r="AA74" s="482"/>
      <c r="AB74" s="482"/>
    </row>
    <row r="75" spans="1:28" ht="15.75" customHeight="1">
      <c r="A75" s="546" t="s">
        <v>100</v>
      </c>
      <c r="B75" s="536">
        <v>-4.2940175079696203</v>
      </c>
      <c r="C75" s="540"/>
      <c r="D75" s="529">
        <v>0.19416214604145643</v>
      </c>
      <c r="E75" s="530">
        <v>7</v>
      </c>
      <c r="F75" s="530">
        <v>154.5</v>
      </c>
      <c r="G75" s="531">
        <v>4.22</v>
      </c>
      <c r="H75" s="529">
        <f t="shared" si="0"/>
        <v>-5.0149999999999997</v>
      </c>
      <c r="I75" s="564"/>
      <c r="J75" s="557"/>
      <c r="K75" s="557"/>
      <c r="L75" s="558"/>
      <c r="M75" s="534" t="s">
        <v>168</v>
      </c>
      <c r="N75" s="482"/>
      <c r="O75" s="482"/>
      <c r="P75" s="482"/>
      <c r="Q75" s="482"/>
      <c r="R75" s="482"/>
      <c r="S75" s="482"/>
      <c r="T75" s="482"/>
      <c r="U75" s="482"/>
      <c r="V75" s="482"/>
      <c r="W75" s="482"/>
      <c r="X75" s="482"/>
      <c r="Y75" s="482"/>
      <c r="Z75" s="482"/>
      <c r="AA75" s="482"/>
      <c r="AB75" s="482"/>
    </row>
    <row r="76" spans="1:28" ht="15.75" customHeight="1">
      <c r="A76" s="535" t="s">
        <v>169</v>
      </c>
      <c r="B76" s="536">
        <v>-3.3076517021671701</v>
      </c>
      <c r="C76" s="540"/>
      <c r="D76" s="529">
        <v>0.16048013551961601</v>
      </c>
      <c r="E76" s="530">
        <v>5</v>
      </c>
      <c r="F76" s="530">
        <v>167.75</v>
      </c>
      <c r="G76" s="531">
        <v>2.87</v>
      </c>
      <c r="H76" s="529">
        <f t="shared" si="0"/>
        <v>-3.7975000000000003</v>
      </c>
      <c r="I76" s="564"/>
      <c r="J76" s="557"/>
      <c r="K76" s="557"/>
      <c r="L76" s="558"/>
      <c r="M76" s="534" t="s">
        <v>170</v>
      </c>
      <c r="N76" s="482"/>
      <c r="O76" s="482"/>
      <c r="P76" s="482"/>
      <c r="Q76" s="482"/>
      <c r="R76" s="482"/>
      <c r="S76" s="482"/>
      <c r="T76" s="482"/>
      <c r="U76" s="482"/>
      <c r="V76" s="482"/>
      <c r="W76" s="482"/>
      <c r="X76" s="482"/>
      <c r="Y76" s="482"/>
      <c r="Z76" s="482"/>
      <c r="AA76" s="482"/>
      <c r="AB76" s="482"/>
    </row>
    <row r="77" spans="1:28" ht="15.75" customHeight="1">
      <c r="A77" s="535" t="s">
        <v>171</v>
      </c>
      <c r="B77" s="550">
        <v>-5.0286599433199601</v>
      </c>
      <c r="C77" s="540"/>
      <c r="D77" s="529">
        <v>0.22239504833634874</v>
      </c>
      <c r="E77" s="551">
        <v>21</v>
      </c>
      <c r="F77" s="530">
        <v>159</v>
      </c>
      <c r="G77" s="531">
        <v>3.93</v>
      </c>
      <c r="H77" s="529">
        <f t="shared" si="0"/>
        <v>-4.7700000000000005</v>
      </c>
      <c r="I77" s="564"/>
      <c r="J77" s="557"/>
      <c r="K77" s="557"/>
      <c r="L77" s="558"/>
      <c r="M77" s="534" t="s">
        <v>172</v>
      </c>
      <c r="N77" s="482"/>
      <c r="O77" s="482"/>
      <c r="P77" s="482"/>
      <c r="Q77" s="482"/>
      <c r="R77" s="482"/>
      <c r="S77" s="482"/>
      <c r="T77" s="482"/>
      <c r="U77" s="482"/>
      <c r="V77" s="482"/>
      <c r="W77" s="482"/>
      <c r="X77" s="482"/>
      <c r="Y77" s="482"/>
      <c r="Z77" s="482"/>
      <c r="AA77" s="482"/>
      <c r="AB77" s="482"/>
    </row>
    <row r="78" spans="1:28" ht="15.75" customHeight="1">
      <c r="A78" s="535" t="s">
        <v>173</v>
      </c>
      <c r="B78" s="536">
        <v>-3.3202582938585401</v>
      </c>
      <c r="C78" s="540"/>
      <c r="D78" s="529">
        <v>0.21209434799218393</v>
      </c>
      <c r="E78" s="530">
        <v>5</v>
      </c>
      <c r="F78" s="530">
        <v>213.49999999999997</v>
      </c>
      <c r="G78" s="531">
        <v>3.04</v>
      </c>
      <c r="H78" s="529">
        <f t="shared" si="0"/>
        <v>-4.4249999999999998</v>
      </c>
      <c r="I78" s="564"/>
      <c r="J78" s="557"/>
      <c r="K78" s="557"/>
      <c r="L78" s="558"/>
      <c r="M78" s="534" t="s">
        <v>174</v>
      </c>
      <c r="N78" s="482"/>
      <c r="O78" s="482"/>
      <c r="P78" s="482"/>
      <c r="Q78" s="482"/>
      <c r="R78" s="482"/>
      <c r="S78" s="482"/>
      <c r="T78" s="482"/>
      <c r="U78" s="482"/>
      <c r="V78" s="482"/>
      <c r="W78" s="482"/>
      <c r="X78" s="482"/>
      <c r="Y78" s="482"/>
      <c r="Z78" s="482"/>
      <c r="AA78" s="482"/>
      <c r="AB78" s="482"/>
    </row>
    <row r="79" spans="1:28" ht="15.75" customHeight="1">
      <c r="A79" s="535" t="s">
        <v>175</v>
      </c>
      <c r="B79" s="536">
        <v>-3.3421664690793502</v>
      </c>
      <c r="C79" s="540"/>
      <c r="D79" s="529">
        <v>0.1407224156406931</v>
      </c>
      <c r="E79" s="530">
        <v>11</v>
      </c>
      <c r="F79" s="530">
        <v>146</v>
      </c>
      <c r="G79" s="531">
        <v>4.21</v>
      </c>
      <c r="H79" s="529">
        <f t="shared" si="0"/>
        <v>-4.92</v>
      </c>
      <c r="I79" s="564"/>
      <c r="J79" s="557"/>
      <c r="K79" s="557"/>
      <c r="L79" s="558"/>
      <c r="M79" s="534" t="s">
        <v>176</v>
      </c>
      <c r="N79" s="482"/>
      <c r="O79" s="482"/>
      <c r="P79" s="482"/>
      <c r="Q79" s="482"/>
      <c r="R79" s="482"/>
      <c r="S79" s="482"/>
      <c r="T79" s="482"/>
      <c r="U79" s="482"/>
      <c r="V79" s="482"/>
      <c r="W79" s="482"/>
      <c r="X79" s="482"/>
      <c r="Y79" s="482"/>
      <c r="Z79" s="482"/>
      <c r="AA79" s="482"/>
      <c r="AB79" s="482"/>
    </row>
    <row r="80" spans="1:28" ht="15.75" customHeight="1">
      <c r="A80" s="535" t="s">
        <v>177</v>
      </c>
      <c r="B80" s="536">
        <v>-3.29424593047692</v>
      </c>
      <c r="C80" s="540"/>
      <c r="D80" s="529">
        <v>0.21748916450754371</v>
      </c>
      <c r="E80" s="530">
        <v>5</v>
      </c>
      <c r="F80" s="530">
        <v>92.333333333333329</v>
      </c>
      <c r="G80" s="531">
        <v>4.21</v>
      </c>
      <c r="H80" s="529">
        <f t="shared" si="0"/>
        <v>-4.3833333333333329</v>
      </c>
      <c r="I80" s="564"/>
      <c r="J80" s="557"/>
      <c r="K80" s="557"/>
      <c r="L80" s="558"/>
      <c r="M80" s="534" t="s">
        <v>178</v>
      </c>
      <c r="N80" s="482"/>
      <c r="O80" s="482"/>
      <c r="P80" s="482"/>
      <c r="Q80" s="482"/>
      <c r="R80" s="482"/>
      <c r="S80" s="482"/>
      <c r="T80" s="482"/>
      <c r="U80" s="482"/>
      <c r="V80" s="482"/>
      <c r="W80" s="482"/>
      <c r="X80" s="482"/>
      <c r="Y80" s="482"/>
      <c r="Z80" s="482"/>
      <c r="AA80" s="482"/>
      <c r="AB80" s="482"/>
    </row>
    <row r="81" spans="1:28" ht="15.75" customHeight="1">
      <c r="A81" s="526" t="s">
        <v>179</v>
      </c>
      <c r="B81" s="536">
        <v>-4.02505849372137</v>
      </c>
      <c r="C81" s="540"/>
      <c r="D81" s="529">
        <v>0.20531013145176411</v>
      </c>
      <c r="E81" s="530">
        <v>8</v>
      </c>
      <c r="F81" s="530">
        <v>256</v>
      </c>
      <c r="G81" s="531">
        <v>2.71</v>
      </c>
      <c r="H81" s="529">
        <f t="shared" si="0"/>
        <v>-4.5199999999999996</v>
      </c>
      <c r="I81" s="564"/>
      <c r="J81" s="557"/>
      <c r="K81" s="557"/>
      <c r="L81" s="558"/>
      <c r="M81" s="534" t="s">
        <v>180</v>
      </c>
      <c r="N81" s="482"/>
      <c r="O81" s="482"/>
      <c r="P81" s="482"/>
      <c r="Q81" s="482"/>
      <c r="R81" s="482"/>
      <c r="S81" s="482"/>
      <c r="T81" s="482"/>
      <c r="U81" s="482"/>
      <c r="V81" s="482"/>
      <c r="W81" s="482"/>
      <c r="X81" s="482"/>
      <c r="Y81" s="482"/>
      <c r="Z81" s="482"/>
      <c r="AA81" s="482"/>
      <c r="AB81" s="482"/>
    </row>
    <row r="82" spans="1:28" ht="15.75" customHeight="1">
      <c r="A82" s="526" t="s">
        <v>181</v>
      </c>
      <c r="B82" s="536">
        <v>-4.2677711207257998</v>
      </c>
      <c r="C82" s="540"/>
      <c r="D82" s="529">
        <v>0.21176785142223761</v>
      </c>
      <c r="E82" s="530">
        <v>3</v>
      </c>
      <c r="F82" s="530">
        <v>80</v>
      </c>
      <c r="G82" s="531">
        <v>3.37</v>
      </c>
      <c r="H82" s="529">
        <f t="shared" si="0"/>
        <v>-3.42</v>
      </c>
      <c r="I82" s="564"/>
      <c r="J82" s="557"/>
      <c r="K82" s="557"/>
      <c r="L82" s="558"/>
      <c r="M82" s="534" t="s">
        <v>182</v>
      </c>
      <c r="N82" s="482"/>
      <c r="O82" s="482"/>
      <c r="P82" s="482"/>
      <c r="Q82" s="482"/>
      <c r="R82" s="482"/>
      <c r="S82" s="482"/>
      <c r="T82" s="482"/>
      <c r="U82" s="482"/>
      <c r="V82" s="482"/>
      <c r="W82" s="482"/>
      <c r="X82" s="482"/>
      <c r="Y82" s="482"/>
      <c r="Z82" s="482"/>
      <c r="AA82" s="482"/>
      <c r="AB82" s="482"/>
    </row>
    <row r="83" spans="1:28" ht="15.75" customHeight="1">
      <c r="A83" s="526" t="s">
        <v>183</v>
      </c>
      <c r="B83" s="536">
        <v>-3.8734560431976499</v>
      </c>
      <c r="C83" s="540"/>
      <c r="D83" s="529">
        <v>0.16217657762412213</v>
      </c>
      <c r="E83" s="530">
        <v>17</v>
      </c>
      <c r="F83" s="530">
        <v>153</v>
      </c>
      <c r="G83" s="531">
        <v>3.04</v>
      </c>
      <c r="H83" s="529">
        <f t="shared" si="0"/>
        <v>-3.8200000000000003</v>
      </c>
      <c r="I83" s="564"/>
      <c r="J83" s="557"/>
      <c r="K83" s="557"/>
      <c r="L83" s="558"/>
      <c r="M83" s="534" t="s">
        <v>184</v>
      </c>
      <c r="N83" s="482"/>
      <c r="O83" s="482"/>
      <c r="P83" s="482"/>
      <c r="Q83" s="482"/>
      <c r="R83" s="482"/>
      <c r="S83" s="482"/>
      <c r="T83" s="482"/>
      <c r="U83" s="482"/>
      <c r="V83" s="482"/>
      <c r="W83" s="482"/>
      <c r="X83" s="482"/>
      <c r="Y83" s="482"/>
      <c r="Z83" s="482"/>
      <c r="AA83" s="482"/>
      <c r="AB83" s="482"/>
    </row>
    <row r="84" spans="1:28" ht="15.75" customHeight="1">
      <c r="A84" s="535" t="s">
        <v>185</v>
      </c>
      <c r="B84" s="536">
        <v>-5.98157049989599</v>
      </c>
      <c r="C84" s="540"/>
      <c r="D84" s="529">
        <v>0.20448827496623867</v>
      </c>
      <c r="E84" s="530">
        <v>3</v>
      </c>
      <c r="F84" s="530">
        <v>349.84</v>
      </c>
      <c r="G84" s="531">
        <v>4.75</v>
      </c>
      <c r="H84" s="529">
        <f t="shared" si="0"/>
        <v>-7.4984000000000002</v>
      </c>
      <c r="I84" s="564"/>
      <c r="J84" s="557"/>
      <c r="K84" s="557"/>
      <c r="L84" s="558"/>
      <c r="M84" s="534" t="s">
        <v>186</v>
      </c>
      <c r="N84" s="482"/>
      <c r="O84" s="482"/>
      <c r="P84" s="482"/>
      <c r="Q84" s="482"/>
      <c r="R84" s="482"/>
      <c r="S84" s="482"/>
      <c r="T84" s="482"/>
      <c r="U84" s="482"/>
      <c r="V84" s="482"/>
      <c r="W84" s="482"/>
      <c r="X84" s="482"/>
      <c r="Y84" s="482"/>
      <c r="Z84" s="482"/>
      <c r="AA84" s="482"/>
      <c r="AB84" s="482"/>
    </row>
    <row r="85" spans="1:28" ht="15.75" customHeight="1">
      <c r="A85" s="535" t="s">
        <v>187</v>
      </c>
      <c r="B85" s="536">
        <v>-4.5658437246361796</v>
      </c>
      <c r="C85" s="540"/>
      <c r="D85" s="529">
        <v>0.14358294446577732</v>
      </c>
      <c r="E85" s="530">
        <v>6</v>
      </c>
      <c r="F85" s="530">
        <v>248</v>
      </c>
      <c r="G85" s="531">
        <v>2.65</v>
      </c>
      <c r="H85" s="529">
        <f t="shared" si="0"/>
        <v>-4.38</v>
      </c>
      <c r="I85" s="564"/>
      <c r="J85" s="557"/>
      <c r="K85" s="557"/>
      <c r="L85" s="558"/>
      <c r="M85" s="534" t="s">
        <v>188</v>
      </c>
      <c r="N85" s="482"/>
      <c r="O85" s="482"/>
      <c r="P85" s="482"/>
      <c r="Q85" s="482"/>
      <c r="R85" s="482"/>
      <c r="S85" s="482"/>
      <c r="T85" s="482"/>
      <c r="U85" s="482"/>
      <c r="V85" s="482"/>
      <c r="W85" s="482"/>
      <c r="X85" s="482"/>
      <c r="Y85" s="482"/>
      <c r="Z85" s="482"/>
      <c r="AA85" s="482"/>
      <c r="AB85" s="482"/>
    </row>
    <row r="86" spans="1:28" ht="15.75" customHeight="1">
      <c r="A86" s="535" t="s">
        <v>189</v>
      </c>
      <c r="B86" s="536">
        <v>-4.6123397127441503</v>
      </c>
      <c r="C86" s="540"/>
      <c r="D86" s="529">
        <v>0.15384096988991314</v>
      </c>
      <c r="E86" s="530">
        <v>11</v>
      </c>
      <c r="F86" s="530">
        <v>173</v>
      </c>
      <c r="G86" s="531">
        <v>2.1800000000000002</v>
      </c>
      <c r="H86" s="529">
        <f t="shared" si="0"/>
        <v>-3.16</v>
      </c>
      <c r="I86" s="564"/>
      <c r="J86" s="557"/>
      <c r="K86" s="557"/>
      <c r="L86" s="558"/>
      <c r="M86" s="534" t="s">
        <v>190</v>
      </c>
      <c r="N86" s="482"/>
      <c r="O86" s="482"/>
      <c r="P86" s="482"/>
      <c r="Q86" s="482"/>
      <c r="R86" s="482"/>
      <c r="S86" s="482"/>
      <c r="T86" s="482"/>
      <c r="U86" s="482"/>
      <c r="V86" s="482"/>
      <c r="W86" s="482"/>
      <c r="X86" s="482"/>
      <c r="Y86" s="482"/>
      <c r="Z86" s="482"/>
      <c r="AA86" s="482"/>
      <c r="AB86" s="482"/>
    </row>
    <row r="87" spans="1:28" ht="15.75" customHeight="1">
      <c r="A87" s="535" t="s">
        <v>191</v>
      </c>
      <c r="B87" s="536">
        <v>-4.2839138537257302</v>
      </c>
      <c r="C87" s="540"/>
      <c r="D87" s="529">
        <v>0.14176528631434945</v>
      </c>
      <c r="E87" s="530">
        <v>5</v>
      </c>
      <c r="F87" s="530">
        <v>143.75</v>
      </c>
      <c r="G87" s="531">
        <v>2.76</v>
      </c>
      <c r="H87" s="529">
        <f t="shared" si="0"/>
        <v>-3.4474999999999998</v>
      </c>
      <c r="I87" s="564"/>
      <c r="J87" s="557"/>
      <c r="K87" s="557"/>
      <c r="L87" s="558"/>
      <c r="M87" s="534" t="s">
        <v>192</v>
      </c>
      <c r="N87" s="482"/>
      <c r="O87" s="482"/>
      <c r="P87" s="482"/>
      <c r="Q87" s="482"/>
      <c r="R87" s="482"/>
      <c r="S87" s="482"/>
      <c r="T87" s="482"/>
      <c r="U87" s="482"/>
      <c r="V87" s="482"/>
      <c r="W87" s="482"/>
      <c r="X87" s="482"/>
      <c r="Y87" s="482"/>
      <c r="Z87" s="482"/>
      <c r="AA87" s="482"/>
      <c r="AB87" s="482"/>
    </row>
    <row r="88" spans="1:28" ht="15.75" customHeight="1">
      <c r="A88" s="535" t="s">
        <v>193</v>
      </c>
      <c r="B88" s="536">
        <v>-2.7379186094728598</v>
      </c>
      <c r="C88" s="540"/>
      <c r="D88" s="529">
        <v>0.16213928191469343</v>
      </c>
      <c r="E88" s="530">
        <v>19</v>
      </c>
      <c r="F88" s="530">
        <v>220.5</v>
      </c>
      <c r="G88" s="531">
        <v>1.27</v>
      </c>
      <c r="H88" s="529">
        <f t="shared" si="0"/>
        <v>-2.7250000000000001</v>
      </c>
      <c r="I88" s="564"/>
      <c r="J88" s="557"/>
      <c r="K88" s="557"/>
      <c r="L88" s="558"/>
      <c r="M88" s="534" t="s">
        <v>194</v>
      </c>
      <c r="N88" s="482"/>
      <c r="O88" s="482"/>
      <c r="P88" s="482"/>
      <c r="Q88" s="482"/>
      <c r="R88" s="482"/>
      <c r="S88" s="482"/>
      <c r="T88" s="482"/>
      <c r="U88" s="482"/>
      <c r="V88" s="482"/>
      <c r="W88" s="482"/>
      <c r="X88" s="482"/>
      <c r="Y88" s="482"/>
      <c r="Z88" s="482"/>
      <c r="AA88" s="482"/>
      <c r="AB88" s="482"/>
    </row>
    <row r="89" spans="1:28" ht="15.75" customHeight="1">
      <c r="A89" s="535" t="s">
        <v>195</v>
      </c>
      <c r="B89" s="536">
        <v>-3.9225727766822498</v>
      </c>
      <c r="C89" s="540"/>
      <c r="D89" s="529">
        <v>0.16127920198135692</v>
      </c>
      <c r="E89" s="530">
        <v>5</v>
      </c>
      <c r="F89" s="530">
        <v>214</v>
      </c>
      <c r="G89" s="531">
        <v>3.83</v>
      </c>
      <c r="H89" s="529">
        <f t="shared" si="0"/>
        <v>-5.2200000000000006</v>
      </c>
      <c r="I89" s="564"/>
      <c r="J89" s="557"/>
      <c r="K89" s="557"/>
      <c r="L89" s="558"/>
      <c r="M89" s="534" t="s">
        <v>196</v>
      </c>
      <c r="N89" s="482"/>
      <c r="O89" s="482"/>
      <c r="P89" s="482"/>
      <c r="Q89" s="482"/>
      <c r="R89" s="482"/>
      <c r="S89" s="482"/>
      <c r="T89" s="482"/>
      <c r="U89" s="482"/>
      <c r="V89" s="482"/>
      <c r="W89" s="482"/>
      <c r="X89" s="482"/>
      <c r="Y89" s="482"/>
      <c r="Z89" s="482"/>
      <c r="AA89" s="482"/>
      <c r="AB89" s="482"/>
    </row>
    <row r="90" spans="1:28" ht="15.75" customHeight="1">
      <c r="A90" s="546" t="s">
        <v>197</v>
      </c>
      <c r="B90" s="536">
        <v>-3.4951377480712802</v>
      </c>
      <c r="C90" s="540"/>
      <c r="D90" s="529">
        <v>0.13869006117838048</v>
      </c>
      <c r="E90" s="530">
        <v>3</v>
      </c>
      <c r="F90" s="530">
        <v>176</v>
      </c>
      <c r="G90" s="531">
        <v>2.88</v>
      </c>
      <c r="H90" s="529">
        <f t="shared" si="0"/>
        <v>-3.8899999999999997</v>
      </c>
      <c r="I90" s="564"/>
      <c r="J90" s="557"/>
      <c r="K90" s="557"/>
      <c r="L90" s="558"/>
      <c r="M90" s="534" t="s">
        <v>198</v>
      </c>
      <c r="N90" s="482"/>
      <c r="O90" s="482"/>
      <c r="P90" s="482"/>
      <c r="Q90" s="482"/>
      <c r="R90" s="482"/>
      <c r="S90" s="482"/>
      <c r="T90" s="482"/>
      <c r="U90" s="482"/>
      <c r="V90" s="482"/>
      <c r="W90" s="482"/>
      <c r="X90" s="482"/>
      <c r="Y90" s="482"/>
      <c r="Z90" s="482"/>
      <c r="AA90" s="482"/>
      <c r="AB90" s="482"/>
    </row>
    <row r="91" spans="1:28" ht="15.75" customHeight="1">
      <c r="A91" s="526" t="s">
        <v>199</v>
      </c>
      <c r="B91" s="550">
        <v>-2.7473208011954098</v>
      </c>
      <c r="C91" s="540"/>
      <c r="D91" s="529">
        <v>0.1259834086188602</v>
      </c>
      <c r="E91" s="551">
        <v>14</v>
      </c>
      <c r="F91" s="530">
        <v>253.5</v>
      </c>
      <c r="G91" s="531">
        <v>1.54</v>
      </c>
      <c r="H91" s="529">
        <f t="shared" si="0"/>
        <v>-3.3250000000000002</v>
      </c>
      <c r="I91" s="564"/>
      <c r="J91" s="557"/>
      <c r="K91" s="557"/>
      <c r="L91" s="558"/>
      <c r="M91" s="534" t="s">
        <v>200</v>
      </c>
      <c r="N91" s="482"/>
      <c r="O91" s="482"/>
      <c r="P91" s="482"/>
      <c r="Q91" s="482"/>
      <c r="R91" s="482"/>
      <c r="S91" s="482"/>
      <c r="T91" s="482"/>
      <c r="U91" s="482"/>
      <c r="V91" s="482"/>
      <c r="W91" s="482"/>
      <c r="X91" s="482"/>
      <c r="Y91" s="482"/>
      <c r="Z91" s="482"/>
      <c r="AA91" s="482"/>
      <c r="AB91" s="482"/>
    </row>
    <row r="92" spans="1:28" ht="15.75" customHeight="1">
      <c r="A92" s="535" t="s">
        <v>201</v>
      </c>
      <c r="B92" s="536">
        <v>-3.36946855503433</v>
      </c>
      <c r="C92" s="540"/>
      <c r="D92" s="529">
        <v>0.16504944177542516</v>
      </c>
      <c r="E92" s="530">
        <v>5</v>
      </c>
      <c r="F92" s="530">
        <v>205.50000000000003</v>
      </c>
      <c r="G92" s="531">
        <v>2.4500000000000002</v>
      </c>
      <c r="H92" s="529">
        <f t="shared" si="0"/>
        <v>-3.7550000000000008</v>
      </c>
      <c r="I92" s="564"/>
      <c r="J92" s="557"/>
      <c r="K92" s="557"/>
      <c r="L92" s="558"/>
      <c r="M92" s="534" t="s">
        <v>202</v>
      </c>
      <c r="N92" s="482"/>
      <c r="O92" s="482"/>
      <c r="P92" s="482"/>
      <c r="Q92" s="482"/>
      <c r="R92" s="482"/>
      <c r="S92" s="482"/>
      <c r="T92" s="482"/>
      <c r="U92" s="482"/>
      <c r="V92" s="482"/>
      <c r="W92" s="482"/>
      <c r="X92" s="482"/>
      <c r="Y92" s="482"/>
      <c r="Z92" s="482"/>
      <c r="AA92" s="482"/>
      <c r="AB92" s="482"/>
    </row>
    <row r="93" spans="1:28" ht="15.75" customHeight="1">
      <c r="A93" s="546" t="s">
        <v>203</v>
      </c>
      <c r="B93" s="536">
        <v>-4.1386808682309404</v>
      </c>
      <c r="C93" s="540"/>
      <c r="D93" s="529">
        <v>0.19426266518058349</v>
      </c>
      <c r="E93" s="530">
        <v>3</v>
      </c>
      <c r="F93" s="530">
        <v>96</v>
      </c>
      <c r="G93" s="531">
        <v>3.49</v>
      </c>
      <c r="H93" s="529">
        <f t="shared" si="0"/>
        <v>-3.7</v>
      </c>
      <c r="I93" s="564"/>
      <c r="J93" s="557"/>
      <c r="K93" s="557"/>
      <c r="L93" s="558"/>
      <c r="M93" s="534" t="s">
        <v>204</v>
      </c>
      <c r="N93" s="482"/>
      <c r="O93" s="482"/>
      <c r="P93" s="482"/>
      <c r="Q93" s="482"/>
      <c r="R93" s="482"/>
      <c r="S93" s="482"/>
      <c r="T93" s="482"/>
      <c r="U93" s="482"/>
      <c r="V93" s="482"/>
      <c r="W93" s="482"/>
      <c r="X93" s="482"/>
      <c r="Y93" s="482"/>
      <c r="Z93" s="482"/>
      <c r="AA93" s="482"/>
      <c r="AB93" s="482"/>
    </row>
    <row r="94" spans="1:28" ht="15.75" customHeight="1">
      <c r="A94" s="535" t="s">
        <v>205</v>
      </c>
      <c r="B94" s="536">
        <v>-4.4620292656063096</v>
      </c>
      <c r="C94" s="540"/>
      <c r="D94" s="529">
        <v>0.18894337149737056</v>
      </c>
      <c r="E94" s="530">
        <v>12</v>
      </c>
      <c r="F94" s="530">
        <v>147.25</v>
      </c>
      <c r="G94" s="531">
        <v>3.86</v>
      </c>
      <c r="H94" s="529">
        <f t="shared" si="0"/>
        <v>-4.5824999999999996</v>
      </c>
      <c r="I94" s="564"/>
      <c r="J94" s="557"/>
      <c r="K94" s="557"/>
      <c r="L94" s="558"/>
      <c r="M94" s="534" t="s">
        <v>206</v>
      </c>
      <c r="N94" s="482"/>
      <c r="O94" s="482"/>
      <c r="P94" s="482"/>
      <c r="Q94" s="482"/>
      <c r="R94" s="482"/>
      <c r="S94" s="482"/>
      <c r="T94" s="482"/>
      <c r="U94" s="482"/>
      <c r="V94" s="482"/>
      <c r="W94" s="482"/>
      <c r="X94" s="482"/>
      <c r="Y94" s="482"/>
      <c r="Z94" s="482"/>
      <c r="AA94" s="482"/>
      <c r="AB94" s="482"/>
    </row>
    <row r="95" spans="1:28" ht="15.75" customHeight="1">
      <c r="A95" s="535" t="s">
        <v>207</v>
      </c>
      <c r="B95" s="536">
        <v>-3.5855876589975502</v>
      </c>
      <c r="C95" s="540"/>
      <c r="D95" s="529">
        <v>0.17391407185160324</v>
      </c>
      <c r="E95" s="530">
        <v>6</v>
      </c>
      <c r="F95" s="530">
        <v>97</v>
      </c>
      <c r="G95" s="531">
        <v>3.94</v>
      </c>
      <c r="H95" s="529">
        <f t="shared" si="0"/>
        <v>-4.16</v>
      </c>
      <c r="I95" s="564"/>
      <c r="J95" s="557"/>
      <c r="K95" s="557"/>
      <c r="L95" s="558"/>
      <c r="M95" s="534" t="s">
        <v>208</v>
      </c>
      <c r="N95" s="482"/>
      <c r="O95" s="482"/>
      <c r="P95" s="482"/>
      <c r="Q95" s="482"/>
      <c r="R95" s="482"/>
      <c r="S95" s="482"/>
      <c r="T95" s="482"/>
      <c r="U95" s="482"/>
      <c r="V95" s="482"/>
      <c r="W95" s="482"/>
      <c r="X95" s="482"/>
      <c r="Y95" s="482"/>
      <c r="Z95" s="482"/>
      <c r="AA95" s="482"/>
      <c r="AB95" s="482"/>
    </row>
    <row r="96" spans="1:28" ht="15.75" customHeight="1">
      <c r="A96" s="526" t="s">
        <v>209</v>
      </c>
      <c r="B96" s="536">
        <v>-1.87906233073782</v>
      </c>
      <c r="C96" s="540"/>
      <c r="D96" s="529">
        <v>0.13764369691033657</v>
      </c>
      <c r="E96" s="530">
        <v>10</v>
      </c>
      <c r="F96" s="530">
        <v>134.5</v>
      </c>
      <c r="G96" s="531">
        <v>2.04</v>
      </c>
      <c r="H96" s="529">
        <f t="shared" si="0"/>
        <v>-2.6349999999999998</v>
      </c>
      <c r="I96" s="564"/>
      <c r="J96" s="557"/>
      <c r="K96" s="557"/>
      <c r="L96" s="558"/>
      <c r="M96" s="534" t="s">
        <v>210</v>
      </c>
      <c r="N96" s="482"/>
      <c r="O96" s="482"/>
      <c r="P96" s="482"/>
      <c r="Q96" s="482"/>
      <c r="R96" s="482"/>
      <c r="S96" s="482"/>
      <c r="T96" s="482"/>
      <c r="U96" s="482"/>
      <c r="V96" s="482"/>
      <c r="W96" s="482"/>
      <c r="X96" s="482"/>
      <c r="Y96" s="482"/>
      <c r="Z96" s="482"/>
      <c r="AA96" s="482"/>
      <c r="AB96" s="482"/>
    </row>
    <row r="97" spans="1:28" ht="15.75" customHeight="1">
      <c r="A97" s="535" t="s">
        <v>211</v>
      </c>
      <c r="B97" s="536">
        <v>-2.3990276469605698</v>
      </c>
      <c r="C97" s="540"/>
      <c r="D97" s="529">
        <v>0.16245746888591447</v>
      </c>
      <c r="E97" s="530">
        <v>7</v>
      </c>
      <c r="F97" s="530">
        <v>139</v>
      </c>
      <c r="G97" s="531">
        <v>2.66</v>
      </c>
      <c r="H97" s="529">
        <f t="shared" si="0"/>
        <v>-3.3000000000000003</v>
      </c>
      <c r="I97" s="564"/>
      <c r="J97" s="557"/>
      <c r="K97" s="557"/>
      <c r="L97" s="558"/>
      <c r="M97" s="534" t="s">
        <v>212</v>
      </c>
      <c r="N97" s="482"/>
      <c r="O97" s="482"/>
      <c r="P97" s="482"/>
      <c r="Q97" s="482"/>
      <c r="R97" s="482"/>
      <c r="S97" s="482"/>
      <c r="T97" s="482"/>
      <c r="U97" s="482"/>
      <c r="V97" s="482"/>
      <c r="W97" s="482"/>
      <c r="X97" s="482"/>
      <c r="Y97" s="482"/>
      <c r="Z97" s="482"/>
      <c r="AA97" s="482"/>
      <c r="AB97" s="482"/>
    </row>
    <row r="98" spans="1:28" ht="15.75" customHeight="1">
      <c r="A98" s="535" t="s">
        <v>213</v>
      </c>
      <c r="B98" s="536">
        <v>-3.2006697247632898</v>
      </c>
      <c r="C98" s="540"/>
      <c r="D98" s="529">
        <v>0.15322122505052199</v>
      </c>
      <c r="E98" s="530">
        <v>9</v>
      </c>
      <c r="F98" s="530">
        <v>170</v>
      </c>
      <c r="G98" s="531">
        <v>1.91</v>
      </c>
      <c r="H98" s="529">
        <f t="shared" si="0"/>
        <v>-2.86</v>
      </c>
      <c r="I98" s="564"/>
      <c r="J98" s="557"/>
      <c r="K98" s="557"/>
      <c r="L98" s="558"/>
      <c r="M98" s="534" t="s">
        <v>214</v>
      </c>
      <c r="N98" s="482"/>
      <c r="O98" s="482"/>
      <c r="P98" s="482"/>
      <c r="Q98" s="482"/>
      <c r="R98" s="482"/>
      <c r="S98" s="482"/>
      <c r="T98" s="482"/>
      <c r="U98" s="482"/>
      <c r="V98" s="482"/>
      <c r="W98" s="482"/>
      <c r="X98" s="482"/>
      <c r="Y98" s="482"/>
      <c r="Z98" s="482"/>
      <c r="AA98" s="482"/>
      <c r="AB98" s="482"/>
    </row>
    <row r="99" spans="1:28" ht="15.75" customHeight="1">
      <c r="A99" s="526" t="s">
        <v>215</v>
      </c>
      <c r="B99" s="536">
        <v>-2.56463300891948</v>
      </c>
      <c r="C99" s="540"/>
      <c r="D99" s="529">
        <v>0.15273607916541068</v>
      </c>
      <c r="E99" s="530">
        <v>10</v>
      </c>
      <c r="F99" s="530">
        <v>326</v>
      </c>
      <c r="G99" s="531">
        <v>2.44</v>
      </c>
      <c r="H99" s="529">
        <f t="shared" si="0"/>
        <v>-4.95</v>
      </c>
      <c r="I99" s="564"/>
      <c r="J99" s="557"/>
      <c r="K99" s="557"/>
      <c r="L99" s="558"/>
      <c r="M99" s="534" t="s">
        <v>216</v>
      </c>
      <c r="N99" s="482"/>
      <c r="O99" s="482"/>
      <c r="P99" s="482"/>
      <c r="Q99" s="482"/>
      <c r="R99" s="482"/>
      <c r="S99" s="482"/>
      <c r="T99" s="482"/>
      <c r="U99" s="482"/>
      <c r="V99" s="482"/>
      <c r="W99" s="482"/>
      <c r="X99" s="482"/>
      <c r="Y99" s="482"/>
      <c r="Z99" s="482"/>
      <c r="AA99" s="482"/>
      <c r="AB99" s="482"/>
    </row>
    <row r="100" spans="1:28" ht="15.75" customHeight="1">
      <c r="A100" s="535" t="s">
        <v>217</v>
      </c>
      <c r="B100" s="536">
        <v>-3.46583351603587</v>
      </c>
      <c r="C100" s="540"/>
      <c r="D100" s="529">
        <v>0.18404701512102448</v>
      </c>
      <c r="E100" s="530">
        <v>5</v>
      </c>
      <c r="F100" s="530">
        <v>232.50000000000003</v>
      </c>
      <c r="G100" s="531">
        <v>1.8</v>
      </c>
      <c r="H100" s="529">
        <f t="shared" si="0"/>
        <v>-3.375</v>
      </c>
      <c r="I100" s="564"/>
      <c r="J100" s="557"/>
      <c r="K100" s="557"/>
      <c r="L100" s="558"/>
      <c r="M100" s="534" t="s">
        <v>218</v>
      </c>
      <c r="N100" s="482"/>
      <c r="O100" s="482"/>
      <c r="P100" s="482"/>
      <c r="Q100" s="482"/>
      <c r="R100" s="482"/>
      <c r="S100" s="482"/>
      <c r="T100" s="482"/>
      <c r="U100" s="482"/>
      <c r="V100" s="482"/>
      <c r="W100" s="482"/>
      <c r="X100" s="482"/>
      <c r="Y100" s="482"/>
      <c r="Z100" s="482"/>
      <c r="AA100" s="482"/>
      <c r="AB100" s="482"/>
    </row>
    <row r="101" spans="1:28" ht="15.75" customHeight="1">
      <c r="A101" s="535" t="s">
        <v>219</v>
      </c>
      <c r="B101" s="536">
        <v>-2.0231638049084602</v>
      </c>
      <c r="C101" s="540"/>
      <c r="D101" s="529">
        <v>0.13604063752604376</v>
      </c>
      <c r="E101" s="530">
        <v>4</v>
      </c>
      <c r="F101" s="530">
        <v>281.5</v>
      </c>
      <c r="G101" s="531">
        <v>0.54</v>
      </c>
      <c r="H101" s="529">
        <f t="shared" si="0"/>
        <v>-2.605</v>
      </c>
      <c r="I101" s="564"/>
      <c r="J101" s="557"/>
      <c r="K101" s="557"/>
      <c r="L101" s="558"/>
      <c r="M101" s="534" t="s">
        <v>220</v>
      </c>
      <c r="N101" s="482"/>
      <c r="O101" s="482"/>
      <c r="P101" s="482"/>
      <c r="Q101" s="482"/>
      <c r="R101" s="482"/>
      <c r="S101" s="482"/>
      <c r="T101" s="482"/>
      <c r="U101" s="482"/>
      <c r="V101" s="482"/>
      <c r="W101" s="482"/>
      <c r="X101" s="482"/>
      <c r="Y101" s="482"/>
      <c r="Z101" s="482"/>
      <c r="AA101" s="482"/>
      <c r="AB101" s="482"/>
    </row>
    <row r="102" spans="1:28" ht="15.75" customHeight="1">
      <c r="A102" s="535" t="s">
        <v>221</v>
      </c>
      <c r="B102" s="536">
        <v>-3.4180052549423001</v>
      </c>
      <c r="C102" s="540"/>
      <c r="D102" s="529">
        <v>0.19798964803022484</v>
      </c>
      <c r="E102" s="530">
        <v>4</v>
      </c>
      <c r="F102" s="530">
        <v>197.1</v>
      </c>
      <c r="G102" s="531">
        <v>2.2000000000000002</v>
      </c>
      <c r="H102" s="529">
        <f t="shared" si="0"/>
        <v>-3.4210000000000003</v>
      </c>
      <c r="I102" s="564"/>
      <c r="J102" s="557"/>
      <c r="K102" s="557"/>
      <c r="L102" s="558"/>
      <c r="M102" s="534" t="s">
        <v>222</v>
      </c>
      <c r="N102" s="482"/>
      <c r="O102" s="482"/>
      <c r="P102" s="482"/>
      <c r="Q102" s="482"/>
      <c r="R102" s="482"/>
      <c r="S102" s="482"/>
      <c r="T102" s="482"/>
      <c r="U102" s="482"/>
      <c r="V102" s="482"/>
      <c r="W102" s="482"/>
      <c r="X102" s="482"/>
      <c r="Y102" s="482"/>
      <c r="Z102" s="482"/>
      <c r="AA102" s="482"/>
      <c r="AB102" s="482"/>
    </row>
    <row r="103" spans="1:28" ht="15.75" customHeight="1">
      <c r="A103" s="546" t="s">
        <v>223</v>
      </c>
      <c r="B103" s="536">
        <v>-4.4353996698593496</v>
      </c>
      <c r="C103" s="540"/>
      <c r="D103" s="529">
        <v>0.13486720020739137</v>
      </c>
      <c r="E103" s="530">
        <v>4</v>
      </c>
      <c r="F103" s="530">
        <v>33</v>
      </c>
      <c r="G103" s="531">
        <v>4.24</v>
      </c>
      <c r="H103" s="529">
        <f t="shared" si="0"/>
        <v>-3.8200000000000003</v>
      </c>
      <c r="I103" s="564"/>
      <c r="J103" s="557"/>
      <c r="K103" s="557"/>
      <c r="L103" s="558"/>
      <c r="M103" s="534" t="s">
        <v>224</v>
      </c>
      <c r="N103" s="482"/>
      <c r="O103" s="482"/>
      <c r="P103" s="482"/>
      <c r="Q103" s="482"/>
      <c r="R103" s="482"/>
      <c r="S103" s="482"/>
      <c r="T103" s="482"/>
      <c r="U103" s="482"/>
      <c r="V103" s="482"/>
      <c r="W103" s="482"/>
      <c r="X103" s="482"/>
      <c r="Y103" s="482"/>
      <c r="Z103" s="482"/>
      <c r="AA103" s="482"/>
      <c r="AB103" s="482"/>
    </row>
    <row r="104" spans="1:28" ht="15.75" customHeight="1">
      <c r="A104" s="535" t="s">
        <v>225</v>
      </c>
      <c r="B104" s="536">
        <v>-4.08389194391175</v>
      </c>
      <c r="C104" s="540"/>
      <c r="D104" s="529">
        <v>0.18801274760604275</v>
      </c>
      <c r="E104" s="530">
        <v>11</v>
      </c>
      <c r="F104" s="530">
        <v>60</v>
      </c>
      <c r="G104" s="531">
        <v>4.24</v>
      </c>
      <c r="H104" s="529">
        <f t="shared" si="0"/>
        <v>-4.09</v>
      </c>
      <c r="I104" s="564"/>
      <c r="J104" s="557"/>
      <c r="K104" s="557"/>
      <c r="L104" s="558"/>
      <c r="M104" s="534" t="s">
        <v>226</v>
      </c>
      <c r="N104" s="482"/>
      <c r="O104" s="482"/>
      <c r="P104" s="482"/>
      <c r="Q104" s="482"/>
      <c r="R104" s="482"/>
      <c r="S104" s="482"/>
      <c r="T104" s="482"/>
      <c r="U104" s="482"/>
      <c r="V104" s="482"/>
      <c r="W104" s="482"/>
      <c r="X104" s="482"/>
      <c r="Y104" s="482"/>
      <c r="Z104" s="482"/>
      <c r="AA104" s="482"/>
      <c r="AB104" s="482"/>
    </row>
    <row r="105" spans="1:28" ht="15.75" customHeight="1">
      <c r="A105" s="535" t="s">
        <v>227</v>
      </c>
      <c r="B105" s="536">
        <v>-5.1465388140872399</v>
      </c>
      <c r="C105" s="540"/>
      <c r="D105" s="529">
        <v>0.1664014074224209</v>
      </c>
      <c r="E105" s="530">
        <v>4</v>
      </c>
      <c r="F105" s="530">
        <v>130.5</v>
      </c>
      <c r="G105" s="531">
        <v>5.22</v>
      </c>
      <c r="H105" s="529">
        <f t="shared" si="0"/>
        <v>-5.7749999999999995</v>
      </c>
      <c r="I105" s="564"/>
      <c r="J105" s="557"/>
      <c r="K105" s="557"/>
      <c r="L105" s="558"/>
      <c r="M105" s="534" t="s">
        <v>228</v>
      </c>
      <c r="N105" s="482"/>
      <c r="O105" s="482"/>
      <c r="P105" s="482"/>
      <c r="Q105" s="482"/>
      <c r="R105" s="482"/>
      <c r="S105" s="482"/>
      <c r="T105" s="482"/>
      <c r="U105" s="482"/>
      <c r="V105" s="482"/>
      <c r="W105" s="482"/>
      <c r="X105" s="482"/>
      <c r="Y105" s="482"/>
      <c r="Z105" s="482"/>
      <c r="AA105" s="482"/>
      <c r="AB105" s="482"/>
    </row>
    <row r="106" spans="1:28" ht="15.75" customHeight="1">
      <c r="A106" s="546" t="s">
        <v>103</v>
      </c>
      <c r="B106" s="536">
        <v>-3.0297102659384598</v>
      </c>
      <c r="C106" s="540"/>
      <c r="D106" s="529">
        <v>0.17506472136100007</v>
      </c>
      <c r="E106" s="530">
        <v>7</v>
      </c>
      <c r="F106" s="530">
        <v>254</v>
      </c>
      <c r="G106" s="531">
        <v>2.97</v>
      </c>
      <c r="H106" s="529">
        <f t="shared" si="0"/>
        <v>-4.76</v>
      </c>
      <c r="I106" s="564"/>
      <c r="J106" s="557"/>
      <c r="K106" s="557"/>
      <c r="L106" s="558"/>
      <c r="M106" s="534" t="s">
        <v>229</v>
      </c>
      <c r="N106" s="482"/>
      <c r="O106" s="482"/>
      <c r="P106" s="482"/>
      <c r="Q106" s="482"/>
      <c r="R106" s="482"/>
      <c r="S106" s="482"/>
      <c r="T106" s="482"/>
      <c r="U106" s="482"/>
      <c r="V106" s="482"/>
      <c r="W106" s="482"/>
      <c r="X106" s="482"/>
      <c r="Y106" s="482"/>
      <c r="Z106" s="482"/>
      <c r="AA106" s="482"/>
      <c r="AB106" s="482"/>
    </row>
    <row r="107" spans="1:28" ht="15.75" customHeight="1">
      <c r="A107" s="546" t="s">
        <v>230</v>
      </c>
      <c r="B107" s="536">
        <v>-4.2589995898564101</v>
      </c>
      <c r="C107" s="540"/>
      <c r="D107" s="529">
        <v>0.1605416460069265</v>
      </c>
      <c r="E107" s="530">
        <v>5</v>
      </c>
      <c r="F107" s="530">
        <v>121</v>
      </c>
      <c r="G107" s="531">
        <v>5.91</v>
      </c>
      <c r="H107" s="529">
        <f t="shared" si="0"/>
        <v>-6.37</v>
      </c>
      <c r="I107" s="564"/>
      <c r="J107" s="557"/>
      <c r="K107" s="557"/>
      <c r="L107" s="558"/>
      <c r="M107" s="534" t="s">
        <v>231</v>
      </c>
      <c r="N107" s="482"/>
      <c r="O107" s="482"/>
      <c r="P107" s="482"/>
      <c r="Q107" s="482"/>
      <c r="R107" s="482"/>
      <c r="S107" s="482"/>
      <c r="T107" s="482"/>
      <c r="U107" s="482"/>
      <c r="V107" s="482"/>
      <c r="W107" s="482"/>
      <c r="X107" s="482"/>
      <c r="Y107" s="482"/>
      <c r="Z107" s="482"/>
      <c r="AA107" s="482"/>
      <c r="AB107" s="482"/>
    </row>
    <row r="108" spans="1:28" ht="15.75" customHeight="1">
      <c r="A108" s="535" t="s">
        <v>232</v>
      </c>
      <c r="B108" s="536">
        <v>-3.9666695718287501</v>
      </c>
      <c r="C108" s="540"/>
      <c r="D108" s="529">
        <v>0.15756984748208766</v>
      </c>
      <c r="E108" s="530">
        <v>5</v>
      </c>
      <c r="F108" s="530">
        <v>206.99999999999997</v>
      </c>
      <c r="G108" s="531">
        <v>2.56</v>
      </c>
      <c r="H108" s="529">
        <f t="shared" si="0"/>
        <v>-3.88</v>
      </c>
      <c r="I108" s="564"/>
      <c r="J108" s="557"/>
      <c r="K108" s="557"/>
      <c r="L108" s="558"/>
      <c r="M108" s="534" t="s">
        <v>233</v>
      </c>
      <c r="N108" s="482"/>
      <c r="O108" s="482"/>
      <c r="P108" s="482"/>
      <c r="Q108" s="482"/>
      <c r="R108" s="482"/>
      <c r="S108" s="482"/>
      <c r="T108" s="482"/>
      <c r="U108" s="482"/>
      <c r="V108" s="482"/>
      <c r="W108" s="482"/>
      <c r="X108" s="482"/>
      <c r="Y108" s="482"/>
      <c r="Z108" s="482"/>
      <c r="AA108" s="482"/>
      <c r="AB108" s="482"/>
    </row>
    <row r="109" spans="1:28" ht="15.75" customHeight="1">
      <c r="A109" s="526" t="s">
        <v>234</v>
      </c>
      <c r="B109" s="536">
        <v>-4.8146288810165698</v>
      </c>
      <c r="C109" s="540"/>
      <c r="D109" s="529">
        <v>0.16160362353179636</v>
      </c>
      <c r="E109" s="530">
        <v>6</v>
      </c>
      <c r="F109" s="530">
        <v>134.5</v>
      </c>
      <c r="G109" s="531">
        <v>4.8499999999999996</v>
      </c>
      <c r="H109" s="529">
        <f t="shared" si="0"/>
        <v>-5.4449999999999994</v>
      </c>
      <c r="I109" s="564"/>
      <c r="J109" s="557"/>
      <c r="K109" s="557"/>
      <c r="L109" s="558"/>
      <c r="M109" s="534" t="s">
        <v>235</v>
      </c>
      <c r="N109" s="482"/>
      <c r="O109" s="482"/>
      <c r="P109" s="482"/>
      <c r="Q109" s="482"/>
      <c r="R109" s="482"/>
      <c r="S109" s="482"/>
      <c r="T109" s="482"/>
      <c r="U109" s="482"/>
      <c r="V109" s="482"/>
      <c r="W109" s="482"/>
      <c r="X109" s="482"/>
      <c r="Y109" s="482"/>
      <c r="Z109" s="482"/>
      <c r="AA109" s="482"/>
      <c r="AB109" s="482"/>
    </row>
    <row r="110" spans="1:28" ht="15.75" customHeight="1">
      <c r="A110" s="526" t="s">
        <v>236</v>
      </c>
      <c r="B110" s="536">
        <v>-2.5453471923739901</v>
      </c>
      <c r="C110" s="540"/>
      <c r="D110" s="529">
        <v>0.18685765827673947</v>
      </c>
      <c r="E110" s="530">
        <v>6</v>
      </c>
      <c r="F110" s="530">
        <v>275</v>
      </c>
      <c r="G110" s="531">
        <v>2.09</v>
      </c>
      <c r="H110" s="529">
        <f t="shared" si="0"/>
        <v>-4.09</v>
      </c>
      <c r="I110" s="564"/>
      <c r="J110" s="557"/>
      <c r="K110" s="557"/>
      <c r="L110" s="558"/>
      <c r="M110" s="534" t="s">
        <v>237</v>
      </c>
      <c r="N110" s="482"/>
      <c r="O110" s="482"/>
      <c r="P110" s="482"/>
      <c r="Q110" s="482"/>
      <c r="R110" s="482"/>
      <c r="S110" s="482"/>
      <c r="T110" s="482"/>
      <c r="U110" s="482"/>
      <c r="V110" s="482"/>
      <c r="W110" s="482"/>
      <c r="X110" s="482"/>
      <c r="Y110" s="482"/>
      <c r="Z110" s="482"/>
      <c r="AA110" s="482"/>
      <c r="AB110" s="482"/>
    </row>
    <row r="111" spans="1:28" ht="15.75" customHeight="1">
      <c r="A111" s="535" t="s">
        <v>238</v>
      </c>
      <c r="B111" s="536">
        <v>-4.8343078876400796</v>
      </c>
      <c r="C111" s="540"/>
      <c r="D111" s="529">
        <v>0.13950112944748669</v>
      </c>
      <c r="E111" s="530">
        <v>9</v>
      </c>
      <c r="F111" s="530">
        <v>220.00000000000003</v>
      </c>
      <c r="G111" s="531">
        <v>1.8</v>
      </c>
      <c r="H111" s="529">
        <f t="shared" si="0"/>
        <v>-3.2500000000000004</v>
      </c>
      <c r="I111" s="564"/>
      <c r="J111" s="557"/>
      <c r="K111" s="557"/>
      <c r="L111" s="558"/>
      <c r="M111" s="534" t="s">
        <v>239</v>
      </c>
      <c r="N111" s="482"/>
      <c r="O111" s="482"/>
      <c r="P111" s="482"/>
      <c r="Q111" s="482"/>
      <c r="R111" s="482"/>
      <c r="S111" s="482"/>
      <c r="T111" s="482"/>
      <c r="U111" s="482"/>
      <c r="V111" s="482"/>
      <c r="W111" s="482"/>
      <c r="X111" s="482"/>
      <c r="Y111" s="482"/>
      <c r="Z111" s="482"/>
      <c r="AA111" s="482"/>
      <c r="AB111" s="482"/>
    </row>
    <row r="112" spans="1:28" ht="15.75" customHeight="1">
      <c r="A112" s="526" t="s">
        <v>240</v>
      </c>
      <c r="B112" s="550">
        <v>-2.9865999546422102</v>
      </c>
      <c r="C112" s="540"/>
      <c r="D112" s="529">
        <v>0.22014005046870977</v>
      </c>
      <c r="E112" s="551">
        <v>9</v>
      </c>
      <c r="F112" s="530">
        <v>202</v>
      </c>
      <c r="G112" s="531">
        <v>1.53</v>
      </c>
      <c r="H112" s="529">
        <f t="shared" si="0"/>
        <v>-2.8</v>
      </c>
      <c r="I112" s="564"/>
      <c r="J112" s="557"/>
      <c r="K112" s="557"/>
      <c r="L112" s="558"/>
      <c r="M112" s="534" t="s">
        <v>241</v>
      </c>
      <c r="N112" s="482"/>
      <c r="O112" s="482"/>
      <c r="P112" s="482"/>
      <c r="Q112" s="482"/>
      <c r="R112" s="482"/>
      <c r="S112" s="482"/>
      <c r="T112" s="482"/>
      <c r="U112" s="482"/>
      <c r="V112" s="482"/>
      <c r="W112" s="482"/>
      <c r="X112" s="482"/>
      <c r="Y112" s="482"/>
      <c r="Z112" s="482"/>
      <c r="AA112" s="482"/>
      <c r="AB112" s="482"/>
    </row>
    <row r="113" spans="1:28" ht="15.75" customHeight="1">
      <c r="A113" s="535" t="s">
        <v>242</v>
      </c>
      <c r="B113" s="536">
        <v>-2.5205656767612501</v>
      </c>
      <c r="C113" s="540"/>
      <c r="D113" s="529">
        <v>0.14014083879485537</v>
      </c>
      <c r="E113" s="530">
        <v>3</v>
      </c>
      <c r="F113" s="530">
        <v>243.00000000000003</v>
      </c>
      <c r="G113" s="531">
        <v>1.48</v>
      </c>
      <c r="H113" s="529">
        <f t="shared" si="0"/>
        <v>-3.16</v>
      </c>
      <c r="I113" s="564"/>
      <c r="J113" s="557"/>
      <c r="K113" s="557"/>
      <c r="L113" s="558"/>
      <c r="M113" s="534" t="s">
        <v>243</v>
      </c>
      <c r="N113" s="482"/>
      <c r="O113" s="482"/>
      <c r="P113" s="482"/>
      <c r="Q113" s="482"/>
      <c r="R113" s="482"/>
      <c r="S113" s="482"/>
      <c r="T113" s="482"/>
      <c r="U113" s="482"/>
      <c r="V113" s="482"/>
      <c r="W113" s="482"/>
      <c r="X113" s="482"/>
      <c r="Y113" s="482"/>
      <c r="Z113" s="482"/>
      <c r="AA113" s="482"/>
      <c r="AB113" s="482"/>
    </row>
    <row r="114" spans="1:28" ht="15.75" customHeight="1">
      <c r="A114" s="546" t="s">
        <v>244</v>
      </c>
      <c r="B114" s="536">
        <v>-2.80174782026966</v>
      </c>
      <c r="C114" s="540"/>
      <c r="D114" s="529">
        <v>0.13726989684757951</v>
      </c>
      <c r="E114" s="530">
        <v>3</v>
      </c>
      <c r="F114" s="530">
        <v>191</v>
      </c>
      <c r="G114" s="531">
        <v>1.67</v>
      </c>
      <c r="H114" s="529">
        <f t="shared" si="0"/>
        <v>-2.83</v>
      </c>
      <c r="I114" s="564"/>
      <c r="J114" s="557"/>
      <c r="K114" s="557"/>
      <c r="L114" s="558"/>
      <c r="M114" s="534" t="s">
        <v>245</v>
      </c>
      <c r="N114" s="482"/>
      <c r="O114" s="482"/>
      <c r="P114" s="482"/>
      <c r="Q114" s="482"/>
      <c r="R114" s="482"/>
      <c r="S114" s="482"/>
      <c r="T114" s="482"/>
      <c r="U114" s="482"/>
      <c r="V114" s="482"/>
      <c r="W114" s="482"/>
      <c r="X114" s="482"/>
      <c r="Y114" s="482"/>
      <c r="Z114" s="482"/>
      <c r="AA114" s="482"/>
      <c r="AB114" s="482"/>
    </row>
    <row r="115" spans="1:28" ht="15.75" customHeight="1">
      <c r="A115" s="535" t="s">
        <v>246</v>
      </c>
      <c r="B115" s="536">
        <v>-4.5876310923550303</v>
      </c>
      <c r="C115" s="540"/>
      <c r="D115" s="529">
        <v>0.21357402153711522</v>
      </c>
      <c r="E115" s="530">
        <v>7</v>
      </c>
      <c r="F115" s="530">
        <v>183.5</v>
      </c>
      <c r="G115" s="531">
        <v>4.37</v>
      </c>
      <c r="H115" s="529">
        <f t="shared" si="0"/>
        <v>-5.4550000000000001</v>
      </c>
      <c r="I115" s="564"/>
      <c r="J115" s="557"/>
      <c r="K115" s="557"/>
      <c r="L115" s="558"/>
      <c r="M115" s="534" t="s">
        <v>247</v>
      </c>
      <c r="N115" s="482"/>
      <c r="O115" s="482"/>
      <c r="P115" s="482"/>
      <c r="Q115" s="482"/>
      <c r="R115" s="482"/>
      <c r="S115" s="482"/>
      <c r="T115" s="482"/>
      <c r="U115" s="482"/>
      <c r="V115" s="482"/>
      <c r="W115" s="482"/>
      <c r="X115" s="482"/>
      <c r="Y115" s="482"/>
      <c r="Z115" s="482"/>
      <c r="AA115" s="482"/>
      <c r="AB115" s="482"/>
    </row>
    <row r="116" spans="1:28" ht="15.75" customHeight="1">
      <c r="A116" s="535" t="s">
        <v>248</v>
      </c>
      <c r="B116" s="536">
        <v>-2.9384148211388701</v>
      </c>
      <c r="C116" s="540"/>
      <c r="D116" s="529">
        <v>0.10564411177747912</v>
      </c>
      <c r="E116" s="530">
        <v>3</v>
      </c>
      <c r="F116" s="530">
        <v>149</v>
      </c>
      <c r="G116" s="531">
        <v>2.62</v>
      </c>
      <c r="H116" s="529">
        <f t="shared" si="0"/>
        <v>-3.3600000000000003</v>
      </c>
      <c r="I116" s="564"/>
      <c r="J116" s="557"/>
      <c r="K116" s="557"/>
      <c r="L116" s="558"/>
      <c r="M116" s="534" t="s">
        <v>249</v>
      </c>
      <c r="N116" s="482"/>
      <c r="O116" s="482"/>
      <c r="P116" s="482"/>
      <c r="Q116" s="482"/>
      <c r="R116" s="482"/>
      <c r="S116" s="482"/>
      <c r="T116" s="482"/>
      <c r="U116" s="482"/>
      <c r="V116" s="482"/>
      <c r="W116" s="482"/>
      <c r="X116" s="482"/>
      <c r="Y116" s="482"/>
      <c r="Z116" s="482"/>
      <c r="AA116" s="482"/>
      <c r="AB116" s="482"/>
    </row>
    <row r="117" spans="1:28" ht="15.75" customHeight="1">
      <c r="A117" s="526" t="s">
        <v>250</v>
      </c>
      <c r="B117" s="536">
        <v>-2.0361716509686798</v>
      </c>
      <c r="C117" s="540"/>
      <c r="D117" s="529">
        <v>0.14623917640453388</v>
      </c>
      <c r="E117" s="530">
        <v>8</v>
      </c>
      <c r="F117" s="530">
        <v>165</v>
      </c>
      <c r="G117" s="531">
        <v>-0.37</v>
      </c>
      <c r="H117" s="529">
        <f t="shared" si="0"/>
        <v>-0.53000000000000014</v>
      </c>
      <c r="I117" s="564"/>
      <c r="J117" s="557"/>
      <c r="K117" s="557"/>
      <c r="L117" s="558"/>
      <c r="M117" s="534" t="s">
        <v>251</v>
      </c>
      <c r="N117" s="482"/>
      <c r="O117" s="482"/>
      <c r="P117" s="482"/>
      <c r="Q117" s="482"/>
      <c r="R117" s="482"/>
      <c r="S117" s="482"/>
      <c r="T117" s="482"/>
      <c r="U117" s="482"/>
      <c r="V117" s="482"/>
      <c r="W117" s="482"/>
      <c r="X117" s="482"/>
      <c r="Y117" s="482"/>
      <c r="Z117" s="482"/>
      <c r="AA117" s="482"/>
      <c r="AB117" s="482"/>
    </row>
    <row r="118" spans="1:28" ht="15.75" customHeight="1">
      <c r="A118" s="535" t="s">
        <v>252</v>
      </c>
      <c r="B118" s="536">
        <v>-3.1807836976753499</v>
      </c>
      <c r="C118" s="540"/>
      <c r="D118" s="529">
        <v>0.16291639539032501</v>
      </c>
      <c r="E118" s="530">
        <v>10</v>
      </c>
      <c r="F118" s="530">
        <v>225</v>
      </c>
      <c r="G118" s="531">
        <v>0.81</v>
      </c>
      <c r="H118" s="529">
        <f t="shared" si="0"/>
        <v>-2.31</v>
      </c>
      <c r="I118" s="564"/>
      <c r="J118" s="557"/>
      <c r="K118" s="557"/>
      <c r="L118" s="558"/>
      <c r="M118" s="534" t="s">
        <v>253</v>
      </c>
      <c r="N118" s="482"/>
      <c r="O118" s="482"/>
      <c r="P118" s="482"/>
      <c r="Q118" s="482"/>
      <c r="R118" s="482"/>
      <c r="S118" s="482"/>
      <c r="T118" s="482"/>
      <c r="U118" s="482"/>
      <c r="V118" s="482"/>
      <c r="W118" s="482"/>
      <c r="X118" s="482"/>
      <c r="Y118" s="482"/>
      <c r="Z118" s="482"/>
      <c r="AA118" s="482"/>
      <c r="AB118" s="482"/>
    </row>
    <row r="119" spans="1:28" ht="15.75" customHeight="1">
      <c r="A119" s="535" t="s">
        <v>254</v>
      </c>
      <c r="B119" s="536">
        <v>-3.6249036955216898</v>
      </c>
      <c r="C119" s="540"/>
      <c r="D119" s="529">
        <v>0.21166647357477791</v>
      </c>
      <c r="E119" s="530">
        <v>5</v>
      </c>
      <c r="F119" s="530">
        <v>270</v>
      </c>
      <c r="G119" s="531">
        <v>0.62</v>
      </c>
      <c r="H119" s="529">
        <f t="shared" si="0"/>
        <v>-2.5700000000000003</v>
      </c>
      <c r="I119" s="564"/>
      <c r="J119" s="557"/>
      <c r="K119" s="557"/>
      <c r="L119" s="558"/>
      <c r="M119" s="534" t="s">
        <v>255</v>
      </c>
      <c r="N119" s="482"/>
      <c r="O119" s="482"/>
      <c r="P119" s="482"/>
      <c r="Q119" s="482"/>
      <c r="R119" s="482"/>
      <c r="S119" s="482"/>
      <c r="T119" s="482"/>
      <c r="U119" s="482"/>
      <c r="V119" s="482"/>
      <c r="W119" s="482"/>
      <c r="X119" s="482"/>
      <c r="Y119" s="482"/>
      <c r="Z119" s="482"/>
      <c r="AA119" s="482"/>
      <c r="AB119" s="482"/>
    </row>
    <row r="120" spans="1:28" ht="15.75" customHeight="1">
      <c r="A120" s="526" t="s">
        <v>256</v>
      </c>
      <c r="B120" s="536">
        <v>-3.34905998340684</v>
      </c>
      <c r="C120" s="540"/>
      <c r="D120" s="529">
        <v>0.14175650298978676</v>
      </c>
      <c r="E120" s="530">
        <v>9</v>
      </c>
      <c r="F120" s="530">
        <v>312.66666666666669</v>
      </c>
      <c r="G120" s="531">
        <v>0.83</v>
      </c>
      <c r="H120" s="529">
        <f t="shared" si="0"/>
        <v>-3.206666666666667</v>
      </c>
      <c r="I120" s="564"/>
      <c r="J120" s="557"/>
      <c r="K120" s="557"/>
      <c r="L120" s="558"/>
      <c r="M120" s="534" t="s">
        <v>257</v>
      </c>
      <c r="N120" s="482"/>
      <c r="O120" s="482"/>
      <c r="P120" s="482"/>
      <c r="Q120" s="482"/>
      <c r="R120" s="482"/>
      <c r="S120" s="482"/>
      <c r="T120" s="482"/>
      <c r="U120" s="482"/>
      <c r="V120" s="482"/>
      <c r="W120" s="482"/>
      <c r="X120" s="482"/>
      <c r="Y120" s="482"/>
      <c r="Z120" s="482"/>
      <c r="AA120" s="482"/>
      <c r="AB120" s="482"/>
    </row>
    <row r="121" spans="1:28" ht="15.75" customHeight="1">
      <c r="A121" s="535" t="s">
        <v>258</v>
      </c>
      <c r="B121" s="536">
        <v>-4.7610847677272803</v>
      </c>
      <c r="C121" s="540"/>
      <c r="D121" s="529">
        <v>0.2034688635346244</v>
      </c>
      <c r="E121" s="530">
        <v>11</v>
      </c>
      <c r="F121" s="530">
        <v>161</v>
      </c>
      <c r="G121" s="531">
        <v>3.61</v>
      </c>
      <c r="H121" s="529">
        <f t="shared" si="0"/>
        <v>-4.47</v>
      </c>
      <c r="I121" s="564"/>
      <c r="J121" s="557"/>
      <c r="K121" s="557"/>
      <c r="L121" s="558"/>
      <c r="M121" s="534" t="s">
        <v>259</v>
      </c>
      <c r="N121" s="482"/>
      <c r="O121" s="482"/>
      <c r="P121" s="482"/>
      <c r="Q121" s="482"/>
      <c r="R121" s="482"/>
      <c r="S121" s="482"/>
      <c r="T121" s="482"/>
      <c r="U121" s="482"/>
      <c r="V121" s="482"/>
      <c r="W121" s="482"/>
      <c r="X121" s="482"/>
      <c r="Y121" s="482"/>
      <c r="Z121" s="482"/>
      <c r="AA121" s="482"/>
      <c r="AB121" s="482"/>
    </row>
    <row r="122" spans="1:28" ht="15.75" customHeight="1">
      <c r="A122" s="526" t="s">
        <v>109</v>
      </c>
      <c r="B122" s="536">
        <v>-3.1982826366800499</v>
      </c>
      <c r="C122" s="540"/>
      <c r="D122" s="529">
        <v>0.20579636821699754</v>
      </c>
      <c r="E122" s="530">
        <v>3</v>
      </c>
      <c r="F122" s="530">
        <v>300</v>
      </c>
      <c r="G122" s="531">
        <v>-1.06</v>
      </c>
      <c r="H122" s="529">
        <f t="shared" si="0"/>
        <v>-1.19</v>
      </c>
      <c r="I122" s="573"/>
      <c r="J122" s="566"/>
      <c r="K122" s="566"/>
      <c r="L122" s="567"/>
      <c r="M122" s="534" t="s">
        <v>260</v>
      </c>
      <c r="N122" s="482"/>
      <c r="O122" s="482"/>
      <c r="P122" s="482"/>
      <c r="Q122" s="482"/>
      <c r="R122" s="482"/>
      <c r="S122" s="482"/>
      <c r="T122" s="482"/>
      <c r="U122" s="482"/>
      <c r="V122" s="482"/>
      <c r="W122" s="482"/>
      <c r="X122" s="482"/>
      <c r="Y122" s="482"/>
      <c r="Z122" s="482"/>
      <c r="AA122" s="482"/>
      <c r="AB122" s="482"/>
    </row>
    <row r="123" spans="1:28" ht="15.75" customHeight="1">
      <c r="A123" s="534"/>
      <c r="B123" s="482"/>
      <c r="C123" s="574" t="s">
        <v>261</v>
      </c>
      <c r="D123" s="575">
        <f>AVERAGE(D23:D122)</f>
        <v>0.17115851538193166</v>
      </c>
      <c r="E123" s="576"/>
      <c r="F123" s="577"/>
      <c r="G123" s="577"/>
      <c r="H123" s="578" t="s">
        <v>262</v>
      </c>
      <c r="I123" s="577"/>
      <c r="J123" s="531"/>
      <c r="K123" s="531"/>
      <c r="L123" s="531"/>
      <c r="M123" s="534"/>
      <c r="N123" s="482"/>
      <c r="O123" s="482"/>
      <c r="P123" s="482"/>
      <c r="Q123" s="482"/>
      <c r="R123" s="482"/>
      <c r="S123" s="482"/>
      <c r="T123" s="482"/>
      <c r="U123" s="482"/>
      <c r="V123" s="482"/>
      <c r="W123" s="482"/>
      <c r="Z123" s="482"/>
      <c r="AA123" s="482"/>
      <c r="AB123" s="482"/>
    </row>
    <row r="124" spans="1:28" ht="15.75" customHeight="1">
      <c r="A124" s="534"/>
      <c r="B124" s="482"/>
      <c r="C124" s="574" t="s">
        <v>263</v>
      </c>
      <c r="D124" s="575">
        <f>MIN(D23:D122)</f>
        <v>0.10564411177747912</v>
      </c>
      <c r="E124" s="576"/>
      <c r="F124" s="577"/>
      <c r="G124" s="577"/>
      <c r="H124" s="578" t="s">
        <v>264</v>
      </c>
      <c r="I124" s="577"/>
      <c r="J124" s="531"/>
      <c r="K124" s="531"/>
      <c r="L124" s="531"/>
      <c r="M124" s="534"/>
      <c r="N124" s="482"/>
      <c r="O124" s="482"/>
      <c r="P124" s="482"/>
      <c r="Q124" s="482"/>
      <c r="R124" s="482"/>
      <c r="S124" s="482"/>
      <c r="T124" s="482"/>
      <c r="U124" s="482"/>
      <c r="V124" s="482"/>
      <c r="W124" s="482"/>
      <c r="Z124" s="482"/>
      <c r="AA124" s="482"/>
      <c r="AB124" s="482"/>
    </row>
    <row r="125" spans="1:28" ht="15.75" customHeight="1">
      <c r="A125" s="534"/>
      <c r="B125" s="482"/>
      <c r="C125" s="574" t="s">
        <v>265</v>
      </c>
      <c r="D125" s="575">
        <f>MAX(D23:D122)</f>
        <v>0.22239504833634874</v>
      </c>
      <c r="E125" s="576"/>
      <c r="F125" s="577"/>
      <c r="G125" s="577"/>
      <c r="H125" s="578"/>
      <c r="I125" s="577"/>
      <c r="J125" s="531"/>
      <c r="K125" s="531"/>
      <c r="L125" s="531"/>
      <c r="M125" s="534"/>
      <c r="N125" s="482"/>
      <c r="O125" s="482"/>
      <c r="P125" s="482"/>
      <c r="Q125" s="482"/>
      <c r="R125" s="482"/>
      <c r="S125" s="482"/>
      <c r="T125" s="482"/>
      <c r="U125" s="482"/>
      <c r="V125" s="482"/>
      <c r="W125" s="482"/>
      <c r="Z125" s="482"/>
      <c r="AA125" s="482"/>
      <c r="AB125" s="482"/>
    </row>
    <row r="126" spans="1:28" ht="15.75" customHeight="1">
      <c r="A126" s="534"/>
      <c r="B126" s="531"/>
      <c r="C126" s="531"/>
      <c r="D126" s="531"/>
      <c r="E126" s="531"/>
      <c r="F126" s="531"/>
      <c r="G126" s="531"/>
      <c r="H126" s="531"/>
      <c r="I126" s="531"/>
      <c r="J126" s="531"/>
      <c r="K126" s="531"/>
      <c r="L126" s="531"/>
      <c r="M126" s="534"/>
      <c r="N126" s="482"/>
      <c r="O126" s="482"/>
      <c r="P126" s="482"/>
      <c r="Q126" s="482"/>
      <c r="R126" s="482"/>
      <c r="S126" s="482"/>
      <c r="T126" s="482"/>
      <c r="U126" s="482"/>
      <c r="V126" s="482"/>
      <c r="W126" s="482"/>
      <c r="Z126" s="482"/>
      <c r="AA126" s="482"/>
      <c r="AB126" s="482"/>
    </row>
    <row r="127" spans="1:28" ht="32.25" customHeight="1" thickBot="1">
      <c r="A127" s="515" t="s">
        <v>985</v>
      </c>
      <c r="B127" s="531"/>
      <c r="C127" s="531"/>
      <c r="D127" s="531"/>
      <c r="E127" s="531"/>
      <c r="F127" s="531"/>
      <c r="G127" s="531"/>
      <c r="H127" s="531"/>
      <c r="I127" s="531"/>
      <c r="J127" s="531"/>
      <c r="K127" s="531"/>
      <c r="L127" s="531"/>
      <c r="M127" s="534"/>
      <c r="N127" s="482"/>
      <c r="O127" s="482"/>
      <c r="P127" s="482"/>
      <c r="Q127" s="482"/>
      <c r="R127" s="482"/>
      <c r="S127" s="482"/>
      <c r="T127" s="482"/>
      <c r="U127" s="482"/>
      <c r="V127" s="482"/>
      <c r="W127" s="482"/>
      <c r="Z127" s="482"/>
      <c r="AA127" s="482"/>
      <c r="AB127" s="482"/>
    </row>
    <row r="128" spans="1:28" ht="43.5" customHeight="1" thickBot="1">
      <c r="A128" s="518" t="s">
        <v>18</v>
      </c>
      <c r="B128" s="519" t="s">
        <v>986</v>
      </c>
      <c r="C128" s="519" t="s">
        <v>965</v>
      </c>
      <c r="D128" s="519" t="s">
        <v>21</v>
      </c>
      <c r="E128" s="519" t="s">
        <v>22</v>
      </c>
      <c r="F128" s="519" t="s">
        <v>23</v>
      </c>
      <c r="G128" s="519" t="s">
        <v>966</v>
      </c>
      <c r="H128" s="519" t="s">
        <v>967</v>
      </c>
      <c r="I128" s="520"/>
      <c r="J128" s="521" t="s">
        <v>27</v>
      </c>
      <c r="K128" s="521"/>
      <c r="L128" s="521"/>
      <c r="M128" s="522" t="s">
        <v>28</v>
      </c>
      <c r="N128" s="523"/>
      <c r="O128" s="523"/>
      <c r="P128" s="523"/>
      <c r="Q128" s="523"/>
      <c r="R128" s="523"/>
      <c r="S128" s="523"/>
      <c r="T128" s="523"/>
      <c r="U128" s="523"/>
      <c r="V128" s="524"/>
      <c r="W128" s="525"/>
      <c r="Z128" s="525"/>
      <c r="AA128" s="525"/>
      <c r="AB128" s="525"/>
    </row>
    <row r="129" spans="1:28" ht="15.75" customHeight="1">
      <c r="A129" s="535" t="s">
        <v>268</v>
      </c>
      <c r="B129" s="527">
        <v>-1.16794382419334</v>
      </c>
      <c r="C129" s="528" t="s">
        <v>30</v>
      </c>
      <c r="D129" s="529">
        <v>0.50033555401430185</v>
      </c>
      <c r="E129" s="530">
        <v>3</v>
      </c>
      <c r="F129" s="530">
        <v>180</v>
      </c>
      <c r="G129" s="579">
        <v>1.91</v>
      </c>
      <c r="H129" s="529">
        <f t="shared" ref="H129:H160" si="1">0.5-G129-0.01*(F129-25)</f>
        <v>-2.96</v>
      </c>
      <c r="I129" s="532" t="s">
        <v>31</v>
      </c>
      <c r="J129" s="533"/>
      <c r="K129" s="529"/>
      <c r="L129" s="529"/>
      <c r="M129" s="534" t="s">
        <v>269</v>
      </c>
      <c r="N129" s="482"/>
      <c r="O129" s="482"/>
      <c r="P129" s="482"/>
      <c r="Q129" s="482"/>
      <c r="R129" s="482"/>
      <c r="S129" s="482"/>
      <c r="T129" s="482"/>
      <c r="U129" s="482"/>
      <c r="V129" s="482"/>
      <c r="W129" s="482"/>
      <c r="AA129" s="482"/>
      <c r="AB129" s="482"/>
    </row>
    <row r="130" spans="1:28" ht="15.75" customHeight="1">
      <c r="A130" s="535" t="s">
        <v>270</v>
      </c>
      <c r="B130" s="580">
        <v>-4.5414177325821399</v>
      </c>
      <c r="C130" s="528" t="s">
        <v>36</v>
      </c>
      <c r="D130" s="529">
        <v>0.5</v>
      </c>
      <c r="E130" s="531">
        <v>5</v>
      </c>
      <c r="F130" s="530">
        <v>156</v>
      </c>
      <c r="G130" s="579">
        <v>6.94</v>
      </c>
      <c r="H130" s="529">
        <f t="shared" si="1"/>
        <v>-7.75</v>
      </c>
      <c r="I130" s="532" t="s">
        <v>37</v>
      </c>
      <c r="J130" s="533"/>
      <c r="K130" s="529"/>
      <c r="L130" s="529"/>
      <c r="M130" s="534" t="s">
        <v>271</v>
      </c>
      <c r="N130" s="482"/>
      <c r="O130" s="482"/>
      <c r="P130" s="482"/>
      <c r="Q130" s="482"/>
      <c r="R130" s="482"/>
      <c r="S130" s="482"/>
      <c r="T130" s="482"/>
      <c r="U130" s="482"/>
      <c r="V130" s="482"/>
      <c r="W130" s="482"/>
      <c r="AA130" s="482"/>
      <c r="AB130" s="482"/>
    </row>
    <row r="131" spans="1:28" ht="15.75" customHeight="1">
      <c r="A131" s="546" t="s">
        <v>272</v>
      </c>
      <c r="B131" s="536">
        <v>-2.9936746896814102</v>
      </c>
      <c r="C131" s="528" t="s">
        <v>41</v>
      </c>
      <c r="D131" s="529">
        <v>0.6530957900260097</v>
      </c>
      <c r="E131" s="530">
        <v>3</v>
      </c>
      <c r="F131" s="530">
        <v>208</v>
      </c>
      <c r="G131" s="579">
        <v>5.18</v>
      </c>
      <c r="H131" s="529">
        <f t="shared" si="1"/>
        <v>-6.51</v>
      </c>
      <c r="I131" s="532" t="s">
        <v>42</v>
      </c>
      <c r="J131" s="533"/>
      <c r="K131" s="529"/>
      <c r="L131" s="529"/>
      <c r="M131" s="534" t="s">
        <v>273</v>
      </c>
      <c r="N131" s="482"/>
      <c r="O131" s="482"/>
      <c r="P131" s="482"/>
      <c r="Q131" s="482"/>
      <c r="R131" s="482"/>
      <c r="S131" s="482"/>
      <c r="T131" s="482"/>
      <c r="U131" s="482"/>
      <c r="V131" s="482"/>
      <c r="W131" s="482"/>
      <c r="AA131" s="482"/>
      <c r="AB131" s="482"/>
    </row>
    <row r="132" spans="1:28" ht="15.75" customHeight="1">
      <c r="A132" s="535" t="s">
        <v>274</v>
      </c>
      <c r="B132" s="536">
        <v>-1.42663187229137</v>
      </c>
      <c r="C132" s="528" t="s">
        <v>46</v>
      </c>
      <c r="D132" s="529">
        <v>0.59285217963150294</v>
      </c>
      <c r="E132" s="530">
        <v>3</v>
      </c>
      <c r="F132" s="530">
        <v>100</v>
      </c>
      <c r="G132" s="579">
        <v>2.37</v>
      </c>
      <c r="H132" s="529">
        <f t="shared" si="1"/>
        <v>-2.62</v>
      </c>
      <c r="I132" s="537" t="s">
        <v>47</v>
      </c>
      <c r="J132" s="538"/>
      <c r="K132" s="529"/>
      <c r="L132" s="529"/>
      <c r="M132" s="534" t="s">
        <v>275</v>
      </c>
      <c r="N132" s="482"/>
      <c r="O132" s="482"/>
      <c r="P132" s="482"/>
      <c r="Q132" s="482"/>
      <c r="R132" s="482"/>
      <c r="S132" s="482"/>
      <c r="T132" s="482"/>
      <c r="U132" s="482"/>
      <c r="V132" s="482"/>
      <c r="W132" s="482"/>
      <c r="AA132" s="482"/>
      <c r="AB132" s="482"/>
    </row>
    <row r="133" spans="1:28" ht="15.75" customHeight="1">
      <c r="A133" s="535" t="s">
        <v>276</v>
      </c>
      <c r="B133" s="536">
        <v>-4.4248819578229197</v>
      </c>
      <c r="C133" s="528" t="s">
        <v>51</v>
      </c>
      <c r="D133" s="529">
        <v>0.51067901383936642</v>
      </c>
      <c r="E133" s="530">
        <v>5</v>
      </c>
      <c r="F133" s="530">
        <v>217</v>
      </c>
      <c r="G133" s="579">
        <v>3.19</v>
      </c>
      <c r="H133" s="529">
        <f t="shared" si="1"/>
        <v>-4.6099999999999994</v>
      </c>
      <c r="I133" s="537" t="s">
        <v>52</v>
      </c>
      <c r="J133" s="539"/>
      <c r="K133" s="529"/>
      <c r="L133" s="529"/>
      <c r="M133" s="534" t="s">
        <v>277</v>
      </c>
      <c r="N133" s="482"/>
      <c r="O133" s="482"/>
      <c r="P133" s="482"/>
      <c r="Q133" s="482"/>
      <c r="R133" s="482"/>
      <c r="S133" s="482"/>
      <c r="T133" s="482"/>
      <c r="U133" s="482"/>
      <c r="V133" s="482"/>
      <c r="W133" s="482"/>
      <c r="Y133" s="581"/>
      <c r="Z133" s="581"/>
      <c r="AA133" s="482"/>
      <c r="AB133" s="482"/>
    </row>
    <row r="134" spans="1:28" ht="15.75" customHeight="1">
      <c r="A134" s="535" t="s">
        <v>278</v>
      </c>
      <c r="B134" s="536">
        <v>-6.1511050632776598</v>
      </c>
      <c r="C134" s="540"/>
      <c r="D134" s="529">
        <v>0.83065522865171437</v>
      </c>
      <c r="E134" s="530">
        <v>3</v>
      </c>
      <c r="F134" s="530">
        <v>209.50000000000003</v>
      </c>
      <c r="G134" s="579">
        <v>4.41</v>
      </c>
      <c r="H134" s="529">
        <f t="shared" si="1"/>
        <v>-5.7550000000000008</v>
      </c>
      <c r="I134" s="537" t="s">
        <v>56</v>
      </c>
      <c r="J134" s="539"/>
      <c r="K134" s="529"/>
      <c r="L134" s="529"/>
      <c r="M134" s="534" t="s">
        <v>279</v>
      </c>
      <c r="N134" s="482"/>
      <c r="O134" s="482"/>
      <c r="P134" s="482"/>
      <c r="Q134" s="482"/>
      <c r="R134" s="482"/>
      <c r="S134" s="482"/>
      <c r="T134" s="482"/>
      <c r="U134" s="482"/>
      <c r="V134" s="482"/>
      <c r="W134" s="482"/>
      <c r="Y134" s="582"/>
      <c r="Z134" s="582"/>
      <c r="AA134" s="482"/>
      <c r="AB134" s="482"/>
    </row>
    <row r="135" spans="1:28" ht="15.75" customHeight="1">
      <c r="A135" s="535" t="s">
        <v>280</v>
      </c>
      <c r="B135" s="536">
        <v>-4.6346360349314999</v>
      </c>
      <c r="C135" s="540"/>
      <c r="D135" s="529">
        <v>0.51097181417141646</v>
      </c>
      <c r="E135" s="530">
        <v>6</v>
      </c>
      <c r="F135" s="530">
        <v>97.5</v>
      </c>
      <c r="G135" s="579">
        <v>5.19</v>
      </c>
      <c r="H135" s="529">
        <f t="shared" si="1"/>
        <v>-5.415</v>
      </c>
      <c r="I135" s="537" t="s">
        <v>60</v>
      </c>
      <c r="J135" s="541"/>
      <c r="K135" s="529"/>
      <c r="L135" s="529"/>
      <c r="M135" s="534" t="s">
        <v>281</v>
      </c>
      <c r="N135" s="482"/>
      <c r="O135" s="482"/>
      <c r="P135" s="482"/>
      <c r="Q135" s="482"/>
      <c r="R135" s="482"/>
      <c r="S135" s="482"/>
      <c r="T135" s="482"/>
      <c r="U135" s="482"/>
      <c r="V135" s="482"/>
      <c r="W135" s="482"/>
      <c r="AA135" s="482"/>
      <c r="AB135" s="482"/>
    </row>
    <row r="136" spans="1:28" ht="15.75" customHeight="1">
      <c r="A136" s="526" t="s">
        <v>282</v>
      </c>
      <c r="B136" s="536">
        <v>-6.69637536507408</v>
      </c>
      <c r="C136" s="540"/>
      <c r="D136" s="529">
        <v>0.92735432696895004</v>
      </c>
      <c r="E136" s="530">
        <v>5</v>
      </c>
      <c r="F136" s="530">
        <v>211</v>
      </c>
      <c r="G136" s="579">
        <v>7.49</v>
      </c>
      <c r="H136" s="529">
        <f t="shared" si="1"/>
        <v>-8.85</v>
      </c>
      <c r="I136" s="542" t="s">
        <v>64</v>
      </c>
      <c r="J136" s="543" t="s">
        <v>32</v>
      </c>
      <c r="K136" s="544" t="s">
        <v>968</v>
      </c>
      <c r="L136" s="545"/>
      <c r="M136" s="534" t="s">
        <v>283</v>
      </c>
      <c r="N136" s="482"/>
      <c r="O136" s="482"/>
      <c r="P136" s="482"/>
      <c r="Q136" s="482"/>
      <c r="R136" s="482"/>
      <c r="S136" s="482"/>
      <c r="T136" s="482"/>
      <c r="U136" s="482"/>
      <c r="V136" s="482"/>
      <c r="W136" s="482"/>
      <c r="AA136" s="482"/>
      <c r="AB136" s="482"/>
    </row>
    <row r="137" spans="1:28" ht="15.75" customHeight="1">
      <c r="A137" s="535" t="s">
        <v>112</v>
      </c>
      <c r="B137" s="536">
        <v>-4.9129592648439502</v>
      </c>
      <c r="C137" s="540"/>
      <c r="D137" s="529">
        <v>0.68239272333923895</v>
      </c>
      <c r="E137" s="530">
        <v>3</v>
      </c>
      <c r="F137" s="530">
        <v>177</v>
      </c>
      <c r="G137" s="579">
        <v>3.37</v>
      </c>
      <c r="H137" s="529">
        <f t="shared" si="1"/>
        <v>-4.3900000000000006</v>
      </c>
      <c r="I137" s="482"/>
      <c r="J137" s="529"/>
      <c r="K137" s="529"/>
      <c r="L137" s="529"/>
      <c r="M137" s="534" t="s">
        <v>284</v>
      </c>
      <c r="N137" s="482"/>
      <c r="O137" s="482"/>
      <c r="P137" s="482"/>
      <c r="Q137" s="482"/>
      <c r="R137" s="482"/>
      <c r="S137" s="482"/>
      <c r="T137" s="482"/>
      <c r="U137" s="482"/>
      <c r="V137" s="482"/>
      <c r="W137" s="482"/>
      <c r="AA137" s="482"/>
      <c r="AB137" s="482"/>
    </row>
    <row r="138" spans="1:28" ht="15.75" customHeight="1">
      <c r="A138" s="535" t="s">
        <v>285</v>
      </c>
      <c r="B138" s="536">
        <v>-5.7956458522653698</v>
      </c>
      <c r="C138" s="540"/>
      <c r="D138" s="529">
        <v>0.520951861602862</v>
      </c>
      <c r="E138" s="530">
        <v>10</v>
      </c>
      <c r="F138" s="530">
        <v>228.6</v>
      </c>
      <c r="G138" s="579">
        <v>4.22</v>
      </c>
      <c r="H138" s="529">
        <f t="shared" si="1"/>
        <v>-5.7560000000000002</v>
      </c>
      <c r="I138" s="547" t="s">
        <v>286</v>
      </c>
      <c r="J138" s="548"/>
      <c r="K138" s="548"/>
      <c r="L138" s="549"/>
      <c r="M138" s="534" t="s">
        <v>287</v>
      </c>
      <c r="N138" s="482"/>
      <c r="O138" s="482"/>
      <c r="P138" s="482"/>
      <c r="Q138" s="482"/>
      <c r="R138" s="482"/>
      <c r="S138" s="482"/>
      <c r="T138" s="482"/>
      <c r="U138" s="482"/>
      <c r="V138" s="482"/>
      <c r="W138" s="482"/>
      <c r="AA138" s="482"/>
      <c r="AB138" s="482"/>
    </row>
    <row r="139" spans="1:28" ht="15.75" customHeight="1">
      <c r="A139" s="526" t="s">
        <v>288</v>
      </c>
      <c r="B139" s="536">
        <v>-1.70019787749357</v>
      </c>
      <c r="C139" s="540"/>
      <c r="D139" s="529">
        <v>0.53906642829149898</v>
      </c>
      <c r="E139" s="530">
        <v>3</v>
      </c>
      <c r="F139" s="530">
        <v>161.5</v>
      </c>
      <c r="G139" s="579">
        <v>-0.21</v>
      </c>
      <c r="H139" s="529">
        <f t="shared" si="1"/>
        <v>-0.65500000000000003</v>
      </c>
      <c r="I139" s="572" t="s">
        <v>969</v>
      </c>
      <c r="J139" s="583" t="s">
        <v>978</v>
      </c>
      <c r="K139" s="554"/>
      <c r="L139" s="555"/>
      <c r="M139" s="534" t="s">
        <v>289</v>
      </c>
      <c r="N139" s="482"/>
      <c r="O139" s="482"/>
      <c r="P139" s="482"/>
      <c r="Q139" s="482"/>
      <c r="R139" s="482"/>
      <c r="S139" s="482"/>
      <c r="T139" s="482"/>
      <c r="U139" s="482"/>
      <c r="V139" s="482"/>
      <c r="W139" s="482"/>
      <c r="AA139" s="482"/>
      <c r="AB139" s="482"/>
    </row>
    <row r="140" spans="1:28" ht="15.75" customHeight="1">
      <c r="A140" s="526" t="s">
        <v>290</v>
      </c>
      <c r="B140" s="536">
        <v>-3.6110704026616398</v>
      </c>
      <c r="C140" s="540"/>
      <c r="D140" s="529">
        <v>0.56233984781338708</v>
      </c>
      <c r="E140" s="530">
        <v>11</v>
      </c>
      <c r="F140" s="530">
        <v>213.49999999999997</v>
      </c>
      <c r="G140" s="579">
        <v>3.04</v>
      </c>
      <c r="H140" s="529">
        <f t="shared" si="1"/>
        <v>-4.4249999999999998</v>
      </c>
      <c r="I140" s="556" t="s">
        <v>970</v>
      </c>
      <c r="J140" s="584" t="s">
        <v>979</v>
      </c>
      <c r="K140" s="557"/>
      <c r="L140" s="558"/>
      <c r="M140" s="534" t="s">
        <v>291</v>
      </c>
      <c r="N140" s="482"/>
      <c r="O140" s="482"/>
      <c r="P140" s="482"/>
      <c r="Q140" s="482"/>
      <c r="R140" s="482"/>
      <c r="S140" s="482"/>
      <c r="T140" s="482"/>
      <c r="U140" s="482"/>
      <c r="V140" s="482"/>
      <c r="W140" s="482"/>
      <c r="AA140" s="482"/>
      <c r="AB140" s="482"/>
    </row>
    <row r="141" spans="1:28" ht="15.75" customHeight="1">
      <c r="A141" s="546" t="s">
        <v>292</v>
      </c>
      <c r="B141" s="536">
        <v>-3.2182070288530298</v>
      </c>
      <c r="C141" s="540"/>
      <c r="D141" s="529">
        <v>0.54710381306524825</v>
      </c>
      <c r="E141" s="530">
        <v>4</v>
      </c>
      <c r="F141" s="530">
        <v>168.5</v>
      </c>
      <c r="G141" s="579">
        <v>3.35</v>
      </c>
      <c r="H141" s="529">
        <f t="shared" si="1"/>
        <v>-4.2850000000000001</v>
      </c>
      <c r="I141" s="556" t="s">
        <v>971</v>
      </c>
      <c r="J141" s="584" t="s">
        <v>980</v>
      </c>
      <c r="K141" s="557"/>
      <c r="L141" s="558"/>
      <c r="M141" s="534" t="s">
        <v>293</v>
      </c>
      <c r="N141" s="482"/>
      <c r="O141" s="482"/>
      <c r="P141" s="482"/>
      <c r="Q141" s="482"/>
      <c r="R141" s="482"/>
      <c r="S141" s="482"/>
      <c r="T141" s="482"/>
      <c r="U141" s="482"/>
      <c r="V141" s="482"/>
      <c r="W141" s="482"/>
      <c r="AA141" s="482"/>
      <c r="AB141" s="482"/>
    </row>
    <row r="142" spans="1:28" ht="15.75" customHeight="1">
      <c r="A142" s="526" t="s">
        <v>114</v>
      </c>
      <c r="B142" s="536">
        <v>-2.0555398141607899</v>
      </c>
      <c r="C142" s="540"/>
      <c r="D142" s="529">
        <v>0.54612637818466869</v>
      </c>
      <c r="E142" s="530">
        <v>3</v>
      </c>
      <c r="F142" s="552">
        <v>124.1</v>
      </c>
      <c r="G142" s="579">
        <v>2.81</v>
      </c>
      <c r="H142" s="529">
        <f t="shared" si="1"/>
        <v>-3.3010000000000002</v>
      </c>
      <c r="I142" s="559" t="s">
        <v>972</v>
      </c>
      <c r="J142" s="584"/>
      <c r="K142" s="557"/>
      <c r="L142" s="558"/>
      <c r="M142" s="534" t="s">
        <v>294</v>
      </c>
      <c r="N142" s="482"/>
      <c r="O142" s="482"/>
      <c r="P142" s="482"/>
      <c r="Q142" s="482"/>
      <c r="R142" s="482"/>
      <c r="S142" s="482"/>
      <c r="T142" s="482"/>
      <c r="U142" s="482"/>
      <c r="V142" s="482"/>
      <c r="W142" s="482"/>
      <c r="AA142" s="482"/>
      <c r="AB142" s="482"/>
    </row>
    <row r="143" spans="1:28" ht="15.75" customHeight="1">
      <c r="A143" s="526" t="s">
        <v>295</v>
      </c>
      <c r="B143" s="536">
        <v>-4.3470868542233703</v>
      </c>
      <c r="C143" s="540"/>
      <c r="D143" s="529">
        <v>0.51160213896594608</v>
      </c>
      <c r="E143" s="530">
        <v>4</v>
      </c>
      <c r="F143" s="530">
        <v>165</v>
      </c>
      <c r="G143" s="579">
        <v>4.8899999999999997</v>
      </c>
      <c r="H143" s="529">
        <f t="shared" si="1"/>
        <v>-5.79</v>
      </c>
      <c r="I143" s="559" t="s">
        <v>973</v>
      </c>
      <c r="J143" s="584" t="s">
        <v>981</v>
      </c>
      <c r="K143" s="557"/>
      <c r="L143" s="558"/>
      <c r="M143" s="534" t="s">
        <v>296</v>
      </c>
      <c r="N143" s="482"/>
      <c r="O143" s="482"/>
      <c r="P143" s="482"/>
      <c r="Q143" s="482"/>
      <c r="R143" s="482"/>
      <c r="S143" s="482"/>
      <c r="T143" s="482"/>
      <c r="U143" s="482"/>
      <c r="V143" s="482"/>
      <c r="W143" s="482"/>
      <c r="AA143" s="482"/>
      <c r="AB143" s="482"/>
    </row>
    <row r="144" spans="1:28" ht="15.75" customHeight="1">
      <c r="A144" s="526" t="s">
        <v>117</v>
      </c>
      <c r="B144" s="536">
        <v>-4.5148754647462601</v>
      </c>
      <c r="C144" s="540"/>
      <c r="D144" s="529">
        <v>0.65141515533308314</v>
      </c>
      <c r="E144" s="530">
        <v>4</v>
      </c>
      <c r="F144" s="530">
        <v>161.1</v>
      </c>
      <c r="G144" s="579">
        <v>4.76</v>
      </c>
      <c r="H144" s="529">
        <f t="shared" si="1"/>
        <v>-5.6209999999999996</v>
      </c>
      <c r="I144" s="559" t="s">
        <v>974</v>
      </c>
      <c r="J144" s="584" t="s">
        <v>982</v>
      </c>
      <c r="K144" s="557"/>
      <c r="L144" s="558"/>
      <c r="M144" s="534" t="s">
        <v>297</v>
      </c>
      <c r="N144" s="482"/>
      <c r="O144" s="482"/>
      <c r="P144" s="482"/>
      <c r="Q144" s="482"/>
      <c r="R144" s="482"/>
      <c r="S144" s="482"/>
      <c r="T144" s="482"/>
      <c r="U144" s="482"/>
      <c r="V144" s="482"/>
      <c r="W144" s="482"/>
      <c r="AA144" s="482"/>
      <c r="AB144" s="482"/>
    </row>
    <row r="145" spans="1:28" ht="15.75" customHeight="1">
      <c r="A145" s="546" t="s">
        <v>298</v>
      </c>
      <c r="B145" s="536">
        <v>-4.34014945855023</v>
      </c>
      <c r="C145" s="540"/>
      <c r="D145" s="529">
        <v>0.65883215509381909</v>
      </c>
      <c r="E145" s="530">
        <v>3</v>
      </c>
      <c r="F145" s="530">
        <v>155</v>
      </c>
      <c r="G145" s="579">
        <v>3.74</v>
      </c>
      <c r="H145" s="529">
        <f t="shared" si="1"/>
        <v>-4.54</v>
      </c>
      <c r="I145" s="559" t="s">
        <v>975</v>
      </c>
      <c r="J145" s="584" t="s">
        <v>983</v>
      </c>
      <c r="K145" s="557"/>
      <c r="L145" s="558"/>
      <c r="M145" s="534" t="s">
        <v>299</v>
      </c>
      <c r="N145" s="482"/>
      <c r="O145" s="482"/>
      <c r="P145" s="482"/>
      <c r="Q145" s="482"/>
      <c r="R145" s="482"/>
      <c r="S145" s="482"/>
      <c r="T145" s="482"/>
      <c r="U145" s="482"/>
      <c r="V145" s="482"/>
      <c r="W145" s="482"/>
      <c r="AA145" s="482"/>
      <c r="AB145" s="482"/>
    </row>
    <row r="146" spans="1:28" ht="15.75" customHeight="1">
      <c r="A146" s="535" t="s">
        <v>300</v>
      </c>
      <c r="B146" s="536">
        <v>-6.1743520610773999</v>
      </c>
      <c r="C146" s="540"/>
      <c r="D146" s="529">
        <v>0.61400477095750339</v>
      </c>
      <c r="E146" s="530">
        <v>3</v>
      </c>
      <c r="F146" s="530">
        <v>165.4</v>
      </c>
      <c r="G146" s="579">
        <v>5.58</v>
      </c>
      <c r="H146" s="529">
        <f t="shared" si="1"/>
        <v>-6.484</v>
      </c>
      <c r="I146" s="559" t="s">
        <v>976</v>
      </c>
      <c r="J146" s="584"/>
      <c r="K146" s="557"/>
      <c r="L146" s="558"/>
      <c r="M146" s="534" t="s">
        <v>301</v>
      </c>
      <c r="N146" s="482"/>
      <c r="O146" s="482"/>
      <c r="P146" s="482"/>
      <c r="Q146" s="482"/>
      <c r="R146" s="482"/>
      <c r="S146" s="482"/>
      <c r="T146" s="482"/>
      <c r="U146" s="482"/>
      <c r="V146" s="482"/>
      <c r="W146" s="482"/>
      <c r="AA146" s="482"/>
      <c r="AB146" s="482"/>
    </row>
    <row r="147" spans="1:28" ht="15.75" customHeight="1">
      <c r="A147" s="535" t="s">
        <v>302</v>
      </c>
      <c r="B147" s="536">
        <v>-4.6435991268122496</v>
      </c>
      <c r="C147" s="540"/>
      <c r="D147" s="529">
        <v>0.50406532001413251</v>
      </c>
      <c r="E147" s="530">
        <v>6</v>
      </c>
      <c r="F147" s="530">
        <v>161</v>
      </c>
      <c r="G147" s="579">
        <v>6.45</v>
      </c>
      <c r="H147" s="529">
        <f t="shared" si="1"/>
        <v>-7.3100000000000005</v>
      </c>
      <c r="I147" s="585" t="s">
        <v>977</v>
      </c>
      <c r="J147" s="586"/>
      <c r="K147" s="566"/>
      <c r="L147" s="567"/>
      <c r="M147" s="534" t="s">
        <v>303</v>
      </c>
      <c r="N147" s="482"/>
      <c r="O147" s="482"/>
      <c r="P147" s="482"/>
      <c r="Q147" s="482"/>
      <c r="R147" s="482"/>
      <c r="S147" s="482"/>
      <c r="T147" s="482"/>
      <c r="U147" s="482"/>
      <c r="V147" s="482"/>
      <c r="W147" s="482"/>
      <c r="AA147" s="482"/>
      <c r="AB147" s="482"/>
    </row>
    <row r="148" spans="1:28" ht="15.75" customHeight="1">
      <c r="A148" s="535" t="s">
        <v>304</v>
      </c>
      <c r="B148" s="536">
        <v>-5.23603678830065</v>
      </c>
      <c r="C148" s="540"/>
      <c r="D148" s="529">
        <v>0.75493366325441691</v>
      </c>
      <c r="E148" s="530">
        <v>4</v>
      </c>
      <c r="F148" s="530">
        <v>193.5</v>
      </c>
      <c r="G148" s="579">
        <v>5.41</v>
      </c>
      <c r="H148" s="529">
        <f t="shared" si="1"/>
        <v>-6.5950000000000006</v>
      </c>
      <c r="I148" s="482"/>
      <c r="J148" s="529"/>
      <c r="K148" s="529"/>
      <c r="L148" s="529"/>
      <c r="M148" s="534" t="s">
        <v>305</v>
      </c>
      <c r="N148" s="482"/>
      <c r="O148" s="482"/>
      <c r="P148" s="482"/>
      <c r="Q148" s="482"/>
      <c r="R148" s="482"/>
      <c r="S148" s="482"/>
      <c r="T148" s="482"/>
      <c r="U148" s="482"/>
      <c r="V148" s="482"/>
      <c r="W148" s="482"/>
      <c r="AA148" s="482"/>
      <c r="AB148" s="482"/>
    </row>
    <row r="149" spans="1:28" ht="15.75" customHeight="1">
      <c r="A149" s="535" t="s">
        <v>306</v>
      </c>
      <c r="B149" s="536">
        <v>-3.73545972745907</v>
      </c>
      <c r="C149" s="540"/>
      <c r="D149" s="529">
        <v>0.50089358058597189</v>
      </c>
      <c r="E149" s="530">
        <v>3</v>
      </c>
      <c r="F149" s="530">
        <v>156</v>
      </c>
      <c r="G149" s="579">
        <v>2.9</v>
      </c>
      <c r="H149" s="529">
        <f t="shared" si="1"/>
        <v>-3.71</v>
      </c>
      <c r="I149" s="568" t="s">
        <v>133</v>
      </c>
      <c r="J149" s="587">
        <v>10237</v>
      </c>
      <c r="K149" s="545"/>
      <c r="L149" s="529"/>
      <c r="M149" s="534" t="s">
        <v>307</v>
      </c>
      <c r="N149" s="482"/>
      <c r="O149" s="482"/>
      <c r="P149" s="482"/>
      <c r="Q149" s="482"/>
      <c r="R149" s="482"/>
      <c r="S149" s="482"/>
      <c r="T149" s="482"/>
      <c r="U149" s="482"/>
      <c r="V149" s="482"/>
      <c r="W149" s="482"/>
      <c r="AA149" s="482"/>
      <c r="AB149" s="482"/>
    </row>
    <row r="150" spans="1:28" ht="15.75" customHeight="1">
      <c r="A150" s="546" t="s">
        <v>308</v>
      </c>
      <c r="B150" s="536">
        <v>-4.9621905243264202</v>
      </c>
      <c r="C150" s="540"/>
      <c r="D150" s="529">
        <v>0.6587984329866341</v>
      </c>
      <c r="E150" s="530">
        <v>4</v>
      </c>
      <c r="F150" s="530">
        <v>183.5</v>
      </c>
      <c r="G150" s="579">
        <v>3.16</v>
      </c>
      <c r="H150" s="529">
        <f t="shared" si="1"/>
        <v>-4.2450000000000001</v>
      </c>
      <c r="I150" s="568" t="s">
        <v>136</v>
      </c>
      <c r="J150" s="587">
        <v>1138</v>
      </c>
      <c r="K150" s="545"/>
      <c r="L150" s="529"/>
      <c r="M150" s="534" t="s">
        <v>309</v>
      </c>
      <c r="N150" s="482"/>
      <c r="O150" s="482"/>
      <c r="P150" s="482"/>
      <c r="Q150" s="482"/>
      <c r="R150" s="482"/>
      <c r="S150" s="482"/>
      <c r="T150" s="482"/>
      <c r="U150" s="482"/>
      <c r="V150" s="482"/>
      <c r="W150" s="482"/>
      <c r="AA150" s="482"/>
      <c r="AB150" s="482"/>
    </row>
    <row r="151" spans="1:28" ht="15.75" customHeight="1">
      <c r="A151" s="546" t="s">
        <v>310</v>
      </c>
      <c r="B151" s="536">
        <v>-2.6429398590411202</v>
      </c>
      <c r="C151" s="540"/>
      <c r="D151" s="529">
        <v>0.59871706042825668</v>
      </c>
      <c r="E151" s="530">
        <v>3</v>
      </c>
      <c r="F151" s="530">
        <v>61</v>
      </c>
      <c r="G151" s="579">
        <v>1.77</v>
      </c>
      <c r="H151" s="529">
        <f t="shared" si="1"/>
        <v>-1.63</v>
      </c>
      <c r="I151" s="568" t="s">
        <v>139</v>
      </c>
      <c r="J151" s="570">
        <f>COUNTA(A129:A160)</f>
        <v>32</v>
      </c>
      <c r="K151" s="545"/>
      <c r="L151" s="529"/>
      <c r="M151" s="534" t="s">
        <v>311</v>
      </c>
      <c r="N151" s="482"/>
      <c r="O151" s="482"/>
      <c r="P151" s="482"/>
      <c r="Q151" s="482"/>
      <c r="R151" s="482"/>
      <c r="S151" s="482"/>
      <c r="T151" s="482"/>
      <c r="U151" s="482"/>
      <c r="V151" s="482"/>
      <c r="W151" s="482"/>
      <c r="AA151" s="482"/>
      <c r="AB151" s="482"/>
    </row>
    <row r="152" spans="1:28" ht="15.75" customHeight="1">
      <c r="A152" s="535" t="s">
        <v>312</v>
      </c>
      <c r="B152" s="536">
        <v>-3.2533985392416001</v>
      </c>
      <c r="C152" s="540"/>
      <c r="D152" s="529">
        <v>0.57115657899345518</v>
      </c>
      <c r="E152" s="530">
        <v>7</v>
      </c>
      <c r="F152" s="530">
        <v>177</v>
      </c>
      <c r="G152" s="579">
        <v>3.17</v>
      </c>
      <c r="H152" s="529">
        <f t="shared" si="1"/>
        <v>-4.1899999999999995</v>
      </c>
      <c r="I152" s="529"/>
      <c r="J152" s="529"/>
      <c r="K152" s="529"/>
      <c r="L152" s="529"/>
      <c r="M152" s="534" t="s">
        <v>313</v>
      </c>
      <c r="N152" s="482"/>
      <c r="O152" s="482"/>
      <c r="P152" s="482"/>
      <c r="Q152" s="482"/>
      <c r="R152" s="482"/>
      <c r="S152" s="482"/>
      <c r="T152" s="482"/>
      <c r="U152" s="482"/>
      <c r="V152" s="482"/>
      <c r="W152" s="482"/>
      <c r="AA152" s="482"/>
      <c r="AB152" s="482"/>
    </row>
    <row r="153" spans="1:28" ht="15.75" customHeight="1">
      <c r="A153" s="526" t="s">
        <v>314</v>
      </c>
      <c r="B153" s="536">
        <v>-4.9557358622635403</v>
      </c>
      <c r="C153" s="540"/>
      <c r="D153" s="529">
        <v>0.55807775121880254</v>
      </c>
      <c r="E153" s="530">
        <v>6</v>
      </c>
      <c r="F153" s="530">
        <v>145</v>
      </c>
      <c r="G153" s="579">
        <v>6.08</v>
      </c>
      <c r="H153" s="529">
        <f t="shared" si="1"/>
        <v>-6.78</v>
      </c>
      <c r="I153" s="571" t="s">
        <v>144</v>
      </c>
      <c r="J153" s="548"/>
      <c r="K153" s="548"/>
      <c r="L153" s="549"/>
      <c r="M153" s="534" t="s">
        <v>315</v>
      </c>
      <c r="N153" s="482"/>
      <c r="O153" s="482"/>
      <c r="P153" s="482"/>
      <c r="Q153" s="482"/>
      <c r="R153" s="482"/>
      <c r="S153" s="482"/>
      <c r="T153" s="482"/>
      <c r="U153" s="482"/>
      <c r="V153" s="482"/>
      <c r="W153" s="482"/>
      <c r="AA153" s="482"/>
      <c r="AB153" s="482"/>
    </row>
    <row r="154" spans="1:28" ht="15.75" customHeight="1">
      <c r="A154" s="526" t="s">
        <v>316</v>
      </c>
      <c r="B154" s="536">
        <v>-7.1083638545230299</v>
      </c>
      <c r="C154" s="540"/>
      <c r="D154" s="529">
        <v>0.66417698790166113</v>
      </c>
      <c r="E154" s="530">
        <v>3</v>
      </c>
      <c r="F154" s="552">
        <v>175.8</v>
      </c>
      <c r="G154" s="579">
        <v>4.62</v>
      </c>
      <c r="H154" s="529">
        <f t="shared" si="1"/>
        <v>-5.6280000000000001</v>
      </c>
      <c r="I154" s="553" t="s">
        <v>984</v>
      </c>
      <c r="J154" s="554"/>
      <c r="K154" s="554"/>
      <c r="L154" s="555"/>
      <c r="M154" s="534" t="s">
        <v>317</v>
      </c>
      <c r="N154" s="482"/>
      <c r="O154" s="482"/>
      <c r="P154" s="482"/>
      <c r="Q154" s="482"/>
      <c r="R154" s="482"/>
      <c r="S154" s="482"/>
      <c r="T154" s="482"/>
      <c r="U154" s="482"/>
      <c r="V154" s="482"/>
      <c r="W154" s="482"/>
      <c r="AA154" s="482"/>
      <c r="AB154" s="482"/>
    </row>
    <row r="155" spans="1:28" ht="15.75" customHeight="1">
      <c r="A155" s="535" t="s">
        <v>318</v>
      </c>
      <c r="B155" s="536">
        <v>-5.3411651613913396</v>
      </c>
      <c r="C155" s="540"/>
      <c r="D155" s="529">
        <v>0.57716593661781801</v>
      </c>
      <c r="E155" s="530">
        <v>3</v>
      </c>
      <c r="F155" s="530">
        <v>349.84</v>
      </c>
      <c r="G155" s="579">
        <v>3.09</v>
      </c>
      <c r="H155" s="529">
        <f t="shared" si="1"/>
        <v>-5.8384</v>
      </c>
      <c r="I155" s="588"/>
      <c r="J155" s="557"/>
      <c r="K155" s="557"/>
      <c r="L155" s="558"/>
      <c r="M155" s="534" t="s">
        <v>319</v>
      </c>
      <c r="N155" s="482"/>
      <c r="O155" s="482"/>
      <c r="P155" s="482"/>
      <c r="Q155" s="482"/>
      <c r="R155" s="482"/>
      <c r="S155" s="482"/>
      <c r="T155" s="482"/>
      <c r="U155" s="482"/>
      <c r="V155" s="482"/>
      <c r="X155" s="482"/>
      <c r="AA155" s="482"/>
      <c r="AB155" s="482"/>
    </row>
    <row r="156" spans="1:28" ht="15.75" customHeight="1">
      <c r="A156" s="546" t="s">
        <v>320</v>
      </c>
      <c r="B156" s="536">
        <v>-3.0173030815713799</v>
      </c>
      <c r="C156" s="540"/>
      <c r="D156" s="529">
        <v>0.70324590282883903</v>
      </c>
      <c r="E156" s="530">
        <v>3</v>
      </c>
      <c r="F156" s="530">
        <v>204</v>
      </c>
      <c r="G156" s="579">
        <v>0.88</v>
      </c>
      <c r="H156" s="529">
        <f t="shared" si="1"/>
        <v>-2.17</v>
      </c>
      <c r="I156" s="564"/>
      <c r="J156" s="557"/>
      <c r="K156" s="557"/>
      <c r="L156" s="558"/>
      <c r="M156" s="534" t="s">
        <v>321</v>
      </c>
      <c r="N156" s="482"/>
      <c r="O156" s="482"/>
      <c r="P156" s="482"/>
      <c r="Q156" s="482"/>
      <c r="R156" s="482"/>
      <c r="S156" s="482"/>
      <c r="T156" s="482"/>
      <c r="U156" s="482"/>
      <c r="V156" s="482"/>
      <c r="W156" s="482"/>
      <c r="X156" s="482"/>
      <c r="AA156" s="482"/>
      <c r="AB156" s="482"/>
    </row>
    <row r="157" spans="1:28" ht="15.75" customHeight="1">
      <c r="A157" s="535" t="s">
        <v>322</v>
      </c>
      <c r="B157" s="536">
        <v>-5.1237126921950198</v>
      </c>
      <c r="C157" s="540"/>
      <c r="D157" s="529">
        <v>0.7237903588794764</v>
      </c>
      <c r="E157" s="530">
        <v>7</v>
      </c>
      <c r="F157" s="530">
        <v>97.8</v>
      </c>
      <c r="G157" s="579">
        <v>6</v>
      </c>
      <c r="H157" s="529">
        <f t="shared" si="1"/>
        <v>-6.2279999999999998</v>
      </c>
      <c r="I157" s="564"/>
      <c r="J157" s="557"/>
      <c r="K157" s="557"/>
      <c r="L157" s="558"/>
      <c r="M157" s="534" t="s">
        <v>323</v>
      </c>
      <c r="N157" s="482"/>
      <c r="O157" s="482"/>
      <c r="P157" s="482"/>
      <c r="Q157" s="482"/>
      <c r="R157" s="482"/>
      <c r="S157" s="482"/>
      <c r="T157" s="482"/>
      <c r="U157" s="482"/>
      <c r="V157" s="482"/>
      <c r="W157" s="482"/>
      <c r="X157" s="482"/>
      <c r="AA157" s="482"/>
      <c r="AB157" s="482"/>
    </row>
    <row r="158" spans="1:28" ht="15.75" customHeight="1">
      <c r="A158" s="535" t="s">
        <v>324</v>
      </c>
      <c r="B158" s="536">
        <v>-6.2105236865750397</v>
      </c>
      <c r="C158" s="540"/>
      <c r="D158" s="529">
        <v>0.84033450922624497</v>
      </c>
      <c r="E158" s="530">
        <v>5</v>
      </c>
      <c r="F158" s="530">
        <v>262</v>
      </c>
      <c r="G158" s="579">
        <v>7.26</v>
      </c>
      <c r="H158" s="529">
        <f t="shared" si="1"/>
        <v>-9.129999999999999</v>
      </c>
      <c r="I158" s="564"/>
      <c r="J158" s="557"/>
      <c r="K158" s="557"/>
      <c r="L158" s="558"/>
      <c r="M158" s="534" t="s">
        <v>325</v>
      </c>
      <c r="N158" s="482"/>
      <c r="O158" s="482"/>
      <c r="P158" s="482"/>
      <c r="Q158" s="482"/>
      <c r="R158" s="482"/>
      <c r="S158" s="482"/>
      <c r="T158" s="482"/>
      <c r="U158" s="482"/>
      <c r="V158" s="482"/>
      <c r="W158" s="482"/>
      <c r="X158" s="482"/>
      <c r="AA158" s="482"/>
      <c r="AB158" s="482"/>
    </row>
    <row r="159" spans="1:28" ht="15.75" customHeight="1">
      <c r="A159" s="535" t="s">
        <v>326</v>
      </c>
      <c r="B159" s="536">
        <v>-5.2648163041654801</v>
      </c>
      <c r="C159" s="540"/>
      <c r="D159" s="529">
        <v>0.70969645885144073</v>
      </c>
      <c r="E159" s="530">
        <v>11</v>
      </c>
      <c r="F159" s="530">
        <v>149.6</v>
      </c>
      <c r="G159" s="579">
        <v>6.45</v>
      </c>
      <c r="H159" s="529">
        <f t="shared" si="1"/>
        <v>-7.1959999999999997</v>
      </c>
      <c r="I159" s="564"/>
      <c r="J159" s="557"/>
      <c r="K159" s="557"/>
      <c r="L159" s="558"/>
      <c r="M159" s="534" t="s">
        <v>327</v>
      </c>
      <c r="N159" s="482"/>
      <c r="O159" s="482"/>
      <c r="P159" s="482"/>
      <c r="Q159" s="482"/>
      <c r="R159" s="482"/>
      <c r="S159" s="482"/>
      <c r="T159" s="482"/>
      <c r="U159" s="482"/>
      <c r="V159" s="482"/>
      <c r="W159" s="482"/>
      <c r="X159" s="482"/>
      <c r="AA159" s="482"/>
      <c r="AB159" s="482"/>
    </row>
    <row r="160" spans="1:28" ht="15.75" customHeight="1">
      <c r="A160" s="526" t="s">
        <v>328</v>
      </c>
      <c r="B160" s="536">
        <v>-3.22435130907366</v>
      </c>
      <c r="C160" s="540"/>
      <c r="D160" s="529">
        <v>0.49644864464459931</v>
      </c>
      <c r="E160" s="530">
        <v>4</v>
      </c>
      <c r="F160" s="530">
        <v>304.5</v>
      </c>
      <c r="G160" s="579">
        <v>2.69</v>
      </c>
      <c r="H160" s="529">
        <f t="shared" si="1"/>
        <v>-4.9849999999999994</v>
      </c>
      <c r="I160" s="573"/>
      <c r="J160" s="566"/>
      <c r="K160" s="566"/>
      <c r="L160" s="567"/>
      <c r="M160" s="534" t="s">
        <v>329</v>
      </c>
      <c r="N160" s="482"/>
      <c r="O160" s="482"/>
      <c r="P160" s="482"/>
      <c r="Q160" s="482"/>
      <c r="R160" s="482"/>
      <c r="S160" s="482"/>
      <c r="T160" s="482"/>
      <c r="U160" s="482"/>
      <c r="V160" s="482"/>
      <c r="W160" s="482"/>
      <c r="X160" s="482"/>
      <c r="AA160" s="482"/>
      <c r="AB160" s="482"/>
    </row>
    <row r="161" spans="1:28" ht="15.75" customHeight="1">
      <c r="A161" s="514"/>
      <c r="B161" s="514"/>
      <c r="C161" s="574" t="s">
        <v>261</v>
      </c>
      <c r="D161" s="575">
        <f>AVERAGE(D129:D160)</f>
        <v>0.61629001144944573</v>
      </c>
      <c r="E161" s="514"/>
      <c r="F161" s="514"/>
      <c r="G161" s="514"/>
      <c r="H161" s="578" t="s">
        <v>262</v>
      </c>
      <c r="I161" s="589"/>
      <c r="J161" s="589"/>
      <c r="K161" s="589"/>
      <c r="L161" s="589"/>
      <c r="M161" s="514"/>
      <c r="N161" s="514"/>
      <c r="O161" s="514"/>
      <c r="P161" s="514"/>
      <c r="Q161" s="514"/>
      <c r="R161" s="514"/>
      <c r="S161" s="514"/>
      <c r="T161" s="514"/>
      <c r="U161" s="514"/>
      <c r="V161" s="514"/>
      <c r="W161" s="514"/>
      <c r="X161" s="514"/>
      <c r="Y161" s="514"/>
      <c r="Z161" s="514"/>
      <c r="AA161" s="514"/>
      <c r="AB161" s="514"/>
    </row>
    <row r="162" spans="1:28" ht="15.75" customHeight="1">
      <c r="A162" s="534"/>
      <c r="B162" s="482"/>
      <c r="C162" s="574" t="s">
        <v>263</v>
      </c>
      <c r="D162" s="575">
        <f>MIN(D129:D160)</f>
        <v>0.49644864464459931</v>
      </c>
      <c r="E162" s="576"/>
      <c r="F162" s="577"/>
      <c r="G162" s="577"/>
      <c r="H162" s="578" t="s">
        <v>330</v>
      </c>
      <c r="I162" s="577"/>
      <c r="J162" s="531"/>
      <c r="K162" s="531"/>
      <c r="L162" s="531"/>
      <c r="M162" s="534"/>
      <c r="N162" s="482"/>
      <c r="O162" s="482"/>
      <c r="P162" s="482"/>
      <c r="Q162" s="482"/>
      <c r="R162" s="482"/>
      <c r="S162" s="482"/>
      <c r="T162" s="482"/>
      <c r="U162" s="482"/>
      <c r="V162" s="482"/>
      <c r="W162" s="482"/>
      <c r="X162" s="482"/>
      <c r="Y162" s="482"/>
      <c r="Z162" s="482"/>
      <c r="AA162" s="482"/>
      <c r="AB162" s="482"/>
    </row>
    <row r="163" spans="1:28" ht="15.75" customHeight="1">
      <c r="A163" s="534"/>
      <c r="B163" s="482"/>
      <c r="C163" s="574" t="s">
        <v>265</v>
      </c>
      <c r="D163" s="575">
        <f>MAX(D129:D160)</f>
        <v>0.92735432696895004</v>
      </c>
      <c r="E163" s="576"/>
      <c r="F163" s="577"/>
      <c r="G163" s="577"/>
      <c r="H163" s="578"/>
      <c r="I163" s="577"/>
      <c r="J163" s="531"/>
      <c r="K163" s="531"/>
      <c r="L163" s="531"/>
      <c r="M163" s="534"/>
      <c r="N163" s="482"/>
      <c r="O163" s="482"/>
      <c r="P163" s="482"/>
      <c r="Q163" s="482"/>
      <c r="R163" s="482"/>
      <c r="S163" s="482"/>
      <c r="T163" s="482"/>
      <c r="U163" s="482"/>
      <c r="V163" s="482"/>
      <c r="W163" s="482"/>
      <c r="X163" s="482"/>
      <c r="Y163" s="482"/>
      <c r="Z163" s="482"/>
      <c r="AA163" s="482"/>
      <c r="AB163" s="482"/>
    </row>
    <row r="164" spans="1:28" ht="15.75" customHeight="1">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c r="AA164" s="482"/>
      <c r="AB164" s="482"/>
    </row>
    <row r="165" spans="1:28" ht="15.75" customHeight="1">
      <c r="A165" s="482" t="s">
        <v>987</v>
      </c>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c r="AA165" s="482"/>
      <c r="AB165" s="482"/>
    </row>
    <row r="166" spans="1:28" ht="15.75" customHeight="1">
      <c r="A166" s="482" t="s">
        <v>332</v>
      </c>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c r="AA166" s="482"/>
      <c r="AB166" s="482"/>
    </row>
    <row r="167" spans="1:28" ht="15.75" customHeight="1">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c r="AA167" s="482"/>
      <c r="AB167" s="482"/>
    </row>
    <row r="168" spans="1:28" ht="15.75" customHeight="1">
      <c r="A168" s="482" t="s">
        <v>333</v>
      </c>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c r="AA168" s="482"/>
      <c r="AB168" s="482"/>
    </row>
    <row r="169" spans="1:28" ht="15.75" customHeight="1">
      <c r="A169" s="482" t="s">
        <v>988</v>
      </c>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c r="AA169" s="482"/>
      <c r="AB169" s="482"/>
    </row>
    <row r="170" spans="1:28" ht="15.75" customHeight="1">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c r="AA170" s="482"/>
      <c r="AB170" s="482"/>
    </row>
    <row r="171" spans="1:28" ht="15.75" customHeight="1">
      <c r="A171" s="590" t="s">
        <v>335</v>
      </c>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c r="AA171" s="482"/>
      <c r="AB171" s="482"/>
    </row>
    <row r="172" spans="1:28" ht="15.75" customHeight="1">
      <c r="A172" s="591" t="s">
        <v>989</v>
      </c>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c r="AA172" s="482"/>
      <c r="AB172" s="482"/>
    </row>
    <row r="173" spans="1:28" ht="15.75" customHeight="1">
      <c r="A173" s="591" t="s">
        <v>990</v>
      </c>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c r="AA173" s="482"/>
      <c r="AB173" s="482"/>
    </row>
    <row r="174" spans="1:28" ht="15.75" customHeight="1">
      <c r="A174" s="592" t="s">
        <v>991</v>
      </c>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c r="AA174" s="482"/>
      <c r="AB174" s="482"/>
    </row>
    <row r="175" spans="1:28" ht="15.75" customHeight="1">
      <c r="A175" s="593" t="s">
        <v>992</v>
      </c>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c r="AA175" s="482"/>
      <c r="AB175" s="482"/>
    </row>
    <row r="176" spans="1:28" ht="15.75" customHeight="1">
      <c r="A176" s="594" t="s">
        <v>993</v>
      </c>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c r="AA176" s="482"/>
      <c r="AB176" s="482"/>
    </row>
    <row r="177" spans="1:28" ht="15.75" customHeight="1">
      <c r="A177" s="482" t="s">
        <v>994</v>
      </c>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c r="AA177" s="482"/>
      <c r="AB177" s="482"/>
    </row>
    <row r="178" spans="1:28" ht="15.75" customHeight="1">
      <c r="A178" s="595" t="s">
        <v>995</v>
      </c>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c r="AA178" s="482"/>
      <c r="AB178" s="482"/>
    </row>
    <row r="179" spans="1:28" ht="15.75" customHeight="1">
      <c r="A179" s="482" t="s">
        <v>996</v>
      </c>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c r="AA179" s="482"/>
      <c r="AB179" s="482"/>
    </row>
    <row r="180" spans="1:28" ht="15.75" customHeight="1">
      <c r="A180" s="594" t="s">
        <v>997</v>
      </c>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c r="AA180" s="482"/>
      <c r="AB180" s="482"/>
    </row>
    <row r="181" spans="1:28" ht="15.75" customHeight="1">
      <c r="A181" s="482" t="s">
        <v>998</v>
      </c>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c r="AA181" s="482"/>
      <c r="AB181" s="482"/>
    </row>
    <row r="182" spans="1:28" ht="15.75" customHeight="1">
      <c r="A182" s="482" t="s">
        <v>999</v>
      </c>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c r="AA182" s="482"/>
      <c r="AB182" s="482"/>
    </row>
    <row r="183" spans="1:28" ht="15.75" customHeight="1">
      <c r="A183" s="592" t="s">
        <v>1000</v>
      </c>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c r="AA183" s="482"/>
      <c r="AB183" s="482"/>
    </row>
    <row r="184" spans="1:28" ht="15.75" customHeight="1">
      <c r="A184" s="592" t="s">
        <v>1001</v>
      </c>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c r="AA184" s="482"/>
      <c r="AB184" s="482"/>
    </row>
    <row r="185" spans="1:28" ht="15.75" customHeight="1">
      <c r="A185" s="482" t="s">
        <v>1002</v>
      </c>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c r="AA185" s="482"/>
      <c r="AB185" s="482"/>
    </row>
    <row r="186" spans="1:28" ht="15.75" customHeight="1">
      <c r="A186" s="482" t="s">
        <v>1003</v>
      </c>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c r="AA186" s="482"/>
      <c r="AB186" s="482"/>
    </row>
    <row r="187" spans="1:28" ht="15.75" customHeight="1">
      <c r="A187" s="595" t="s">
        <v>1004</v>
      </c>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c r="AA187" s="482"/>
      <c r="AB187" s="482"/>
    </row>
    <row r="188" spans="1:28" ht="15.75" customHeight="1">
      <c r="A188" s="595" t="s">
        <v>1005</v>
      </c>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c r="AA188" s="482"/>
      <c r="AB188" s="482"/>
    </row>
    <row r="189" spans="1:28" ht="15.75" customHeight="1">
      <c r="A189" s="594" t="s">
        <v>1006</v>
      </c>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c r="AA189" s="482"/>
      <c r="AB189" s="482"/>
    </row>
    <row r="190" spans="1:28" ht="15.75" customHeight="1">
      <c r="A190" s="595" t="s">
        <v>1007</v>
      </c>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c r="AA190" s="482"/>
      <c r="AB190" s="482"/>
    </row>
    <row r="191" spans="1:28" ht="15.75" customHeight="1">
      <c r="A191" s="482" t="s">
        <v>1008</v>
      </c>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c r="AA191" s="482"/>
      <c r="AB191" s="482"/>
    </row>
    <row r="192" spans="1:28" ht="15.75" customHeight="1">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c r="AA192" s="482"/>
      <c r="AB192" s="482"/>
    </row>
    <row r="193" spans="1:28" ht="15.75" customHeight="1">
      <c r="A193" s="595" t="s">
        <v>1009</v>
      </c>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c r="AA193" s="482"/>
      <c r="AB193" s="482"/>
    </row>
    <row r="194" spans="1:28" ht="15.75" customHeight="1">
      <c r="A194" s="513" t="s">
        <v>982</v>
      </c>
      <c r="B194" s="494" t="s">
        <v>983</v>
      </c>
      <c r="C194" s="494"/>
      <c r="D194" s="494"/>
      <c r="E194" s="494"/>
      <c r="F194" s="494"/>
      <c r="G194" s="494"/>
      <c r="H194" s="494"/>
      <c r="I194" s="494"/>
      <c r="J194" s="494"/>
      <c r="K194" s="494"/>
      <c r="L194" s="494"/>
      <c r="M194" s="494"/>
      <c r="N194" s="494"/>
      <c r="O194" s="494"/>
      <c r="P194" s="494"/>
      <c r="Q194" s="495"/>
      <c r="R194" s="482"/>
      <c r="S194" s="482"/>
      <c r="T194" s="482"/>
      <c r="U194" s="482"/>
      <c r="V194" s="482"/>
      <c r="W194" s="482"/>
      <c r="X194" s="482"/>
      <c r="Y194" s="482"/>
      <c r="Z194" s="482"/>
      <c r="AA194" s="482"/>
      <c r="AB194" s="482"/>
    </row>
    <row r="195" spans="1:28" ht="15.75" customHeight="1">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c r="AA195" s="482"/>
      <c r="AB195" s="482"/>
    </row>
    <row r="196" spans="1:28" ht="15.75" customHeight="1">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c r="AA196" s="482"/>
      <c r="AB196" s="482"/>
    </row>
    <row r="197" spans="1:28" ht="15.75" customHeight="1">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c r="AA197" s="482"/>
      <c r="AB197" s="482"/>
    </row>
    <row r="198" spans="1:28" ht="15.75" customHeight="1">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c r="AA198" s="482"/>
      <c r="AB198" s="482"/>
    </row>
    <row r="199" spans="1:28" ht="15.75" customHeight="1">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c r="AA199" s="482"/>
      <c r="AB199" s="482"/>
    </row>
    <row r="200" spans="1:28" ht="15.75" customHeight="1">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c r="AA200" s="482"/>
      <c r="AB200" s="482"/>
    </row>
    <row r="201" spans="1:28" ht="15.75" customHeight="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c r="AA201" s="482"/>
      <c r="AB201" s="482"/>
    </row>
    <row r="202" spans="1:28" ht="15.75" customHeight="1">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c r="AA202" s="482"/>
      <c r="AB202" s="482"/>
    </row>
    <row r="203" spans="1:28" ht="15.75" customHeight="1">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c r="AA203" s="482"/>
      <c r="AB203" s="482"/>
    </row>
    <row r="204" spans="1:28" ht="15.75" customHeight="1">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c r="AA204" s="482"/>
      <c r="AB204" s="482"/>
    </row>
    <row r="205" spans="1:28" ht="15.75" customHeight="1">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c r="AA205" s="482"/>
      <c r="AB205" s="482"/>
    </row>
    <row r="206" spans="1:28" ht="15.75" customHeight="1">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c r="AA206" s="482"/>
      <c r="AB206" s="482"/>
    </row>
    <row r="207" spans="1:28" ht="15.75" customHeight="1">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c r="AA207" s="482"/>
      <c r="AB207" s="482"/>
    </row>
    <row r="208" spans="1:28" ht="15.75" customHeight="1">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c r="AA208" s="482"/>
      <c r="AB208" s="482"/>
    </row>
    <row r="209" spans="1:28" ht="15.75" customHeight="1">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c r="AA209" s="482"/>
      <c r="AB209" s="482"/>
    </row>
    <row r="210" spans="1:28" ht="15.75" customHeight="1">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c r="AA210" s="482"/>
      <c r="AB210" s="482"/>
    </row>
    <row r="211" spans="1:28" ht="15.75" customHeight="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c r="AA211" s="482"/>
      <c r="AB211" s="482"/>
    </row>
    <row r="212" spans="1:28" ht="15.75" customHeight="1">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c r="AA212" s="482"/>
      <c r="AB212" s="482"/>
    </row>
    <row r="213" spans="1:28" ht="15.75" customHeight="1">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c r="AA213" s="482"/>
      <c r="AB213" s="482"/>
    </row>
    <row r="214" spans="1:28" ht="15.75" customHeight="1">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c r="AA214" s="482"/>
      <c r="AB214" s="482"/>
    </row>
    <row r="215" spans="1:28" ht="15.75" customHeight="1">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c r="AA215" s="482"/>
      <c r="AB215" s="482"/>
    </row>
    <row r="216" spans="1:28" ht="15.75" customHeight="1">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c r="AA216" s="482"/>
      <c r="AB216" s="482"/>
    </row>
    <row r="217" spans="1:28" ht="15.75" customHeight="1">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c r="AA217" s="482"/>
      <c r="AB217" s="482"/>
    </row>
    <row r="218" spans="1:28" ht="15.75" customHeight="1">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c r="AA218" s="482"/>
      <c r="AB218" s="482"/>
    </row>
    <row r="219" spans="1:28" ht="15.75" customHeight="1">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c r="AA219" s="482"/>
      <c r="AB219" s="482"/>
    </row>
    <row r="220" spans="1:28" ht="15.75" customHeight="1">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c r="AA220" s="482"/>
      <c r="AB220" s="482"/>
    </row>
    <row r="221" spans="1:28" ht="15.75" customHeight="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c r="AA221" s="482"/>
      <c r="AB221" s="482"/>
    </row>
    <row r="222" spans="1:28" ht="15.75" customHeight="1">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c r="AA222" s="482"/>
      <c r="AB222" s="482"/>
    </row>
    <row r="223" spans="1:28" ht="15.75" customHeight="1">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c r="AA223" s="482"/>
      <c r="AB223" s="482"/>
    </row>
    <row r="224" spans="1:28" ht="15.75" customHeight="1">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c r="AA224" s="482"/>
      <c r="AB224" s="482"/>
    </row>
    <row r="225" spans="1:28" ht="15.75" customHeight="1">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c r="AA225" s="482"/>
      <c r="AB225" s="482"/>
    </row>
    <row r="226" spans="1:28" ht="15.75" customHeight="1">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c r="AA226" s="482"/>
      <c r="AB226" s="482"/>
    </row>
    <row r="227" spans="1:28" ht="15.75" customHeight="1">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c r="AA227" s="482"/>
      <c r="AB227" s="482"/>
    </row>
    <row r="228" spans="1:28" ht="15.75" customHeight="1">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c r="AA228" s="482"/>
      <c r="AB228" s="482"/>
    </row>
    <row r="229" spans="1:28" ht="15.75" customHeight="1">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c r="AA229" s="482"/>
      <c r="AB229" s="482"/>
    </row>
    <row r="230" spans="1:28" ht="15.75" customHeight="1">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c r="AA230" s="482"/>
      <c r="AB230" s="482"/>
    </row>
    <row r="231" spans="1:28" ht="15.75" customHeight="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c r="AA231" s="482"/>
      <c r="AB231" s="482"/>
    </row>
    <row r="232" spans="1:28" ht="15.75" customHeight="1">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c r="AA232" s="482"/>
      <c r="AB232" s="482"/>
    </row>
    <row r="233" spans="1:28" ht="15.75" customHeight="1">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c r="AA233" s="482"/>
      <c r="AB233" s="482"/>
    </row>
    <row r="234" spans="1:28" ht="15.75" customHeight="1">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c r="AA234" s="482"/>
      <c r="AB234" s="482"/>
    </row>
    <row r="235" spans="1:28" ht="15.75" customHeight="1">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c r="AA235" s="482"/>
      <c r="AB235" s="482"/>
    </row>
    <row r="236" spans="1:28" ht="15.75" customHeight="1">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c r="AA236" s="482"/>
      <c r="AB236" s="482"/>
    </row>
    <row r="237" spans="1:28" ht="15.75" customHeight="1">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c r="AA237" s="482"/>
      <c r="AB237" s="482"/>
    </row>
    <row r="238" spans="1:28" ht="15.75" customHeight="1">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c r="AA238" s="482"/>
      <c r="AB238" s="482"/>
    </row>
    <row r="239" spans="1:28" ht="15.75" customHeight="1">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c r="AA239" s="482"/>
      <c r="AB239" s="482"/>
    </row>
    <row r="240" spans="1:28" ht="15.75" customHeight="1">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c r="AA240" s="482"/>
      <c r="AB240" s="482"/>
    </row>
    <row r="241" spans="1:28" ht="15.75" customHeight="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c r="AA241" s="482"/>
      <c r="AB241" s="482"/>
    </row>
    <row r="242" spans="1:28" ht="15.75" customHeight="1">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c r="AA242" s="482"/>
      <c r="AB242" s="482"/>
    </row>
    <row r="243" spans="1:28" ht="15.75" customHeight="1">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c r="AA243" s="482"/>
      <c r="AB243" s="482"/>
    </row>
    <row r="244" spans="1:28" ht="15.75" customHeight="1">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c r="AA244" s="482"/>
      <c r="AB244" s="482"/>
    </row>
    <row r="245" spans="1:28" ht="15.75" customHeight="1">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c r="AA245" s="482"/>
      <c r="AB245" s="482"/>
    </row>
    <row r="246" spans="1:28" ht="15.75" customHeight="1">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c r="AA246" s="482"/>
      <c r="AB246" s="482"/>
    </row>
    <row r="247" spans="1:28" ht="15.75" customHeight="1">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c r="AA247" s="482"/>
      <c r="AB247" s="482"/>
    </row>
    <row r="248" spans="1:28" ht="15.75" customHeight="1">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c r="AA248" s="482"/>
      <c r="AB248" s="482"/>
    </row>
    <row r="249" spans="1:28" ht="15.75" customHeight="1">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c r="AA249" s="482"/>
      <c r="AB249" s="482"/>
    </row>
    <row r="250" spans="1:28" ht="15.75" customHeight="1">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c r="AA250" s="482"/>
      <c r="AB250" s="482"/>
    </row>
    <row r="251" spans="1:28" ht="15.75" customHeight="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c r="AA251" s="482"/>
      <c r="AB251" s="482"/>
    </row>
    <row r="252" spans="1:28" ht="15.75" customHeight="1">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c r="AA252" s="482"/>
      <c r="AB252" s="482"/>
    </row>
    <row r="253" spans="1:28" ht="15.75" customHeight="1">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c r="AA253" s="482"/>
      <c r="AB253" s="482"/>
    </row>
    <row r="254" spans="1:28" ht="15.75" customHeight="1">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c r="AA254" s="482"/>
      <c r="AB254" s="482"/>
    </row>
    <row r="255" spans="1:28" ht="15.75" customHeight="1">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c r="AA255" s="482"/>
      <c r="AB255" s="482"/>
    </row>
    <row r="256" spans="1:28" ht="15.75" customHeight="1">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c r="AA256" s="482"/>
      <c r="AB256" s="482"/>
    </row>
    <row r="257" spans="1:28" ht="15.75" customHeight="1">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c r="AA257" s="482"/>
      <c r="AB257" s="482"/>
    </row>
    <row r="258" spans="1:28" ht="15.75" customHeight="1">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c r="AA258" s="482"/>
      <c r="AB258" s="482"/>
    </row>
    <row r="259" spans="1:28" ht="15.75" customHeight="1">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c r="AA259" s="482"/>
      <c r="AB259" s="482"/>
    </row>
    <row r="260" spans="1:28" ht="15.75" customHeight="1">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c r="AA260" s="482"/>
      <c r="AB260" s="482"/>
    </row>
    <row r="261" spans="1:28" ht="15.75" customHeight="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c r="AA261" s="482"/>
      <c r="AB261" s="482"/>
    </row>
    <row r="262" spans="1:28" ht="15.75" customHeight="1">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c r="AA262" s="482"/>
      <c r="AB262" s="482"/>
    </row>
    <row r="263" spans="1:28" ht="15.75" customHeight="1">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c r="AA263" s="482"/>
      <c r="AB263" s="482"/>
    </row>
    <row r="264" spans="1:28" ht="15.75" customHeight="1">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c r="AA264" s="482"/>
      <c r="AB264" s="482"/>
    </row>
    <row r="265" spans="1:28" ht="15.75" customHeight="1">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c r="AA265" s="482"/>
      <c r="AB265" s="482"/>
    </row>
    <row r="266" spans="1:28" ht="15.75" customHeight="1">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c r="AA266" s="482"/>
      <c r="AB266" s="482"/>
    </row>
    <row r="267" spans="1:28" ht="15.75" customHeight="1">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c r="AA267" s="482"/>
      <c r="AB267" s="482"/>
    </row>
    <row r="268" spans="1:28" ht="15.75" customHeight="1">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c r="AA268" s="482"/>
      <c r="AB268" s="482"/>
    </row>
    <row r="269" spans="1:28" ht="15.75" customHeight="1">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c r="AA269" s="482"/>
      <c r="AB269" s="482"/>
    </row>
    <row r="270" spans="1:28" ht="15.75" customHeight="1">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c r="AA270" s="482"/>
      <c r="AB270" s="482"/>
    </row>
    <row r="271" spans="1:28" ht="15.75" customHeight="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c r="AA271" s="482"/>
      <c r="AB271" s="482"/>
    </row>
    <row r="272" spans="1:28" ht="15.75" customHeight="1">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c r="AA272" s="482"/>
      <c r="AB272" s="482"/>
    </row>
    <row r="273" spans="1:28" ht="15.75" customHeight="1">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c r="AA273" s="482"/>
      <c r="AB273" s="482"/>
    </row>
    <row r="274" spans="1:28" ht="15.75" customHeight="1">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c r="AA274" s="482"/>
      <c r="AB274" s="482"/>
    </row>
    <row r="275" spans="1:28" ht="15.75" customHeight="1">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c r="AA275" s="482"/>
      <c r="AB275" s="482"/>
    </row>
    <row r="276" spans="1:28" ht="15.75" customHeight="1">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c r="AA276" s="482"/>
      <c r="AB276" s="482"/>
    </row>
    <row r="277" spans="1:28" ht="15.75" customHeight="1">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c r="AA277" s="482"/>
      <c r="AB277" s="482"/>
    </row>
    <row r="278" spans="1:28" ht="15.75" customHeight="1">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c r="AA278" s="482"/>
      <c r="AB278" s="482"/>
    </row>
    <row r="279" spans="1:28" ht="15.75" customHeight="1">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c r="AA279" s="482"/>
      <c r="AB279" s="482"/>
    </row>
    <row r="280" spans="1:28" ht="15.75" customHeight="1">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c r="AA280" s="482"/>
      <c r="AB280" s="482"/>
    </row>
    <row r="281" spans="1:28" ht="15.75" customHeight="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c r="AA281" s="482"/>
      <c r="AB281" s="482"/>
    </row>
    <row r="282" spans="1:28" ht="15.75" customHeight="1">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c r="AA282" s="482"/>
      <c r="AB282" s="482"/>
    </row>
    <row r="283" spans="1:28" ht="15.75" customHeight="1">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c r="AA283" s="482"/>
      <c r="AB283" s="482"/>
    </row>
    <row r="284" spans="1:28" ht="15.75" customHeight="1">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c r="AA284" s="482"/>
      <c r="AB284" s="482"/>
    </row>
    <row r="285" spans="1:28" ht="15.75" customHeight="1">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c r="AA285" s="482"/>
      <c r="AB285" s="482"/>
    </row>
    <row r="286" spans="1:28" ht="15.75" customHeight="1">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c r="AA286" s="482"/>
      <c r="AB286" s="482"/>
    </row>
    <row r="287" spans="1:28" ht="15.75" customHeight="1">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c r="AA287" s="482"/>
      <c r="AB287" s="482"/>
    </row>
    <row r="288" spans="1:28" ht="15.75" customHeight="1">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c r="AA288" s="482"/>
      <c r="AB288" s="482"/>
    </row>
    <row r="289" spans="1:28" ht="15.75" customHeight="1">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c r="AA289" s="482"/>
      <c r="AB289" s="482"/>
    </row>
    <row r="290" spans="1:28" ht="15.75" customHeight="1">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c r="AA290" s="482"/>
      <c r="AB290" s="482"/>
    </row>
    <row r="291" spans="1:28" ht="15.75" customHeight="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c r="AA291" s="482"/>
      <c r="AB291" s="482"/>
    </row>
    <row r="292" spans="1:28" ht="15.75" customHeight="1">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c r="AA292" s="482"/>
      <c r="AB292" s="482"/>
    </row>
    <row r="293" spans="1:28" ht="15.75" customHeight="1">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c r="AA293" s="482"/>
      <c r="AB293" s="482"/>
    </row>
    <row r="294" spans="1:28" ht="15.75" customHeight="1">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c r="AA294" s="482"/>
      <c r="AB294" s="482"/>
    </row>
    <row r="295" spans="1:28" ht="15.75" customHeight="1">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c r="AA295" s="482"/>
      <c r="AB295" s="482"/>
    </row>
    <row r="296" spans="1:28" ht="15.75" customHeight="1">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c r="AA296" s="482"/>
      <c r="AB296" s="482"/>
    </row>
    <row r="297" spans="1:28" ht="15.75" customHeight="1">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c r="AA297" s="482"/>
      <c r="AB297" s="482"/>
    </row>
    <row r="298" spans="1:28" ht="15.75" customHeight="1">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c r="AA298" s="482"/>
      <c r="AB298" s="482"/>
    </row>
    <row r="299" spans="1:28" ht="15.75" customHeight="1">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c r="AA299" s="482"/>
      <c r="AB299" s="482"/>
    </row>
    <row r="300" spans="1:28" ht="15.75" customHeight="1">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c r="AA300" s="482"/>
      <c r="AB300" s="482"/>
    </row>
    <row r="301" spans="1:28" ht="15.75" customHeight="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c r="AA301" s="482"/>
      <c r="AB301" s="482"/>
    </row>
    <row r="302" spans="1:28" ht="15.75" customHeight="1">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c r="AA302" s="482"/>
      <c r="AB302" s="482"/>
    </row>
    <row r="303" spans="1:28" ht="15.75" customHeight="1">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c r="AA303" s="482"/>
      <c r="AB303" s="482"/>
    </row>
    <row r="304" spans="1:28" ht="15.75" customHeight="1">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c r="AA304" s="482"/>
      <c r="AB304" s="482"/>
    </row>
    <row r="305" spans="1:28" ht="15.75" customHeight="1">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c r="AA305" s="482"/>
      <c r="AB305" s="482"/>
    </row>
    <row r="306" spans="1:28" ht="15.75" customHeight="1">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c r="AA306" s="482"/>
      <c r="AB306" s="482"/>
    </row>
    <row r="307" spans="1:28" ht="15.75" customHeight="1">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c r="AA307" s="482"/>
      <c r="AB307" s="482"/>
    </row>
    <row r="308" spans="1:28" ht="15.75" customHeight="1">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c r="AA308" s="482"/>
      <c r="AB308" s="482"/>
    </row>
    <row r="309" spans="1:28" ht="15.75" customHeight="1">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c r="AA309" s="482"/>
      <c r="AB309" s="482"/>
    </row>
    <row r="310" spans="1:28" ht="15.75" customHeight="1">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c r="AA310" s="482"/>
      <c r="AB310" s="482"/>
    </row>
    <row r="311" spans="1:28" ht="15.75" customHeight="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c r="AA311" s="482"/>
      <c r="AB311" s="482"/>
    </row>
    <row r="312" spans="1:28" ht="15.75" customHeight="1">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c r="AA312" s="482"/>
      <c r="AB312" s="482"/>
    </row>
    <row r="313" spans="1:28" ht="15.75" customHeight="1">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c r="AA313" s="482"/>
      <c r="AB313" s="482"/>
    </row>
    <row r="314" spans="1:28" ht="15.75" customHeight="1">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c r="AA314" s="482"/>
      <c r="AB314" s="482"/>
    </row>
    <row r="315" spans="1:28" ht="15.75" customHeight="1">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c r="AA315" s="482"/>
      <c r="AB315" s="482"/>
    </row>
    <row r="316" spans="1:28" ht="15.75" customHeight="1">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c r="AA316" s="482"/>
      <c r="AB316" s="482"/>
    </row>
    <row r="317" spans="1:28" ht="15.75" customHeight="1">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c r="AA317" s="482"/>
      <c r="AB317" s="482"/>
    </row>
    <row r="318" spans="1:28" ht="15.75" customHeight="1">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c r="AA318" s="482"/>
      <c r="AB318" s="482"/>
    </row>
    <row r="319" spans="1:28" ht="15.75" customHeight="1">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c r="AA319" s="482"/>
      <c r="AB319" s="482"/>
    </row>
    <row r="320" spans="1:28" ht="15.75" customHeight="1">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c r="AA320" s="482"/>
      <c r="AB320" s="482"/>
    </row>
    <row r="321" spans="1:28" ht="15.75" customHeight="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c r="AA321" s="482"/>
      <c r="AB321" s="482"/>
    </row>
    <row r="322" spans="1:28" ht="15.75" customHeight="1">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c r="AA322" s="482"/>
      <c r="AB322" s="482"/>
    </row>
    <row r="323" spans="1:28" ht="15.75" customHeight="1">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c r="AA323" s="482"/>
      <c r="AB323" s="482"/>
    </row>
    <row r="324" spans="1:28" ht="15.75" customHeight="1">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c r="AA324" s="482"/>
      <c r="AB324" s="482"/>
    </row>
    <row r="325" spans="1:28" ht="15.75" customHeight="1">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c r="AA325" s="482"/>
      <c r="AB325" s="482"/>
    </row>
    <row r="326" spans="1:28" ht="15.75" customHeight="1">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c r="AA326" s="482"/>
      <c r="AB326" s="482"/>
    </row>
    <row r="327" spans="1:28" ht="15.75" customHeight="1">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c r="AA327" s="482"/>
      <c r="AB327" s="482"/>
    </row>
    <row r="328" spans="1:28" ht="15.75" customHeight="1">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c r="AA328" s="482"/>
      <c r="AB328" s="482"/>
    </row>
    <row r="329" spans="1:28" ht="15.75" customHeight="1">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c r="AA329" s="482"/>
      <c r="AB329" s="482"/>
    </row>
    <row r="330" spans="1:28" ht="15.75" customHeight="1">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c r="AA330" s="482"/>
      <c r="AB330" s="482"/>
    </row>
    <row r="331" spans="1:28" ht="15.75" customHeight="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c r="AA331" s="482"/>
      <c r="AB331" s="482"/>
    </row>
    <row r="332" spans="1:28" ht="15.75" customHeight="1">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c r="AA332" s="482"/>
      <c r="AB332" s="482"/>
    </row>
    <row r="333" spans="1:28" ht="15.75" customHeight="1">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c r="AA333" s="482"/>
      <c r="AB333" s="482"/>
    </row>
    <row r="334" spans="1:28" ht="15.75" customHeight="1">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c r="AA334" s="482"/>
      <c r="AB334" s="482"/>
    </row>
    <row r="335" spans="1:28" ht="15.75" customHeight="1">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c r="AA335" s="482"/>
      <c r="AB335" s="482"/>
    </row>
    <row r="336" spans="1:28" ht="15.75" customHeight="1">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c r="AA336" s="482"/>
      <c r="AB336" s="482"/>
    </row>
    <row r="337" spans="1:28" ht="15.75" customHeight="1">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c r="AA337" s="482"/>
      <c r="AB337" s="482"/>
    </row>
    <row r="338" spans="1:28" ht="15.75" customHeight="1">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c r="AA338" s="482"/>
      <c r="AB338" s="482"/>
    </row>
    <row r="339" spans="1:28" ht="15.75" customHeight="1">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c r="AA339" s="482"/>
      <c r="AB339" s="482"/>
    </row>
    <row r="340" spans="1:28" ht="15.75" customHeight="1">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c r="AA340" s="482"/>
      <c r="AB340" s="482"/>
    </row>
    <row r="341" spans="1:28" ht="15.75" customHeight="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c r="AA341" s="482"/>
      <c r="AB341" s="482"/>
    </row>
    <row r="342" spans="1:28" ht="15.75" customHeight="1">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c r="AA342" s="482"/>
      <c r="AB342" s="482"/>
    </row>
    <row r="343" spans="1:28" ht="15.75" customHeight="1">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c r="AA343" s="482"/>
      <c r="AB343" s="482"/>
    </row>
    <row r="344" spans="1:28" ht="15.75" customHeight="1">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c r="AA344" s="482"/>
      <c r="AB344" s="482"/>
    </row>
    <row r="345" spans="1:28" ht="15.75" customHeight="1">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c r="AA345" s="482"/>
      <c r="AB345" s="482"/>
    </row>
    <row r="346" spans="1:28" ht="15.75" customHeight="1">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c r="AA346" s="482"/>
      <c r="AB346" s="482"/>
    </row>
    <row r="347" spans="1:28" ht="15.75" customHeight="1">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c r="AA347" s="482"/>
      <c r="AB347" s="482"/>
    </row>
    <row r="348" spans="1:28" ht="15.75" customHeight="1">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c r="AA348" s="482"/>
      <c r="AB348" s="482"/>
    </row>
    <row r="349" spans="1:28" ht="15.75" customHeight="1">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c r="AA349" s="482"/>
      <c r="AB349" s="482"/>
    </row>
    <row r="350" spans="1:28" ht="15.75" customHeight="1">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c r="AA350" s="482"/>
      <c r="AB350" s="482"/>
    </row>
    <row r="351" spans="1:28" ht="15.75" customHeight="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c r="AA351" s="482"/>
      <c r="AB351" s="482"/>
    </row>
    <row r="352" spans="1:28" ht="15.75" customHeight="1">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c r="AA352" s="482"/>
      <c r="AB352" s="482"/>
    </row>
    <row r="353" spans="1:28" ht="15.75" customHeight="1">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c r="AA353" s="482"/>
      <c r="AB353" s="482"/>
    </row>
    <row r="354" spans="1:28" ht="15.75" customHeight="1">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c r="AA354" s="482"/>
      <c r="AB354" s="482"/>
    </row>
    <row r="355" spans="1:28" ht="15.75" customHeight="1">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c r="AA355" s="482"/>
      <c r="AB355" s="482"/>
    </row>
    <row r="356" spans="1:28" ht="15.75" customHeight="1">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c r="AA356" s="482"/>
      <c r="AB356" s="482"/>
    </row>
    <row r="357" spans="1:28" ht="15.75" customHeight="1">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c r="AA357" s="482"/>
      <c r="AB357" s="482"/>
    </row>
    <row r="358" spans="1:28" ht="15.75" customHeight="1">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c r="AA358" s="482"/>
      <c r="AB358" s="482"/>
    </row>
    <row r="359" spans="1:28" ht="15.75" customHeight="1">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c r="AA359" s="482"/>
      <c r="AB359" s="482"/>
    </row>
    <row r="360" spans="1:28" ht="15.75" customHeight="1">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c r="AA360" s="482"/>
      <c r="AB360" s="482"/>
    </row>
    <row r="361" spans="1:28" ht="15.75" customHeight="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c r="AA361" s="482"/>
      <c r="AB361" s="482"/>
    </row>
    <row r="362" spans="1:28" ht="15.75" customHeight="1">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c r="AA362" s="482"/>
      <c r="AB362" s="482"/>
    </row>
    <row r="363" spans="1:28" ht="15.75" customHeight="1">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c r="AA363" s="482"/>
      <c r="AB363" s="482"/>
    </row>
    <row r="364" spans="1:28" ht="15.75" customHeight="1">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c r="AA364" s="482"/>
      <c r="AB364" s="482"/>
    </row>
    <row r="365" spans="1:28" ht="15.75" customHeight="1">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c r="AA365" s="482"/>
      <c r="AB365" s="482"/>
    </row>
    <row r="366" spans="1:28" ht="15.75" customHeight="1">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c r="AA366" s="482"/>
      <c r="AB366" s="482"/>
    </row>
    <row r="367" spans="1:28" ht="15.75" customHeight="1">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c r="AA367" s="482"/>
      <c r="AB367" s="482"/>
    </row>
    <row r="368" spans="1:28" ht="15.75" customHeight="1">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c r="AA368" s="482"/>
      <c r="AB368" s="482"/>
    </row>
    <row r="369" spans="1:28" ht="15.75" customHeight="1">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c r="AA369" s="482"/>
      <c r="AB369" s="482"/>
    </row>
    <row r="370" spans="1:28" ht="15.75" customHeight="1">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c r="AA370" s="482"/>
      <c r="AB370" s="482"/>
    </row>
    <row r="371" spans="1:28" ht="15.75" customHeight="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c r="AA371" s="482"/>
      <c r="AB371" s="482"/>
    </row>
    <row r="372" spans="1:28" ht="15.75" customHeight="1">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c r="AA372" s="482"/>
      <c r="AB372" s="482"/>
    </row>
    <row r="373" spans="1:28" ht="15.75" customHeight="1">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c r="AA373" s="482"/>
      <c r="AB373" s="482"/>
    </row>
    <row r="374" spans="1:28" ht="15.75" customHeight="1">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c r="AA374" s="482"/>
      <c r="AB374" s="482"/>
    </row>
    <row r="375" spans="1:28" ht="15.75" customHeight="1">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c r="AA375" s="482"/>
      <c r="AB375" s="482"/>
    </row>
    <row r="376" spans="1:28" ht="15.75" customHeight="1">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c r="AA376" s="482"/>
      <c r="AB376" s="482"/>
    </row>
    <row r="377" spans="1:28" ht="15.75" customHeight="1">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c r="AA377" s="482"/>
      <c r="AB377" s="482"/>
    </row>
    <row r="378" spans="1:28" ht="15.75" customHeight="1">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c r="AA378" s="482"/>
      <c r="AB378" s="482"/>
    </row>
    <row r="379" spans="1:28" ht="15.75" customHeight="1">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c r="AA379" s="482"/>
      <c r="AB379" s="482"/>
    </row>
    <row r="380" spans="1:28" ht="15.75" customHeight="1">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c r="AA380" s="482"/>
      <c r="AB380" s="482"/>
    </row>
    <row r="381" spans="1:28" ht="15.75" customHeight="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c r="AA381" s="482"/>
      <c r="AB381" s="482"/>
    </row>
    <row r="382" spans="1:28" ht="15.75" customHeight="1">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c r="AA382" s="482"/>
      <c r="AB382" s="482"/>
    </row>
    <row r="383" spans="1:28" ht="15.75" customHeight="1">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c r="AA383" s="482"/>
      <c r="AB383" s="482"/>
    </row>
    <row r="384" spans="1:28" ht="15.75" customHeight="1">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c r="AA384" s="482"/>
      <c r="AB384" s="482"/>
    </row>
    <row r="385" spans="1:28" ht="15.75" customHeight="1">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c r="AA385" s="482"/>
      <c r="AB385" s="482"/>
    </row>
    <row r="386" spans="1:28" ht="15.75" customHeight="1">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c r="AA386" s="482"/>
      <c r="AB386" s="482"/>
    </row>
    <row r="387" spans="1:28" ht="15.75" customHeight="1">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c r="AA387" s="482"/>
      <c r="AB387" s="482"/>
    </row>
    <row r="388" spans="1:28" ht="15.75" customHeight="1">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c r="AA388" s="482"/>
      <c r="AB388" s="482"/>
    </row>
    <row r="389" spans="1:28" ht="15.75" customHeight="1">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c r="AA389" s="482"/>
      <c r="AB389" s="482"/>
    </row>
    <row r="390" spans="1:28" ht="15.75" customHeight="1">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c r="AA390" s="482"/>
      <c r="AB390" s="482"/>
    </row>
    <row r="391" spans="1:28" ht="15.75" customHeight="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c r="AA391" s="482"/>
      <c r="AB391" s="482"/>
    </row>
    <row r="392" spans="1:28" ht="15.75" customHeight="1">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c r="AA392" s="482"/>
      <c r="AB392" s="482"/>
    </row>
    <row r="393" spans="1:28" ht="15.75" customHeight="1">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c r="AA393" s="482"/>
      <c r="AB393" s="482"/>
    </row>
    <row r="394" spans="1:28" ht="15.75" customHeight="1">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c r="AA394" s="482"/>
      <c r="AB394" s="482"/>
    </row>
    <row r="395" spans="1:28" ht="15.75" customHeight="1">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c r="AA395" s="482"/>
      <c r="AB395" s="482"/>
    </row>
    <row r="396" spans="1:28" ht="15.75" customHeight="1">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c r="AA396" s="482"/>
      <c r="AB396" s="482"/>
    </row>
    <row r="397" spans="1:28" ht="15.75" customHeight="1">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c r="AA397" s="482"/>
      <c r="AB397" s="482"/>
    </row>
    <row r="398" spans="1:28" ht="15.75" customHeight="1">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c r="AA398" s="482"/>
      <c r="AB398" s="482"/>
    </row>
    <row r="399" spans="1:28" ht="15.75" customHeight="1">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c r="AA399" s="482"/>
      <c r="AB399" s="482"/>
    </row>
    <row r="400" spans="1:28" ht="15.75" customHeight="1">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c r="AA400" s="482"/>
      <c r="AB400" s="482"/>
    </row>
    <row r="401" spans="1:28" ht="15.75" customHeight="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c r="AA401" s="482"/>
      <c r="AB401" s="482"/>
    </row>
    <row r="402" spans="1:28" ht="15.75" customHeight="1">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c r="AA402" s="482"/>
      <c r="AB402" s="482"/>
    </row>
    <row r="403" spans="1:28" ht="15.75" customHeight="1">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c r="AA403" s="482"/>
      <c r="AB403" s="482"/>
    </row>
    <row r="404" spans="1:28" ht="15.75" customHeight="1">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c r="AA404" s="482"/>
      <c r="AB404" s="482"/>
    </row>
    <row r="405" spans="1:28" ht="15.75" customHeight="1">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c r="AA405" s="482"/>
      <c r="AB405" s="482"/>
    </row>
    <row r="406" spans="1:28" ht="15.75" customHeight="1">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c r="AA406" s="482"/>
      <c r="AB406" s="482"/>
    </row>
    <row r="407" spans="1:28" ht="15.75" customHeight="1">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c r="AA407" s="482"/>
      <c r="AB407" s="482"/>
    </row>
    <row r="408" spans="1:28" ht="15.75" customHeight="1">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c r="AA408" s="482"/>
      <c r="AB408" s="482"/>
    </row>
    <row r="409" spans="1:28" ht="15.75" customHeight="1">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c r="AA409" s="482"/>
      <c r="AB409" s="482"/>
    </row>
    <row r="410" spans="1:28" ht="15.75" customHeight="1">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c r="AA410" s="482"/>
      <c r="AB410" s="482"/>
    </row>
    <row r="411" spans="1:28" ht="15.75" customHeight="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c r="AA411" s="482"/>
      <c r="AB411" s="482"/>
    </row>
    <row r="412" spans="1:28" ht="15.75" customHeight="1">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c r="AA412" s="482"/>
      <c r="AB412" s="482"/>
    </row>
    <row r="413" spans="1:28" ht="15.75" customHeight="1">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c r="AA413" s="482"/>
      <c r="AB413" s="482"/>
    </row>
    <row r="414" spans="1:28" ht="15.75" customHeight="1">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c r="AA414" s="482"/>
      <c r="AB414" s="482"/>
    </row>
    <row r="415" spans="1:28" ht="15.75" customHeight="1">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c r="AA415" s="482"/>
      <c r="AB415" s="482"/>
    </row>
    <row r="416" spans="1:28" ht="15.75" customHeight="1">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c r="AA416" s="482"/>
      <c r="AB416" s="482"/>
    </row>
    <row r="417" spans="1:28" ht="15.75" customHeight="1">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c r="AA417" s="482"/>
      <c r="AB417" s="482"/>
    </row>
    <row r="418" spans="1:28" ht="15.75" customHeight="1">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c r="AA418" s="482"/>
      <c r="AB418" s="482"/>
    </row>
    <row r="419" spans="1:28" ht="15.75" customHeight="1">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c r="AA419" s="482"/>
      <c r="AB419" s="482"/>
    </row>
    <row r="420" spans="1:28" ht="15.75" customHeight="1">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c r="AA420" s="482"/>
      <c r="AB420" s="482"/>
    </row>
    <row r="421" spans="1:28" ht="15.75" customHeight="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c r="AA421" s="482"/>
      <c r="AB421" s="482"/>
    </row>
    <row r="422" spans="1:28" ht="15.75" customHeight="1">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c r="AA422" s="482"/>
      <c r="AB422" s="482"/>
    </row>
    <row r="423" spans="1:28" ht="15.75" customHeight="1">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c r="AA423" s="482"/>
      <c r="AB423" s="482"/>
    </row>
    <row r="424" spans="1:28" ht="15.75" customHeight="1">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c r="AA424" s="482"/>
      <c r="AB424" s="482"/>
    </row>
    <row r="425" spans="1:28" ht="15.75" customHeight="1">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c r="AA425" s="482"/>
      <c r="AB425" s="482"/>
    </row>
    <row r="426" spans="1:28" ht="15.75" customHeight="1">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c r="AA426" s="482"/>
      <c r="AB426" s="482"/>
    </row>
    <row r="427" spans="1:28" ht="15.75" customHeight="1">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c r="AA427" s="482"/>
      <c r="AB427" s="482"/>
    </row>
    <row r="428" spans="1:28" ht="15.75" customHeight="1">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c r="AA428" s="482"/>
      <c r="AB428" s="482"/>
    </row>
    <row r="429" spans="1:28" ht="15.75" customHeight="1">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c r="AA429" s="482"/>
      <c r="AB429" s="482"/>
    </row>
    <row r="430" spans="1:28" ht="15.75" customHeight="1">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c r="AA430" s="482"/>
      <c r="AB430" s="482"/>
    </row>
    <row r="431" spans="1:28" ht="15.75" customHeight="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c r="AA431" s="482"/>
      <c r="AB431" s="482"/>
    </row>
    <row r="432" spans="1:28" ht="15.75" customHeight="1">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c r="AA432" s="482"/>
      <c r="AB432" s="482"/>
    </row>
    <row r="433" spans="1:28" ht="15.75" customHeight="1">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c r="AA433" s="482"/>
      <c r="AB433" s="482"/>
    </row>
    <row r="434" spans="1:28" ht="15.75" customHeight="1">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c r="AA434" s="482"/>
      <c r="AB434" s="482"/>
    </row>
    <row r="435" spans="1:28" ht="15.75" customHeight="1">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c r="AA435" s="482"/>
      <c r="AB435" s="482"/>
    </row>
    <row r="436" spans="1:28" ht="15.75" customHeight="1">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c r="AA436" s="482"/>
      <c r="AB436" s="482"/>
    </row>
    <row r="437" spans="1:28" ht="15.75" customHeight="1">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c r="AA437" s="482"/>
      <c r="AB437" s="482"/>
    </row>
    <row r="438" spans="1:28" ht="15.75" customHeight="1">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c r="AA438" s="482"/>
      <c r="AB438" s="482"/>
    </row>
    <row r="439" spans="1:28" ht="15.75" customHeight="1">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c r="AA439" s="482"/>
      <c r="AB439" s="482"/>
    </row>
    <row r="440" spans="1:28" ht="15.75" customHeight="1">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c r="AA440" s="482"/>
      <c r="AB440" s="482"/>
    </row>
    <row r="441" spans="1:28" ht="15.75" customHeight="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c r="AA441" s="482"/>
      <c r="AB441" s="482"/>
    </row>
    <row r="442" spans="1:28" ht="15.75" customHeight="1">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c r="AA442" s="482"/>
      <c r="AB442" s="482"/>
    </row>
    <row r="443" spans="1:28" ht="15.75" customHeight="1">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c r="AA443" s="482"/>
      <c r="AB443" s="482"/>
    </row>
    <row r="444" spans="1:28" ht="15.75" customHeight="1">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c r="AA444" s="482"/>
      <c r="AB444" s="482"/>
    </row>
    <row r="445" spans="1:28" ht="15.75" customHeight="1">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c r="AA445" s="482"/>
      <c r="AB445" s="482"/>
    </row>
    <row r="446" spans="1:28" ht="15.75" customHeight="1">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c r="AA446" s="482"/>
      <c r="AB446" s="482"/>
    </row>
    <row r="447" spans="1:28" ht="15.75" customHeight="1">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c r="AA447" s="482"/>
      <c r="AB447" s="482"/>
    </row>
    <row r="448" spans="1:28" ht="15.75" customHeight="1">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c r="AA448" s="482"/>
      <c r="AB448" s="482"/>
    </row>
    <row r="449" spans="1:28" ht="15.75" customHeight="1">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c r="AA449" s="482"/>
      <c r="AB449" s="482"/>
    </row>
    <row r="450" spans="1:28" ht="15.75" customHeight="1">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c r="AA450" s="482"/>
      <c r="AB450" s="482"/>
    </row>
    <row r="451" spans="1:28" ht="15.75" customHeight="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c r="AA451" s="482"/>
      <c r="AB451" s="482"/>
    </row>
    <row r="452" spans="1:28" ht="15.75" customHeight="1">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c r="AA452" s="482"/>
      <c r="AB452" s="482"/>
    </row>
    <row r="453" spans="1:28" ht="15.75" customHeight="1">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c r="AA453" s="482"/>
      <c r="AB453" s="482"/>
    </row>
    <row r="454" spans="1:28" ht="15.75" customHeight="1">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c r="AA454" s="482"/>
      <c r="AB454" s="482"/>
    </row>
    <row r="455" spans="1:28" ht="15.75" customHeight="1">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c r="AA455" s="482"/>
      <c r="AB455" s="482"/>
    </row>
    <row r="456" spans="1:28" ht="15.75" customHeight="1">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c r="AA456" s="482"/>
      <c r="AB456" s="482"/>
    </row>
    <row r="457" spans="1:28" ht="15.75" customHeight="1">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c r="AA457" s="482"/>
      <c r="AB457" s="482"/>
    </row>
    <row r="458" spans="1:28" ht="15.75" customHeight="1">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c r="AA458" s="482"/>
      <c r="AB458" s="482"/>
    </row>
    <row r="459" spans="1:28" ht="15.75" customHeight="1">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c r="AA459" s="482"/>
      <c r="AB459" s="482"/>
    </row>
    <row r="460" spans="1:28" ht="15.75" customHeight="1">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c r="AA460" s="482"/>
      <c r="AB460" s="482"/>
    </row>
    <row r="461" spans="1:28" ht="15.75" customHeight="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c r="AA461" s="482"/>
      <c r="AB461" s="482"/>
    </row>
    <row r="462" spans="1:28" ht="15.75" customHeight="1">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c r="AA462" s="482"/>
      <c r="AB462" s="482"/>
    </row>
    <row r="463" spans="1:28" ht="15.75" customHeight="1">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c r="AA463" s="482"/>
      <c r="AB463" s="482"/>
    </row>
    <row r="464" spans="1:28" ht="15.75" customHeight="1">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c r="AA464" s="482"/>
      <c r="AB464" s="482"/>
    </row>
    <row r="465" spans="1:28" ht="15.75" customHeight="1">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c r="AA465" s="482"/>
      <c r="AB465" s="482"/>
    </row>
    <row r="466" spans="1:28" ht="15.75" customHeight="1">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c r="AA466" s="482"/>
      <c r="AB466" s="482"/>
    </row>
    <row r="467" spans="1:28" ht="15.75" customHeight="1">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c r="AA467" s="482"/>
      <c r="AB467" s="482"/>
    </row>
    <row r="468" spans="1:28" ht="15.75" customHeight="1">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c r="AA468" s="482"/>
      <c r="AB468" s="482"/>
    </row>
    <row r="469" spans="1:28" ht="15.75" customHeight="1">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c r="AA469" s="482"/>
      <c r="AB469" s="482"/>
    </row>
    <row r="470" spans="1:28" ht="15.75" customHeight="1">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c r="AA470" s="482"/>
      <c r="AB470" s="482"/>
    </row>
    <row r="471" spans="1:28" ht="15.75" customHeight="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c r="AA471" s="482"/>
      <c r="AB471" s="482"/>
    </row>
    <row r="472" spans="1:28" ht="15.75" customHeight="1">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c r="AA472" s="482"/>
      <c r="AB472" s="482"/>
    </row>
    <row r="473" spans="1:28" ht="15.75" customHeight="1">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c r="AA473" s="482"/>
      <c r="AB473" s="482"/>
    </row>
    <row r="474" spans="1:28" ht="15.75" customHeight="1">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c r="AA474" s="482"/>
      <c r="AB474" s="482"/>
    </row>
    <row r="475" spans="1:28" ht="15.75" customHeight="1">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c r="AA475" s="482"/>
      <c r="AB475" s="482"/>
    </row>
    <row r="476" spans="1:28" ht="15.75" customHeight="1">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c r="AA476" s="482"/>
      <c r="AB476" s="482"/>
    </row>
    <row r="477" spans="1:28" ht="15.75" customHeight="1">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c r="AA477" s="482"/>
      <c r="AB477" s="482"/>
    </row>
    <row r="478" spans="1:28" ht="15.75" customHeight="1">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c r="AA478" s="482"/>
      <c r="AB478" s="482"/>
    </row>
    <row r="479" spans="1:28" ht="15.75" customHeight="1">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c r="AA479" s="482"/>
      <c r="AB479" s="482"/>
    </row>
    <row r="480" spans="1:28" ht="15.75" customHeight="1">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c r="AA480" s="482"/>
      <c r="AB480" s="482"/>
    </row>
    <row r="481" spans="1:28" ht="15.75" customHeight="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c r="AA481" s="482"/>
      <c r="AB481" s="482"/>
    </row>
    <row r="482" spans="1:28" ht="15.75" customHeight="1">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c r="AA482" s="482"/>
      <c r="AB482" s="482"/>
    </row>
    <row r="483" spans="1:28" ht="15.75" customHeight="1">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c r="AA483" s="482"/>
      <c r="AB483" s="482"/>
    </row>
    <row r="484" spans="1:28" ht="15.75" customHeight="1">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c r="AA484" s="482"/>
      <c r="AB484" s="482"/>
    </row>
    <row r="485" spans="1:28" ht="15.75" customHeight="1">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c r="AA485" s="482"/>
      <c r="AB485" s="482"/>
    </row>
    <row r="486" spans="1:28" ht="15.75" customHeight="1">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c r="AA486" s="482"/>
      <c r="AB486" s="482"/>
    </row>
    <row r="487" spans="1:28" ht="15.75" customHeight="1">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c r="AA487" s="482"/>
      <c r="AB487" s="482"/>
    </row>
    <row r="488" spans="1:28" ht="15.75" customHeight="1">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c r="AA488" s="482"/>
      <c r="AB488" s="482"/>
    </row>
    <row r="489" spans="1:28" ht="15.75" customHeight="1">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c r="AA489" s="482"/>
      <c r="AB489" s="482"/>
    </row>
    <row r="490" spans="1:28" ht="15.75" customHeight="1">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c r="AA490" s="482"/>
      <c r="AB490" s="482"/>
    </row>
    <row r="491" spans="1:28" ht="15.75" customHeight="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c r="AA491" s="482"/>
      <c r="AB491" s="482"/>
    </row>
    <row r="492" spans="1:28" ht="15.75" customHeight="1">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c r="AA492" s="482"/>
      <c r="AB492" s="482"/>
    </row>
    <row r="493" spans="1:28" ht="15.75" customHeight="1">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c r="AA493" s="482"/>
      <c r="AB493" s="482"/>
    </row>
    <row r="494" spans="1:28" ht="15.75" customHeight="1">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c r="AA494" s="482"/>
      <c r="AB494" s="482"/>
    </row>
    <row r="495" spans="1:28" ht="15.75" customHeight="1">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c r="AA495" s="482"/>
      <c r="AB495" s="482"/>
    </row>
    <row r="496" spans="1:28" ht="15.75" customHeight="1">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c r="AA496" s="482"/>
      <c r="AB496" s="482"/>
    </row>
    <row r="497" spans="1:28" ht="15.75" customHeight="1">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c r="AA497" s="482"/>
      <c r="AB497" s="482"/>
    </row>
    <row r="498" spans="1:28" ht="15.75" customHeight="1">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c r="AA498" s="482"/>
      <c r="AB498" s="482"/>
    </row>
    <row r="499" spans="1:28" ht="15.75" customHeight="1">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c r="AA499" s="482"/>
      <c r="AB499" s="482"/>
    </row>
    <row r="500" spans="1:28" ht="15.75" customHeight="1">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c r="AA500" s="482"/>
      <c r="AB500" s="482"/>
    </row>
    <row r="501" spans="1:28" ht="15.75" customHeight="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c r="AA501" s="482"/>
      <c r="AB501" s="482"/>
    </row>
    <row r="502" spans="1:28" ht="15.75" customHeight="1">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c r="AA502" s="482"/>
      <c r="AB502" s="482"/>
    </row>
    <row r="503" spans="1:28" ht="15.75" customHeight="1">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c r="AA503" s="482"/>
      <c r="AB503" s="482"/>
    </row>
    <row r="504" spans="1:28" ht="15.75" customHeight="1">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c r="AA504" s="482"/>
      <c r="AB504" s="482"/>
    </row>
    <row r="505" spans="1:28" ht="15.75" customHeight="1">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c r="AA505" s="482"/>
      <c r="AB505" s="482"/>
    </row>
    <row r="506" spans="1:28" ht="15.75" customHeight="1">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c r="AA506" s="482"/>
      <c r="AB506" s="482"/>
    </row>
    <row r="507" spans="1:28" ht="15.75" customHeight="1">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c r="AA507" s="482"/>
      <c r="AB507" s="482"/>
    </row>
    <row r="508" spans="1:28" ht="15.75" customHeight="1">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c r="AA508" s="482"/>
      <c r="AB508" s="482"/>
    </row>
    <row r="509" spans="1:28" ht="15.75" customHeight="1">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c r="AA509" s="482"/>
      <c r="AB509" s="482"/>
    </row>
    <row r="510" spans="1:28" ht="15.75" customHeight="1">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c r="AA510" s="482"/>
      <c r="AB510" s="482"/>
    </row>
    <row r="511" spans="1:28" ht="15.75" customHeight="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c r="AA511" s="482"/>
      <c r="AB511" s="482"/>
    </row>
    <row r="512" spans="1:28" ht="15.75" customHeight="1">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c r="AA512" s="482"/>
      <c r="AB512" s="482"/>
    </row>
    <row r="513" spans="1:28" ht="15.75" customHeight="1">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c r="AA513" s="482"/>
      <c r="AB513" s="482"/>
    </row>
    <row r="514" spans="1:28" ht="15.75" customHeight="1">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c r="AA514" s="482"/>
      <c r="AB514" s="482"/>
    </row>
    <row r="515" spans="1:28" ht="15.75" customHeight="1">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c r="AA515" s="482"/>
      <c r="AB515" s="482"/>
    </row>
    <row r="516" spans="1:28" ht="15.75" customHeight="1">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c r="AA516" s="482"/>
      <c r="AB516" s="482"/>
    </row>
    <row r="517" spans="1:28" ht="15.75" customHeight="1">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c r="AA517" s="482"/>
      <c r="AB517" s="482"/>
    </row>
    <row r="518" spans="1:28" ht="15.75" customHeight="1">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c r="AA518" s="482"/>
      <c r="AB518" s="482"/>
    </row>
    <row r="519" spans="1:28" ht="15.75" customHeight="1">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c r="AA519" s="482"/>
      <c r="AB519" s="482"/>
    </row>
    <row r="520" spans="1:28" ht="15.75" customHeight="1">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c r="AA520" s="482"/>
      <c r="AB520" s="482"/>
    </row>
    <row r="521" spans="1:28" ht="15.75" customHeight="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c r="AA521" s="482"/>
      <c r="AB521" s="482"/>
    </row>
    <row r="522" spans="1:28" ht="15.75" customHeight="1">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c r="AA522" s="482"/>
      <c r="AB522" s="482"/>
    </row>
    <row r="523" spans="1:28" ht="15.75" customHeight="1">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c r="AA523" s="482"/>
      <c r="AB523" s="482"/>
    </row>
    <row r="524" spans="1:28" ht="15.75" customHeight="1">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c r="AA524" s="482"/>
      <c r="AB524" s="482"/>
    </row>
    <row r="525" spans="1:28" ht="15.75" customHeight="1">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c r="AA525" s="482"/>
      <c r="AB525" s="482"/>
    </row>
    <row r="526" spans="1:28" ht="15.75" customHeight="1">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c r="AA526" s="482"/>
      <c r="AB526" s="482"/>
    </row>
    <row r="527" spans="1:28" ht="15.75" customHeight="1">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c r="AA527" s="482"/>
      <c r="AB527" s="482"/>
    </row>
    <row r="528" spans="1:28" ht="15.75" customHeight="1">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c r="AA528" s="482"/>
      <c r="AB528" s="482"/>
    </row>
    <row r="529" spans="1:28" ht="15.75" customHeight="1">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c r="AA529" s="482"/>
      <c r="AB529" s="482"/>
    </row>
    <row r="530" spans="1:28" ht="15.75" customHeight="1">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c r="AA530" s="482"/>
      <c r="AB530" s="482"/>
    </row>
    <row r="531" spans="1:28" ht="15.75" customHeight="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c r="AA531" s="482"/>
      <c r="AB531" s="482"/>
    </row>
    <row r="532" spans="1:28" ht="15.75" customHeight="1">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c r="AA532" s="482"/>
      <c r="AB532" s="482"/>
    </row>
    <row r="533" spans="1:28" ht="15.75" customHeight="1">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c r="AA533" s="482"/>
      <c r="AB533" s="482"/>
    </row>
    <row r="534" spans="1:28" ht="15.75" customHeight="1">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c r="AA534" s="482"/>
      <c r="AB534" s="482"/>
    </row>
    <row r="535" spans="1:28" ht="15.75" customHeight="1">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c r="AA535" s="482"/>
      <c r="AB535" s="482"/>
    </row>
    <row r="536" spans="1:28" ht="15.75" customHeight="1">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c r="AA536" s="482"/>
      <c r="AB536" s="482"/>
    </row>
    <row r="537" spans="1:28" ht="15.75" customHeight="1">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c r="AA537" s="482"/>
      <c r="AB537" s="482"/>
    </row>
    <row r="538" spans="1:28" ht="15.75" customHeight="1">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c r="AA538" s="482"/>
      <c r="AB538" s="482"/>
    </row>
    <row r="539" spans="1:28" ht="15.75" customHeight="1">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c r="AA539" s="482"/>
      <c r="AB539" s="482"/>
    </row>
    <row r="540" spans="1:28" ht="15.75" customHeight="1">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c r="AA540" s="482"/>
      <c r="AB540" s="482"/>
    </row>
    <row r="541" spans="1:28" ht="15.75" customHeight="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c r="AA541" s="482"/>
      <c r="AB541" s="482"/>
    </row>
    <row r="542" spans="1:28" ht="15.75" customHeight="1">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c r="AA542" s="482"/>
      <c r="AB542" s="482"/>
    </row>
    <row r="543" spans="1:28" ht="15.75" customHeight="1">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c r="AA543" s="482"/>
      <c r="AB543" s="482"/>
    </row>
    <row r="544" spans="1:28" ht="15.75" customHeight="1">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c r="AA544" s="482"/>
      <c r="AB544" s="482"/>
    </row>
    <row r="545" spans="1:28" ht="15.75" customHeight="1">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c r="AA545" s="482"/>
      <c r="AB545" s="482"/>
    </row>
    <row r="546" spans="1:28" ht="15.75" customHeight="1">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c r="AA546" s="482"/>
      <c r="AB546" s="482"/>
    </row>
    <row r="547" spans="1:28" ht="15.75" customHeight="1">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c r="AA547" s="482"/>
      <c r="AB547" s="482"/>
    </row>
    <row r="548" spans="1:28" ht="15.75" customHeight="1">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c r="AA548" s="482"/>
      <c r="AB548" s="482"/>
    </row>
    <row r="549" spans="1:28" ht="15.75" customHeight="1">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c r="AA549" s="482"/>
      <c r="AB549" s="482"/>
    </row>
    <row r="550" spans="1:28" ht="15.75" customHeight="1">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c r="AA550" s="482"/>
      <c r="AB550" s="482"/>
    </row>
    <row r="551" spans="1:28" ht="15.75" customHeight="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c r="AA551" s="482"/>
      <c r="AB551" s="482"/>
    </row>
    <row r="552" spans="1:28" ht="15.75" customHeight="1">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c r="AA552" s="482"/>
      <c r="AB552" s="482"/>
    </row>
    <row r="553" spans="1:28" ht="15.75" customHeight="1">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c r="AA553" s="482"/>
      <c r="AB553" s="482"/>
    </row>
    <row r="554" spans="1:28" ht="15.75" customHeight="1">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c r="AA554" s="482"/>
      <c r="AB554" s="482"/>
    </row>
    <row r="555" spans="1:28" ht="15.75" customHeight="1">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c r="AA555" s="482"/>
      <c r="AB555" s="482"/>
    </row>
    <row r="556" spans="1:28" ht="15.75" customHeight="1">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c r="AA556" s="482"/>
      <c r="AB556" s="482"/>
    </row>
    <row r="557" spans="1:28" ht="15.75" customHeight="1">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c r="AA557" s="482"/>
      <c r="AB557" s="482"/>
    </row>
    <row r="558" spans="1:28" ht="15.75" customHeight="1">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c r="AA558" s="482"/>
      <c r="AB558" s="482"/>
    </row>
    <row r="559" spans="1:28" ht="15.75" customHeight="1">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c r="AA559" s="482"/>
      <c r="AB559" s="482"/>
    </row>
    <row r="560" spans="1:28" ht="15.75" customHeight="1">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c r="AA560" s="482"/>
      <c r="AB560" s="482"/>
    </row>
    <row r="561" spans="1:28" ht="15.75" customHeight="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c r="AA561" s="482"/>
      <c r="AB561" s="482"/>
    </row>
    <row r="562" spans="1:28" ht="15.75" customHeight="1">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c r="AA562" s="482"/>
      <c r="AB562" s="482"/>
    </row>
    <row r="563" spans="1:28" ht="15.75" customHeight="1">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c r="AA563" s="482"/>
      <c r="AB563" s="482"/>
    </row>
    <row r="564" spans="1:28" ht="15.75" customHeight="1">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c r="AA564" s="482"/>
      <c r="AB564" s="482"/>
    </row>
    <row r="565" spans="1:28" ht="15.75" customHeight="1">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c r="AA565" s="482"/>
      <c r="AB565" s="482"/>
    </row>
    <row r="566" spans="1:28" ht="15.75" customHeight="1">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c r="AA566" s="482"/>
      <c r="AB566" s="482"/>
    </row>
    <row r="567" spans="1:28" ht="15.75" customHeight="1">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c r="AA567" s="482"/>
      <c r="AB567" s="482"/>
    </row>
    <row r="568" spans="1:28" ht="15.75" customHeight="1">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c r="AA568" s="482"/>
      <c r="AB568" s="482"/>
    </row>
    <row r="569" spans="1:28" ht="15.75" customHeight="1">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c r="AA569" s="482"/>
      <c r="AB569" s="482"/>
    </row>
    <row r="570" spans="1:28" ht="15.75" customHeight="1">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c r="AA570" s="482"/>
      <c r="AB570" s="482"/>
    </row>
    <row r="571" spans="1:28" ht="15.75" customHeight="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c r="AA571" s="482"/>
      <c r="AB571" s="482"/>
    </row>
    <row r="572" spans="1:28" ht="15.75" customHeight="1">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c r="AA572" s="482"/>
      <c r="AB572" s="482"/>
    </row>
    <row r="573" spans="1:28" ht="15.75" customHeight="1">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c r="AA573" s="482"/>
      <c r="AB573" s="482"/>
    </row>
    <row r="574" spans="1:28" ht="15.75" customHeight="1">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c r="AA574" s="482"/>
      <c r="AB574" s="482"/>
    </row>
    <row r="575" spans="1:28" ht="15.75" customHeight="1">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c r="AA575" s="482"/>
      <c r="AB575" s="482"/>
    </row>
    <row r="576" spans="1:28" ht="15.75" customHeight="1">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c r="AA576" s="482"/>
      <c r="AB576" s="482"/>
    </row>
    <row r="577" spans="1:28" ht="15.75" customHeight="1">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c r="AA577" s="482"/>
      <c r="AB577" s="482"/>
    </row>
    <row r="578" spans="1:28" ht="15.75" customHeight="1">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c r="AA578" s="482"/>
      <c r="AB578" s="482"/>
    </row>
    <row r="579" spans="1:28" ht="15.75" customHeight="1">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c r="AA579" s="482"/>
      <c r="AB579" s="482"/>
    </row>
    <row r="580" spans="1:28" ht="15.75" customHeight="1">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c r="AA580" s="482"/>
      <c r="AB580" s="482"/>
    </row>
    <row r="581" spans="1:28" ht="15.75" customHeight="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c r="AA581" s="482"/>
      <c r="AB581" s="482"/>
    </row>
    <row r="582" spans="1:28" ht="15.75" customHeight="1">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c r="AA582" s="482"/>
      <c r="AB582" s="482"/>
    </row>
    <row r="583" spans="1:28" ht="15.75" customHeight="1">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c r="AA583" s="482"/>
      <c r="AB583" s="482"/>
    </row>
    <row r="584" spans="1:28" ht="15.75" customHeight="1">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c r="AA584" s="482"/>
      <c r="AB584" s="482"/>
    </row>
    <row r="585" spans="1:28" ht="15.75" customHeight="1">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c r="AA585" s="482"/>
      <c r="AB585" s="482"/>
    </row>
    <row r="586" spans="1:28" ht="15.75" customHeight="1">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c r="AA586" s="482"/>
      <c r="AB586" s="482"/>
    </row>
    <row r="587" spans="1:28" ht="15.75" customHeight="1">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c r="AA587" s="482"/>
      <c r="AB587" s="482"/>
    </row>
    <row r="588" spans="1:28" ht="15.75" customHeight="1">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c r="AA588" s="482"/>
      <c r="AB588" s="482"/>
    </row>
    <row r="589" spans="1:28" ht="15.75" customHeight="1">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c r="AA589" s="482"/>
      <c r="AB589" s="482"/>
    </row>
    <row r="590" spans="1:28" ht="15.75" customHeight="1">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c r="AA590" s="482"/>
      <c r="AB590" s="482"/>
    </row>
    <row r="591" spans="1:28" ht="15.75" customHeight="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c r="AA591" s="482"/>
      <c r="AB591" s="482"/>
    </row>
    <row r="592" spans="1:28" ht="15.75" customHeight="1">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c r="AA592" s="482"/>
      <c r="AB592" s="482"/>
    </row>
    <row r="593" spans="1:28" ht="15.75" customHeight="1">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c r="AA593" s="482"/>
      <c r="AB593" s="482"/>
    </row>
    <row r="594" spans="1:28" ht="15.75" customHeight="1">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c r="AA594" s="482"/>
      <c r="AB594" s="482"/>
    </row>
    <row r="595" spans="1:28" ht="15.75" customHeight="1">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c r="AA595" s="482"/>
      <c r="AB595" s="482"/>
    </row>
    <row r="596" spans="1:28" ht="15.75" customHeight="1">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c r="AA596" s="482"/>
      <c r="AB596" s="482"/>
    </row>
    <row r="597" spans="1:28" ht="15.75" customHeight="1">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c r="AA597" s="482"/>
      <c r="AB597" s="482"/>
    </row>
    <row r="598" spans="1:28" ht="15.75" customHeight="1">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c r="AA598" s="482"/>
      <c r="AB598" s="482"/>
    </row>
    <row r="599" spans="1:28" ht="15.75" customHeight="1">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c r="AA599" s="482"/>
      <c r="AB599" s="482"/>
    </row>
    <row r="600" spans="1:28" ht="15.75" customHeight="1">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c r="AA600" s="482"/>
      <c r="AB600" s="482"/>
    </row>
    <row r="601" spans="1:28" ht="15.75" customHeight="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c r="AA601" s="482"/>
      <c r="AB601" s="482"/>
    </row>
    <row r="602" spans="1:28" ht="15.75" customHeight="1">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c r="AA602" s="482"/>
      <c r="AB602" s="482"/>
    </row>
    <row r="603" spans="1:28" ht="15.75" customHeight="1">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c r="AA603" s="482"/>
      <c r="AB603" s="482"/>
    </row>
    <row r="604" spans="1:28" ht="15.75" customHeight="1">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c r="AA604" s="482"/>
      <c r="AB604" s="482"/>
    </row>
    <row r="605" spans="1:28" ht="15.75" customHeight="1">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c r="AA605" s="482"/>
      <c r="AB605" s="482"/>
    </row>
    <row r="606" spans="1:28" ht="15.75" customHeight="1">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c r="AA606" s="482"/>
      <c r="AB606" s="482"/>
    </row>
    <row r="607" spans="1:28" ht="15.75" customHeight="1">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c r="AA607" s="482"/>
      <c r="AB607" s="482"/>
    </row>
    <row r="608" spans="1:28" ht="15.75" customHeight="1">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c r="AA608" s="482"/>
      <c r="AB608" s="482"/>
    </row>
    <row r="609" spans="1:28" ht="15.75" customHeight="1">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c r="AA609" s="482"/>
      <c r="AB609" s="482"/>
    </row>
    <row r="610" spans="1:28" ht="15.75" customHeight="1">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c r="AA610" s="482"/>
      <c r="AB610" s="482"/>
    </row>
    <row r="611" spans="1:28" ht="15.75" customHeight="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c r="AA611" s="482"/>
      <c r="AB611" s="482"/>
    </row>
    <row r="612" spans="1:28" ht="15.75" customHeight="1">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c r="AA612" s="482"/>
      <c r="AB612" s="482"/>
    </row>
    <row r="613" spans="1:28" ht="15.75" customHeight="1">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c r="AA613" s="482"/>
      <c r="AB613" s="482"/>
    </row>
    <row r="614" spans="1:28" ht="15.75" customHeight="1">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c r="AA614" s="482"/>
      <c r="AB614" s="482"/>
    </row>
    <row r="615" spans="1:28" ht="15.75" customHeight="1">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c r="AA615" s="482"/>
      <c r="AB615" s="482"/>
    </row>
    <row r="616" spans="1:28" ht="15.75" customHeight="1">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c r="AA616" s="482"/>
      <c r="AB616" s="482"/>
    </row>
    <row r="617" spans="1:28" ht="15.75" customHeight="1">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c r="AA617" s="482"/>
      <c r="AB617" s="482"/>
    </row>
    <row r="618" spans="1:28" ht="15.75" customHeight="1">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c r="AA618" s="482"/>
      <c r="AB618" s="482"/>
    </row>
    <row r="619" spans="1:28" ht="15.75" customHeight="1">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c r="AA619" s="482"/>
      <c r="AB619" s="482"/>
    </row>
    <row r="620" spans="1:28" ht="15.75" customHeight="1">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c r="AA620" s="482"/>
      <c r="AB620" s="482"/>
    </row>
    <row r="621" spans="1:28" ht="15.75" customHeight="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c r="AA621" s="482"/>
      <c r="AB621" s="482"/>
    </row>
    <row r="622" spans="1:28" ht="15.75" customHeight="1">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c r="AA622" s="482"/>
      <c r="AB622" s="482"/>
    </row>
    <row r="623" spans="1:28" ht="15.75" customHeight="1">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c r="AA623" s="482"/>
      <c r="AB623" s="482"/>
    </row>
    <row r="624" spans="1:28" ht="15.75" customHeight="1">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c r="AA624" s="482"/>
      <c r="AB624" s="482"/>
    </row>
    <row r="625" spans="1:28" ht="15.75" customHeight="1">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c r="AA625" s="482"/>
      <c r="AB625" s="482"/>
    </row>
    <row r="626" spans="1:28" ht="15.75" customHeight="1">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c r="AA626" s="482"/>
      <c r="AB626" s="482"/>
    </row>
    <row r="627" spans="1:28" ht="15.75" customHeight="1">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c r="AA627" s="482"/>
      <c r="AB627" s="482"/>
    </row>
    <row r="628" spans="1:28" ht="15.75" customHeight="1">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c r="AA628" s="482"/>
      <c r="AB628" s="482"/>
    </row>
    <row r="629" spans="1:28" ht="15.75" customHeight="1">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c r="AA629" s="482"/>
      <c r="AB629" s="482"/>
    </row>
    <row r="630" spans="1:28" ht="15.75" customHeight="1">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c r="AA630" s="482"/>
      <c r="AB630" s="482"/>
    </row>
    <row r="631" spans="1:28" ht="15.75" customHeight="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c r="AA631" s="482"/>
      <c r="AB631" s="482"/>
    </row>
    <row r="632" spans="1:28" ht="15.75" customHeight="1">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c r="AA632" s="482"/>
      <c r="AB632" s="482"/>
    </row>
    <row r="633" spans="1:28" ht="15.75" customHeight="1">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c r="AA633" s="482"/>
      <c r="AB633" s="482"/>
    </row>
    <row r="634" spans="1:28" ht="15.75" customHeight="1">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c r="AA634" s="482"/>
      <c r="AB634" s="482"/>
    </row>
    <row r="635" spans="1:28" ht="15.75" customHeight="1">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c r="AA635" s="482"/>
      <c r="AB635" s="482"/>
    </row>
    <row r="636" spans="1:28" ht="15.75" customHeight="1">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c r="AA636" s="482"/>
      <c r="AB636" s="482"/>
    </row>
    <row r="637" spans="1:28" ht="15.75" customHeight="1">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c r="AA637" s="482"/>
      <c r="AB637" s="482"/>
    </row>
    <row r="638" spans="1:28" ht="15.75" customHeight="1">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c r="AA638" s="482"/>
      <c r="AB638" s="482"/>
    </row>
    <row r="639" spans="1:28" ht="15.75" customHeight="1">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c r="AA639" s="482"/>
      <c r="AB639" s="482"/>
    </row>
    <row r="640" spans="1:28" ht="15.75" customHeight="1">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c r="AA640" s="482"/>
      <c r="AB640" s="482"/>
    </row>
    <row r="641" spans="1:28" ht="15.75" customHeight="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c r="AA641" s="482"/>
      <c r="AB641" s="482"/>
    </row>
    <row r="642" spans="1:28" ht="15.75" customHeight="1">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c r="AA642" s="482"/>
      <c r="AB642" s="482"/>
    </row>
    <row r="643" spans="1:28" ht="15.75" customHeight="1">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c r="AA643" s="482"/>
      <c r="AB643" s="482"/>
    </row>
    <row r="644" spans="1:28" ht="15.75" customHeight="1">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c r="AA644" s="482"/>
      <c r="AB644" s="482"/>
    </row>
    <row r="645" spans="1:28" ht="15.75" customHeight="1">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c r="AA645" s="482"/>
      <c r="AB645" s="482"/>
    </row>
    <row r="646" spans="1:28" ht="15.75" customHeight="1">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c r="AA646" s="482"/>
      <c r="AB646" s="482"/>
    </row>
    <row r="647" spans="1:28" ht="15.75" customHeight="1">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c r="AA647" s="482"/>
      <c r="AB647" s="482"/>
    </row>
    <row r="648" spans="1:28" ht="15.75" customHeight="1">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c r="AA648" s="482"/>
      <c r="AB648" s="482"/>
    </row>
    <row r="649" spans="1:28" ht="15.75" customHeight="1">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c r="AA649" s="482"/>
      <c r="AB649" s="482"/>
    </row>
    <row r="650" spans="1:28" ht="15.75" customHeight="1">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c r="AA650" s="482"/>
      <c r="AB650" s="482"/>
    </row>
    <row r="651" spans="1:28" ht="15.75" customHeight="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c r="AA651" s="482"/>
      <c r="AB651" s="482"/>
    </row>
    <row r="652" spans="1:28" ht="15.75" customHeight="1">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c r="AA652" s="482"/>
      <c r="AB652" s="482"/>
    </row>
    <row r="653" spans="1:28" ht="15.75" customHeight="1">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c r="AA653" s="482"/>
      <c r="AB653" s="482"/>
    </row>
    <row r="654" spans="1:28" ht="15.75" customHeight="1">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c r="AA654" s="482"/>
      <c r="AB654" s="482"/>
    </row>
    <row r="655" spans="1:28" ht="15.75" customHeight="1">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c r="AA655" s="482"/>
      <c r="AB655" s="482"/>
    </row>
    <row r="656" spans="1:28" ht="15.75" customHeight="1">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c r="AA656" s="482"/>
      <c r="AB656" s="482"/>
    </row>
    <row r="657" spans="1:28" ht="15.75" customHeight="1">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c r="AA657" s="482"/>
      <c r="AB657" s="482"/>
    </row>
    <row r="658" spans="1:28" ht="15.75" customHeight="1">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c r="AA658" s="482"/>
      <c r="AB658" s="482"/>
    </row>
    <row r="659" spans="1:28" ht="15.75" customHeight="1">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c r="AA659" s="482"/>
      <c r="AB659" s="482"/>
    </row>
    <row r="660" spans="1:28" ht="15.75" customHeight="1">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c r="AA660" s="482"/>
      <c r="AB660" s="482"/>
    </row>
    <row r="661" spans="1:28" ht="15.75" customHeight="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c r="AA661" s="482"/>
      <c r="AB661" s="482"/>
    </row>
    <row r="662" spans="1:28" ht="15.75" customHeight="1">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c r="AA662" s="482"/>
      <c r="AB662" s="482"/>
    </row>
    <row r="663" spans="1:28" ht="15.75" customHeight="1">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c r="AA663" s="482"/>
      <c r="AB663" s="482"/>
    </row>
    <row r="664" spans="1:28" ht="15.75" customHeight="1">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c r="AA664" s="482"/>
      <c r="AB664" s="482"/>
    </row>
    <row r="665" spans="1:28" ht="15.75" customHeight="1">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c r="AA665" s="482"/>
      <c r="AB665" s="482"/>
    </row>
    <row r="666" spans="1:28" ht="15.75" customHeight="1">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c r="AA666" s="482"/>
      <c r="AB666" s="482"/>
    </row>
    <row r="667" spans="1:28" ht="15.75" customHeight="1">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c r="AA667" s="482"/>
      <c r="AB667" s="482"/>
    </row>
    <row r="668" spans="1:28" ht="15.75" customHeight="1">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c r="AA668" s="482"/>
      <c r="AB668" s="482"/>
    </row>
    <row r="669" spans="1:28" ht="15.75" customHeight="1">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c r="AA669" s="482"/>
      <c r="AB669" s="482"/>
    </row>
    <row r="670" spans="1:28" ht="15.75" customHeight="1">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c r="AA670" s="482"/>
      <c r="AB670" s="482"/>
    </row>
    <row r="671" spans="1:28" ht="15.75" customHeight="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c r="AA671" s="482"/>
      <c r="AB671" s="482"/>
    </row>
    <row r="672" spans="1:28" ht="15.75" customHeight="1">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c r="AA672" s="482"/>
      <c r="AB672" s="482"/>
    </row>
    <row r="673" spans="1:28" ht="15.75" customHeight="1">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c r="AA673" s="482"/>
      <c r="AB673" s="482"/>
    </row>
    <row r="674" spans="1:28" ht="15.75" customHeight="1">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c r="AA674" s="482"/>
      <c r="AB674" s="482"/>
    </row>
    <row r="675" spans="1:28" ht="15.75" customHeight="1">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c r="AA675" s="482"/>
      <c r="AB675" s="482"/>
    </row>
    <row r="676" spans="1:28" ht="15.75" customHeight="1">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c r="AA676" s="482"/>
      <c r="AB676" s="482"/>
    </row>
    <row r="677" spans="1:28" ht="15.75" customHeight="1">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c r="AA677" s="482"/>
      <c r="AB677" s="482"/>
    </row>
    <row r="678" spans="1:28" ht="15.75" customHeight="1">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c r="AA678" s="482"/>
      <c r="AB678" s="482"/>
    </row>
    <row r="679" spans="1:28" ht="15.75" customHeight="1">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c r="AA679" s="482"/>
      <c r="AB679" s="482"/>
    </row>
    <row r="680" spans="1:28" ht="15.75" customHeight="1">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c r="AA680" s="482"/>
      <c r="AB680" s="482"/>
    </row>
    <row r="681" spans="1:28" ht="15.75" customHeight="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c r="AA681" s="482"/>
      <c r="AB681" s="482"/>
    </row>
    <row r="682" spans="1:28" ht="15.75" customHeight="1">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c r="AA682" s="482"/>
      <c r="AB682" s="482"/>
    </row>
    <row r="683" spans="1:28" ht="15.75" customHeight="1">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c r="AA683" s="482"/>
      <c r="AB683" s="482"/>
    </row>
    <row r="684" spans="1:28" ht="15.75" customHeight="1">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c r="AA684" s="482"/>
      <c r="AB684" s="482"/>
    </row>
    <row r="685" spans="1:28" ht="15.75" customHeight="1">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c r="AA685" s="482"/>
      <c r="AB685" s="482"/>
    </row>
    <row r="686" spans="1:28" ht="15.75" customHeight="1">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c r="AA686" s="482"/>
      <c r="AB686" s="482"/>
    </row>
    <row r="687" spans="1:28" ht="15.75" customHeight="1">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c r="AA687" s="482"/>
      <c r="AB687" s="482"/>
    </row>
    <row r="688" spans="1:28" ht="15.75" customHeight="1">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c r="AA688" s="482"/>
      <c r="AB688" s="482"/>
    </row>
    <row r="689" spans="1:28" ht="15.75" customHeight="1">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c r="AA689" s="482"/>
      <c r="AB689" s="482"/>
    </row>
    <row r="690" spans="1:28" ht="15.75" customHeight="1">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c r="AA690" s="482"/>
      <c r="AB690" s="482"/>
    </row>
    <row r="691" spans="1:28" ht="15.75" customHeight="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c r="AA691" s="482"/>
      <c r="AB691" s="482"/>
    </row>
    <row r="692" spans="1:28" ht="15.75" customHeight="1">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c r="AA692" s="482"/>
      <c r="AB692" s="482"/>
    </row>
    <row r="693" spans="1:28" ht="15.75" customHeight="1">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c r="AA693" s="482"/>
      <c r="AB693" s="482"/>
    </row>
    <row r="694" spans="1:28" ht="15.75" customHeight="1">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c r="AA694" s="482"/>
      <c r="AB694" s="482"/>
    </row>
    <row r="695" spans="1:28" ht="15.75" customHeight="1">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c r="AA695" s="482"/>
      <c r="AB695" s="482"/>
    </row>
    <row r="696" spans="1:28" ht="15.75" customHeight="1">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c r="AA696" s="482"/>
      <c r="AB696" s="482"/>
    </row>
    <row r="697" spans="1:28" ht="15.75" customHeight="1">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c r="AA697" s="482"/>
      <c r="AB697" s="482"/>
    </row>
    <row r="698" spans="1:28" ht="15.75" customHeight="1">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c r="AA698" s="482"/>
      <c r="AB698" s="482"/>
    </row>
    <row r="699" spans="1:28" ht="15.75" customHeight="1">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c r="AA699" s="482"/>
      <c r="AB699" s="482"/>
    </row>
    <row r="700" spans="1:28" ht="15.75" customHeight="1">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c r="AA700" s="482"/>
      <c r="AB700" s="482"/>
    </row>
    <row r="701" spans="1:28" ht="15.75" customHeight="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c r="AA701" s="482"/>
      <c r="AB701" s="482"/>
    </row>
    <row r="702" spans="1:28" ht="15.75" customHeight="1">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c r="AA702" s="482"/>
      <c r="AB702" s="482"/>
    </row>
    <row r="703" spans="1:28" ht="15.75" customHeight="1">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c r="AA703" s="482"/>
      <c r="AB703" s="482"/>
    </row>
    <row r="704" spans="1:28" ht="15.75" customHeight="1">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c r="AA704" s="482"/>
      <c r="AB704" s="482"/>
    </row>
    <row r="705" spans="1:28" ht="15.75" customHeight="1">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c r="AA705" s="482"/>
      <c r="AB705" s="482"/>
    </row>
    <row r="706" spans="1:28" ht="15.75" customHeight="1">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c r="AA706" s="482"/>
      <c r="AB706" s="482"/>
    </row>
    <row r="707" spans="1:28" ht="15.75" customHeight="1">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c r="AA707" s="482"/>
      <c r="AB707" s="482"/>
    </row>
    <row r="708" spans="1:28" ht="15.75" customHeight="1">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c r="AA708" s="482"/>
      <c r="AB708" s="482"/>
    </row>
    <row r="709" spans="1:28" ht="15.75" customHeight="1">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c r="AA709" s="482"/>
      <c r="AB709" s="482"/>
    </row>
    <row r="710" spans="1:28" ht="15.75" customHeight="1">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c r="AA710" s="482"/>
      <c r="AB710" s="482"/>
    </row>
    <row r="711" spans="1:28" ht="15.75" customHeight="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c r="AA711" s="482"/>
      <c r="AB711" s="482"/>
    </row>
    <row r="712" spans="1:28" ht="15.75" customHeight="1">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c r="AA712" s="482"/>
      <c r="AB712" s="482"/>
    </row>
    <row r="713" spans="1:28" ht="15.75" customHeight="1">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c r="AA713" s="482"/>
      <c r="AB713" s="482"/>
    </row>
    <row r="714" spans="1:28" ht="15.75" customHeight="1">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c r="AA714" s="482"/>
      <c r="AB714" s="482"/>
    </row>
    <row r="715" spans="1:28" ht="15.75" customHeight="1">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c r="AA715" s="482"/>
      <c r="AB715" s="482"/>
    </row>
    <row r="716" spans="1:28" ht="15.75" customHeight="1">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c r="AA716" s="482"/>
      <c r="AB716" s="482"/>
    </row>
    <row r="717" spans="1:28" ht="15.75" customHeight="1">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c r="AA717" s="482"/>
      <c r="AB717" s="482"/>
    </row>
    <row r="718" spans="1:28" ht="15.75" customHeight="1">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c r="AA718" s="482"/>
      <c r="AB718" s="482"/>
    </row>
    <row r="719" spans="1:28" ht="15.75" customHeight="1">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c r="AA719" s="482"/>
      <c r="AB719" s="482"/>
    </row>
    <row r="720" spans="1:28" ht="15.75" customHeight="1">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c r="AA720" s="482"/>
      <c r="AB720" s="482"/>
    </row>
    <row r="721" spans="1:28" ht="15.75" customHeight="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c r="AA721" s="482"/>
      <c r="AB721" s="482"/>
    </row>
    <row r="722" spans="1:28" ht="15.75" customHeight="1">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c r="AA722" s="482"/>
      <c r="AB722" s="482"/>
    </row>
    <row r="723" spans="1:28" ht="15.75" customHeight="1">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c r="AA723" s="482"/>
      <c r="AB723" s="482"/>
    </row>
    <row r="724" spans="1:28" ht="15.75" customHeight="1">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c r="AA724" s="482"/>
      <c r="AB724" s="482"/>
    </row>
    <row r="725" spans="1:28" ht="15.75" customHeight="1">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c r="AA725" s="482"/>
      <c r="AB725" s="482"/>
    </row>
    <row r="726" spans="1:28" ht="15.75" customHeight="1">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c r="AA726" s="482"/>
      <c r="AB726" s="482"/>
    </row>
    <row r="727" spans="1:28" ht="15.75" customHeight="1">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c r="AA727" s="482"/>
      <c r="AB727" s="482"/>
    </row>
    <row r="728" spans="1:28" ht="15.75" customHeight="1">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c r="AA728" s="482"/>
      <c r="AB728" s="482"/>
    </row>
    <row r="729" spans="1:28" ht="15.75" customHeight="1">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c r="AA729" s="482"/>
      <c r="AB729" s="482"/>
    </row>
    <row r="730" spans="1:28" ht="15.75" customHeight="1">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c r="AA730" s="482"/>
      <c r="AB730" s="482"/>
    </row>
    <row r="731" spans="1:28" ht="15.75" customHeight="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c r="AA731" s="482"/>
      <c r="AB731" s="482"/>
    </row>
    <row r="732" spans="1:28" ht="15.75" customHeight="1">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c r="AA732" s="482"/>
      <c r="AB732" s="482"/>
    </row>
    <row r="733" spans="1:28" ht="15.75" customHeight="1">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c r="AA733" s="482"/>
      <c r="AB733" s="482"/>
    </row>
    <row r="734" spans="1:28" ht="15.75" customHeight="1">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c r="AA734" s="482"/>
      <c r="AB734" s="482"/>
    </row>
    <row r="735" spans="1:28" ht="15.75" customHeight="1">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c r="AA735" s="482"/>
      <c r="AB735" s="482"/>
    </row>
    <row r="736" spans="1:28" ht="15.75" customHeight="1">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c r="AA736" s="482"/>
      <c r="AB736" s="482"/>
    </row>
    <row r="737" spans="1:28" ht="15.75" customHeight="1">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c r="AA737" s="482"/>
      <c r="AB737" s="482"/>
    </row>
    <row r="738" spans="1:28" ht="15.75" customHeight="1">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c r="AA738" s="482"/>
      <c r="AB738" s="482"/>
    </row>
    <row r="739" spans="1:28" ht="15.75" customHeight="1">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c r="AA739" s="482"/>
      <c r="AB739" s="482"/>
    </row>
    <row r="740" spans="1:28" ht="15.75" customHeight="1">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c r="AA740" s="482"/>
      <c r="AB740" s="482"/>
    </row>
    <row r="741" spans="1:28" ht="15.75" customHeight="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c r="AA741" s="482"/>
      <c r="AB741" s="482"/>
    </row>
    <row r="742" spans="1:28" ht="15.75" customHeight="1">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c r="AA742" s="482"/>
      <c r="AB742" s="482"/>
    </row>
    <row r="743" spans="1:28" ht="15.75" customHeight="1">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c r="AA743" s="482"/>
      <c r="AB743" s="482"/>
    </row>
    <row r="744" spans="1:28" ht="15.75" customHeight="1">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c r="AA744" s="482"/>
      <c r="AB744" s="482"/>
    </row>
    <row r="745" spans="1:28" ht="15.75" customHeight="1">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c r="AA745" s="482"/>
      <c r="AB745" s="482"/>
    </row>
    <row r="746" spans="1:28" ht="15.75" customHeight="1">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c r="AA746" s="482"/>
      <c r="AB746" s="482"/>
    </row>
    <row r="747" spans="1:28" ht="15.75" customHeight="1">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c r="AA747" s="482"/>
      <c r="AB747" s="482"/>
    </row>
    <row r="748" spans="1:28" ht="15.75" customHeight="1">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c r="AA748" s="482"/>
      <c r="AB748" s="482"/>
    </row>
    <row r="749" spans="1:28" ht="15.75" customHeight="1">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c r="AA749" s="482"/>
      <c r="AB749" s="482"/>
    </row>
    <row r="750" spans="1:28" ht="15.75" customHeight="1">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c r="AA750" s="482"/>
      <c r="AB750" s="482"/>
    </row>
    <row r="751" spans="1:28" ht="15.75" customHeight="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c r="AA751" s="482"/>
      <c r="AB751" s="482"/>
    </row>
    <row r="752" spans="1:28" ht="15.75" customHeight="1">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c r="AA752" s="482"/>
      <c r="AB752" s="482"/>
    </row>
    <row r="753" spans="1:28" ht="15.75" customHeight="1">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c r="AA753" s="482"/>
      <c r="AB753" s="482"/>
    </row>
    <row r="754" spans="1:28" ht="15.75" customHeight="1">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c r="AA754" s="482"/>
      <c r="AB754" s="482"/>
    </row>
    <row r="755" spans="1:28" ht="15.75" customHeight="1">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c r="AA755" s="482"/>
      <c r="AB755" s="482"/>
    </row>
    <row r="756" spans="1:28" ht="15.75" customHeight="1">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c r="AA756" s="482"/>
      <c r="AB756" s="482"/>
    </row>
    <row r="757" spans="1:28" ht="15.75" customHeight="1">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c r="AA757" s="482"/>
      <c r="AB757" s="482"/>
    </row>
    <row r="758" spans="1:28" ht="15.75" customHeight="1">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c r="AA758" s="482"/>
      <c r="AB758" s="482"/>
    </row>
    <row r="759" spans="1:28" ht="15.75" customHeight="1">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c r="AA759" s="482"/>
      <c r="AB759" s="482"/>
    </row>
    <row r="760" spans="1:28" ht="15.75" customHeight="1">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c r="AA760" s="482"/>
      <c r="AB760" s="482"/>
    </row>
    <row r="761" spans="1:28" ht="15.75" customHeight="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c r="AA761" s="482"/>
      <c r="AB761" s="482"/>
    </row>
    <row r="762" spans="1:28" ht="15.75" customHeight="1">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c r="AA762" s="482"/>
      <c r="AB762" s="482"/>
    </row>
    <row r="763" spans="1:28" ht="15.75" customHeight="1">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c r="AA763" s="482"/>
      <c r="AB763" s="482"/>
    </row>
    <row r="764" spans="1:28" ht="15.75" customHeight="1">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c r="AA764" s="482"/>
      <c r="AB764" s="482"/>
    </row>
    <row r="765" spans="1:28" ht="15.75" customHeight="1">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c r="AA765" s="482"/>
      <c r="AB765" s="482"/>
    </row>
    <row r="766" spans="1:28" ht="15.75" customHeight="1">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c r="AA766" s="482"/>
      <c r="AB766" s="482"/>
    </row>
    <row r="767" spans="1:28" ht="15.75" customHeight="1">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c r="AA767" s="482"/>
      <c r="AB767" s="482"/>
    </row>
    <row r="768" spans="1:28" ht="15.75" customHeight="1">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c r="AA768" s="482"/>
      <c r="AB768" s="482"/>
    </row>
    <row r="769" spans="1:28" ht="15.75" customHeight="1">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c r="AA769" s="482"/>
      <c r="AB769" s="482"/>
    </row>
    <row r="770" spans="1:28" ht="15.75" customHeight="1">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c r="AA770" s="482"/>
      <c r="AB770" s="482"/>
    </row>
    <row r="771" spans="1:28" ht="15.75" customHeight="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c r="AA771" s="482"/>
      <c r="AB771" s="482"/>
    </row>
    <row r="772" spans="1:28" ht="15.75" customHeight="1">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c r="AA772" s="482"/>
      <c r="AB772" s="482"/>
    </row>
    <row r="773" spans="1:28" ht="15.75" customHeight="1">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c r="AA773" s="482"/>
      <c r="AB773" s="482"/>
    </row>
    <row r="774" spans="1:28" ht="15.75" customHeight="1">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c r="AA774" s="482"/>
      <c r="AB774" s="482"/>
    </row>
    <row r="775" spans="1:28" ht="15.75" customHeight="1">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c r="AA775" s="482"/>
      <c r="AB775" s="482"/>
    </row>
    <row r="776" spans="1:28" ht="15.75" customHeight="1">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c r="AA776" s="482"/>
      <c r="AB776" s="482"/>
    </row>
    <row r="777" spans="1:28" ht="15.75" customHeight="1">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c r="AA777" s="482"/>
      <c r="AB777" s="482"/>
    </row>
    <row r="778" spans="1:28" ht="15.75" customHeight="1">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c r="AA778" s="482"/>
      <c r="AB778" s="482"/>
    </row>
    <row r="779" spans="1:28" ht="15.75" customHeight="1">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c r="AA779" s="482"/>
      <c r="AB779" s="482"/>
    </row>
    <row r="780" spans="1:28" ht="15.75" customHeight="1">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c r="AA780" s="482"/>
      <c r="AB780" s="482"/>
    </row>
    <row r="781" spans="1:28" ht="15.75" customHeight="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c r="AA781" s="482"/>
      <c r="AB781" s="482"/>
    </row>
    <row r="782" spans="1:28" ht="15.75" customHeight="1">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c r="AA782" s="482"/>
      <c r="AB782" s="482"/>
    </row>
    <row r="783" spans="1:28" ht="15.75" customHeight="1">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c r="AA783" s="482"/>
      <c r="AB783" s="482"/>
    </row>
    <row r="784" spans="1:28" ht="15.75" customHeight="1">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c r="AA784" s="482"/>
      <c r="AB784" s="482"/>
    </row>
    <row r="785" spans="1:28" ht="15.75" customHeight="1">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c r="AA785" s="482"/>
      <c r="AB785" s="482"/>
    </row>
    <row r="786" spans="1:28" ht="15.75" customHeight="1">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c r="AA786" s="482"/>
      <c r="AB786" s="482"/>
    </row>
    <row r="787" spans="1:28" ht="15.75" customHeight="1">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c r="AA787" s="482"/>
      <c r="AB787" s="482"/>
    </row>
    <row r="788" spans="1:28" ht="15.75" customHeight="1">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c r="AA788" s="482"/>
      <c r="AB788" s="482"/>
    </row>
    <row r="789" spans="1:28" ht="15.75" customHeight="1">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c r="AA789" s="482"/>
      <c r="AB789" s="482"/>
    </row>
    <row r="790" spans="1:28" ht="15.75" customHeight="1">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c r="AA790" s="482"/>
      <c r="AB790" s="482"/>
    </row>
    <row r="791" spans="1:28" ht="15.75" customHeight="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c r="AA791" s="482"/>
      <c r="AB791" s="482"/>
    </row>
    <row r="792" spans="1:28" ht="15.75" customHeight="1">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c r="AA792" s="482"/>
      <c r="AB792" s="482"/>
    </row>
    <row r="793" spans="1:28" ht="15.75" customHeight="1">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c r="AA793" s="482"/>
      <c r="AB793" s="482"/>
    </row>
    <row r="794" spans="1:28" ht="15.75" customHeight="1">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c r="AA794" s="482"/>
      <c r="AB794" s="482"/>
    </row>
    <row r="795" spans="1:28" ht="15.75" customHeight="1">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c r="AA795" s="482"/>
      <c r="AB795" s="482"/>
    </row>
    <row r="796" spans="1:28" ht="15.75" customHeight="1">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c r="AA796" s="482"/>
      <c r="AB796" s="482"/>
    </row>
    <row r="797" spans="1:28" ht="15.75" customHeight="1">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c r="AA797" s="482"/>
      <c r="AB797" s="482"/>
    </row>
    <row r="798" spans="1:28" ht="15.75" customHeight="1">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c r="AA798" s="482"/>
      <c r="AB798" s="482"/>
    </row>
    <row r="799" spans="1:28" ht="15.75" customHeight="1">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c r="AA799" s="482"/>
      <c r="AB799" s="482"/>
    </row>
    <row r="800" spans="1:28" ht="15.75" customHeight="1">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c r="AA800" s="482"/>
      <c r="AB800" s="482"/>
    </row>
    <row r="801" spans="1:28" ht="15.75" customHeight="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c r="AA801" s="482"/>
      <c r="AB801" s="482"/>
    </row>
    <row r="802" spans="1:28" ht="15.75" customHeight="1">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c r="AA802" s="482"/>
      <c r="AB802" s="482"/>
    </row>
    <row r="803" spans="1:28" ht="15.75" customHeight="1">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c r="AA803" s="482"/>
      <c r="AB803" s="482"/>
    </row>
    <row r="804" spans="1:28" ht="15.75" customHeight="1">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c r="AA804" s="482"/>
      <c r="AB804" s="482"/>
    </row>
    <row r="805" spans="1:28" ht="15.75" customHeight="1">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c r="AA805" s="482"/>
      <c r="AB805" s="482"/>
    </row>
    <row r="806" spans="1:28" ht="15.75" customHeight="1">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c r="AA806" s="482"/>
      <c r="AB806" s="482"/>
    </row>
    <row r="807" spans="1:28" ht="15.75" customHeight="1">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c r="AA807" s="482"/>
      <c r="AB807" s="482"/>
    </row>
    <row r="808" spans="1:28" ht="15.75" customHeight="1">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c r="AA808" s="482"/>
      <c r="AB808" s="482"/>
    </row>
    <row r="809" spans="1:28" ht="15.75" customHeight="1">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c r="AA809" s="482"/>
      <c r="AB809" s="482"/>
    </row>
    <row r="810" spans="1:28" ht="15.75" customHeight="1">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c r="AA810" s="482"/>
      <c r="AB810" s="482"/>
    </row>
    <row r="811" spans="1:28" ht="15.75" customHeight="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c r="AA811" s="482"/>
      <c r="AB811" s="482"/>
    </row>
    <row r="812" spans="1:28" ht="15.75" customHeight="1">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c r="AA812" s="482"/>
      <c r="AB812" s="482"/>
    </row>
    <row r="813" spans="1:28" ht="15.75" customHeight="1">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c r="AA813" s="482"/>
      <c r="AB813" s="482"/>
    </row>
    <row r="814" spans="1:28" ht="15.75" customHeight="1">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c r="AA814" s="482"/>
      <c r="AB814" s="482"/>
    </row>
    <row r="815" spans="1:28" ht="15.75" customHeight="1">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c r="AA815" s="482"/>
      <c r="AB815" s="482"/>
    </row>
    <row r="816" spans="1:28" ht="15.75" customHeight="1">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c r="AA816" s="482"/>
      <c r="AB816" s="482"/>
    </row>
    <row r="817" spans="1:28" ht="15.75" customHeight="1">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c r="AA817" s="482"/>
      <c r="AB817" s="482"/>
    </row>
    <row r="818" spans="1:28" ht="15.75" customHeight="1">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c r="AA818" s="482"/>
      <c r="AB818" s="482"/>
    </row>
    <row r="819" spans="1:28" ht="15.75" customHeight="1">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c r="AA819" s="482"/>
      <c r="AB819" s="482"/>
    </row>
    <row r="820" spans="1:28" ht="15.75" customHeight="1">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c r="AA820" s="482"/>
      <c r="AB820" s="482"/>
    </row>
    <row r="821" spans="1:28" ht="15.75" customHeight="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c r="AA821" s="482"/>
      <c r="AB821" s="482"/>
    </row>
    <row r="822" spans="1:28" ht="15.75" customHeight="1">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c r="AA822" s="482"/>
      <c r="AB822" s="482"/>
    </row>
    <row r="823" spans="1:28" ht="15.75" customHeight="1">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c r="AA823" s="482"/>
      <c r="AB823" s="482"/>
    </row>
    <row r="824" spans="1:28" ht="15.75" customHeight="1">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c r="AA824" s="482"/>
      <c r="AB824" s="482"/>
    </row>
    <row r="825" spans="1:28" ht="15.75" customHeight="1">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c r="AA825" s="482"/>
      <c r="AB825" s="482"/>
    </row>
    <row r="826" spans="1:28" ht="15.75" customHeight="1">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c r="AA826" s="482"/>
      <c r="AB826" s="482"/>
    </row>
    <row r="827" spans="1:28" ht="15.75" customHeight="1">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c r="AA827" s="482"/>
      <c r="AB827" s="482"/>
    </row>
    <row r="828" spans="1:28" ht="15.75" customHeight="1">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c r="AA828" s="482"/>
      <c r="AB828" s="482"/>
    </row>
    <row r="829" spans="1:28" ht="15.75" customHeight="1">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c r="AA829" s="482"/>
      <c r="AB829" s="482"/>
    </row>
    <row r="830" spans="1:28" ht="15.75" customHeight="1">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c r="AA830" s="482"/>
      <c r="AB830" s="482"/>
    </row>
    <row r="831" spans="1:28" ht="15.75" customHeight="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c r="AA831" s="482"/>
      <c r="AB831" s="482"/>
    </row>
    <row r="832" spans="1:28" ht="15.75" customHeight="1">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c r="AA832" s="482"/>
      <c r="AB832" s="482"/>
    </row>
    <row r="833" spans="1:28" ht="15.75" customHeight="1">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c r="AA833" s="482"/>
      <c r="AB833" s="482"/>
    </row>
    <row r="834" spans="1:28" ht="15.75" customHeight="1">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c r="AA834" s="482"/>
      <c r="AB834" s="482"/>
    </row>
    <row r="835" spans="1:28" ht="15.75" customHeight="1">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c r="AA835" s="482"/>
      <c r="AB835" s="482"/>
    </row>
    <row r="836" spans="1:28" ht="15.75" customHeight="1">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c r="AA836" s="482"/>
      <c r="AB836" s="482"/>
    </row>
    <row r="837" spans="1:28" ht="15.75" customHeight="1">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c r="AA837" s="482"/>
      <c r="AB837" s="482"/>
    </row>
    <row r="838" spans="1:28" ht="15.75" customHeight="1">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c r="AA838" s="482"/>
      <c r="AB838" s="482"/>
    </row>
    <row r="839" spans="1:28" ht="15.75" customHeight="1">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c r="AA839" s="482"/>
      <c r="AB839" s="482"/>
    </row>
    <row r="840" spans="1:28" ht="15.75" customHeight="1">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c r="AA840" s="482"/>
      <c r="AB840" s="482"/>
    </row>
    <row r="841" spans="1:28" ht="15.75" customHeight="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c r="AA841" s="482"/>
      <c r="AB841" s="482"/>
    </row>
    <row r="842" spans="1:28" ht="15.75" customHeight="1">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c r="AA842" s="482"/>
      <c r="AB842" s="482"/>
    </row>
    <row r="843" spans="1:28" ht="15.75" customHeight="1">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c r="AA843" s="482"/>
      <c r="AB843" s="482"/>
    </row>
    <row r="844" spans="1:28" ht="15.75" customHeight="1">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c r="AA844" s="482"/>
      <c r="AB844" s="482"/>
    </row>
    <row r="845" spans="1:28" ht="15.75" customHeight="1">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c r="AA845" s="482"/>
      <c r="AB845" s="482"/>
    </row>
    <row r="846" spans="1:28" ht="15.75" customHeight="1">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c r="AA846" s="482"/>
      <c r="AB846" s="482"/>
    </row>
    <row r="847" spans="1:28" ht="15.75" customHeight="1">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c r="AA847" s="482"/>
      <c r="AB847" s="482"/>
    </row>
    <row r="848" spans="1:28" ht="15.75" customHeight="1">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c r="AA848" s="482"/>
      <c r="AB848" s="482"/>
    </row>
    <row r="849" spans="1:28" ht="15.75" customHeight="1">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c r="AA849" s="482"/>
      <c r="AB849" s="482"/>
    </row>
    <row r="850" spans="1:28" ht="15.75" customHeight="1">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c r="AA850" s="482"/>
      <c r="AB850" s="482"/>
    </row>
    <row r="851" spans="1:28" ht="15.75" customHeight="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c r="AA851" s="482"/>
      <c r="AB851" s="482"/>
    </row>
    <row r="852" spans="1:28" ht="15.75" customHeight="1">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c r="AA852" s="482"/>
      <c r="AB852" s="482"/>
    </row>
    <row r="853" spans="1:28" ht="15.75" customHeight="1">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c r="AA853" s="482"/>
      <c r="AB853" s="482"/>
    </row>
    <row r="854" spans="1:28" ht="15.75" customHeight="1">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c r="AA854" s="482"/>
      <c r="AB854" s="482"/>
    </row>
    <row r="855" spans="1:28" ht="15.75" customHeight="1">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c r="AA855" s="482"/>
      <c r="AB855" s="482"/>
    </row>
    <row r="856" spans="1:28" ht="15.75" customHeight="1">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c r="AA856" s="482"/>
      <c r="AB856" s="482"/>
    </row>
    <row r="857" spans="1:28" ht="15.75" customHeight="1">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c r="AA857" s="482"/>
      <c r="AB857" s="482"/>
    </row>
    <row r="858" spans="1:28" ht="15.75" customHeight="1">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c r="AA858" s="482"/>
      <c r="AB858" s="482"/>
    </row>
    <row r="859" spans="1:28" ht="15.75" customHeight="1">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c r="AA859" s="482"/>
      <c r="AB859" s="482"/>
    </row>
    <row r="860" spans="1:28" ht="15.75" customHeight="1">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c r="AA860" s="482"/>
      <c r="AB860" s="482"/>
    </row>
    <row r="861" spans="1:28" ht="15.75" customHeight="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c r="AA861" s="482"/>
      <c r="AB861" s="482"/>
    </row>
    <row r="862" spans="1:28" ht="15.75" customHeight="1">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c r="AA862" s="482"/>
      <c r="AB862" s="482"/>
    </row>
    <row r="863" spans="1:28" ht="15.75" customHeight="1">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c r="AA863" s="482"/>
      <c r="AB863" s="482"/>
    </row>
    <row r="864" spans="1:28" ht="15.75" customHeight="1">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c r="AA864" s="482"/>
      <c r="AB864" s="482"/>
    </row>
    <row r="865" spans="1:28" ht="15.75" customHeight="1">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c r="AA865" s="482"/>
      <c r="AB865" s="482"/>
    </row>
    <row r="866" spans="1:28" ht="15.75" customHeight="1">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c r="AA866" s="482"/>
      <c r="AB866" s="482"/>
    </row>
    <row r="867" spans="1:28" ht="15.75" customHeight="1">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c r="AA867" s="482"/>
      <c r="AB867" s="482"/>
    </row>
    <row r="868" spans="1:28" ht="15.75" customHeight="1">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c r="AA868" s="482"/>
      <c r="AB868" s="482"/>
    </row>
    <row r="869" spans="1:28" ht="15.75" customHeight="1">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c r="AA869" s="482"/>
      <c r="AB869" s="482"/>
    </row>
    <row r="870" spans="1:28" ht="15.75" customHeight="1">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c r="AA870" s="482"/>
      <c r="AB870" s="482"/>
    </row>
    <row r="871" spans="1:28" ht="15.75" customHeight="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c r="AA871" s="482"/>
      <c r="AB871" s="482"/>
    </row>
    <row r="872" spans="1:28" ht="15.75" customHeight="1">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c r="AA872" s="482"/>
      <c r="AB872" s="482"/>
    </row>
    <row r="873" spans="1:28" ht="15.75" customHeight="1">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c r="AA873" s="482"/>
      <c r="AB873" s="482"/>
    </row>
    <row r="874" spans="1:28" ht="15.75" customHeight="1">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c r="AA874" s="482"/>
      <c r="AB874" s="482"/>
    </row>
    <row r="875" spans="1:28" ht="15.75" customHeight="1">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c r="AA875" s="482"/>
      <c r="AB875" s="482"/>
    </row>
    <row r="876" spans="1:28" ht="15.75" customHeight="1">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c r="AA876" s="482"/>
      <c r="AB876" s="482"/>
    </row>
    <row r="877" spans="1:28" ht="15.75" customHeight="1">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c r="AA877" s="482"/>
      <c r="AB877" s="482"/>
    </row>
    <row r="878" spans="1:28" ht="15.75" customHeight="1">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c r="AA878" s="482"/>
      <c r="AB878" s="482"/>
    </row>
    <row r="879" spans="1:28" ht="15.75" customHeight="1">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c r="AA879" s="482"/>
      <c r="AB879" s="482"/>
    </row>
    <row r="880" spans="1:28" ht="15.75" customHeight="1">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c r="AA880" s="482"/>
      <c r="AB880" s="482"/>
    </row>
    <row r="881" spans="1:28" ht="15.75" customHeight="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c r="AA881" s="482"/>
      <c r="AB881" s="482"/>
    </row>
    <row r="882" spans="1:28" ht="15.75" customHeight="1">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c r="AA882" s="482"/>
      <c r="AB882" s="482"/>
    </row>
    <row r="883" spans="1:28" ht="15.75" customHeight="1">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c r="AA883" s="482"/>
      <c r="AB883" s="482"/>
    </row>
    <row r="884" spans="1:28" ht="15.75" customHeight="1">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c r="AA884" s="482"/>
      <c r="AB884" s="482"/>
    </row>
    <row r="885" spans="1:28" ht="15.75" customHeight="1">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c r="AA885" s="482"/>
      <c r="AB885" s="482"/>
    </row>
    <row r="886" spans="1:28" ht="15.75" customHeight="1">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c r="AA886" s="482"/>
      <c r="AB886" s="482"/>
    </row>
    <row r="887" spans="1:28" ht="15.75" customHeight="1">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c r="AA887" s="482"/>
      <c r="AB887" s="482"/>
    </row>
    <row r="888" spans="1:28" ht="15.75" customHeight="1">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c r="AA888" s="482"/>
      <c r="AB888" s="482"/>
    </row>
    <row r="889" spans="1:28" ht="15.75" customHeight="1">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c r="AA889" s="482"/>
      <c r="AB889" s="482"/>
    </row>
    <row r="890" spans="1:28" ht="15.75" customHeight="1">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c r="AA890" s="482"/>
      <c r="AB890" s="482"/>
    </row>
    <row r="891" spans="1:28" ht="15.75" customHeight="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c r="AA891" s="482"/>
      <c r="AB891" s="482"/>
    </row>
    <row r="892" spans="1:28" ht="15.75" customHeight="1">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c r="AA892" s="482"/>
      <c r="AB892" s="482"/>
    </row>
    <row r="893" spans="1:28" ht="15.75" customHeight="1">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c r="AA893" s="482"/>
      <c r="AB893" s="482"/>
    </row>
    <row r="894" spans="1:28" ht="15.75" customHeight="1">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c r="AA894" s="482"/>
      <c r="AB894" s="482"/>
    </row>
    <row r="895" spans="1:28" ht="15.75" customHeight="1">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c r="AA895" s="482"/>
      <c r="AB895" s="482"/>
    </row>
    <row r="896" spans="1:28" ht="15.75" customHeight="1">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c r="AA896" s="482"/>
      <c r="AB896" s="482"/>
    </row>
    <row r="897" spans="1:28" ht="15.75" customHeight="1">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c r="AA897" s="482"/>
      <c r="AB897" s="482"/>
    </row>
    <row r="898" spans="1:28" ht="15.75" customHeight="1">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c r="AA898" s="482"/>
      <c r="AB898" s="482"/>
    </row>
    <row r="899" spans="1:28" ht="15.75" customHeight="1">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c r="AA899" s="482"/>
      <c r="AB899" s="482"/>
    </row>
    <row r="900" spans="1:28" ht="15.75" customHeight="1">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c r="AA900" s="482"/>
      <c r="AB900" s="482"/>
    </row>
    <row r="901" spans="1:28" ht="15.75" customHeight="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c r="AA901" s="482"/>
      <c r="AB901" s="482"/>
    </row>
    <row r="902" spans="1:28" ht="15.75" customHeight="1">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c r="AA902" s="482"/>
      <c r="AB902" s="482"/>
    </row>
    <row r="903" spans="1:28" ht="15.75" customHeight="1">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c r="AA903" s="482"/>
      <c r="AB903" s="482"/>
    </row>
    <row r="904" spans="1:28" ht="15.75" customHeight="1">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c r="AA904" s="482"/>
      <c r="AB904" s="482"/>
    </row>
    <row r="905" spans="1:28" ht="15.75" customHeight="1">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c r="AA905" s="482"/>
      <c r="AB905" s="482"/>
    </row>
    <row r="906" spans="1:28" ht="15.75" customHeight="1">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c r="AA906" s="482"/>
      <c r="AB906" s="482"/>
    </row>
    <row r="907" spans="1:28" ht="15.75" customHeight="1">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c r="AA907" s="482"/>
      <c r="AB907" s="482"/>
    </row>
    <row r="908" spans="1:28" ht="15.75" customHeight="1">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c r="AA908" s="482"/>
      <c r="AB908" s="482"/>
    </row>
    <row r="909" spans="1:28" ht="15.75" customHeight="1">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c r="AA909" s="482"/>
      <c r="AB909" s="482"/>
    </row>
    <row r="910" spans="1:28" ht="15.75" customHeight="1">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c r="AA910" s="482"/>
      <c r="AB910" s="482"/>
    </row>
    <row r="911" spans="1:28" ht="15.75" customHeight="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c r="AA911" s="482"/>
      <c r="AB911" s="482"/>
    </row>
    <row r="912" spans="1:28" ht="15.75" customHeight="1">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c r="AA912" s="482"/>
      <c r="AB912" s="482"/>
    </row>
    <row r="913" spans="1:28" ht="15.75" customHeight="1">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c r="AA913" s="482"/>
      <c r="AB913" s="482"/>
    </row>
    <row r="914" spans="1:28" ht="15.75" customHeight="1">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c r="AA914" s="482"/>
      <c r="AB914" s="482"/>
    </row>
    <row r="915" spans="1:28" ht="15.75" customHeight="1">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c r="AA915" s="482"/>
      <c r="AB915" s="482"/>
    </row>
    <row r="916" spans="1:28" ht="15.75" customHeight="1">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c r="AA916" s="482"/>
      <c r="AB916" s="482"/>
    </row>
    <row r="917" spans="1:28" ht="15.75" customHeight="1">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c r="AA917" s="482"/>
      <c r="AB917" s="482"/>
    </row>
    <row r="918" spans="1:28" ht="15.75" customHeight="1">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c r="AA918" s="482"/>
      <c r="AB918" s="482"/>
    </row>
    <row r="919" spans="1:28" ht="15.75" customHeight="1">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c r="AA919" s="482"/>
      <c r="AB919" s="482"/>
    </row>
    <row r="920" spans="1:28" ht="15.75" customHeight="1">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c r="AA920" s="482"/>
      <c r="AB920" s="482"/>
    </row>
    <row r="921" spans="1:28" ht="15.75" customHeight="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c r="AA921" s="482"/>
      <c r="AB921" s="482"/>
    </row>
    <row r="922" spans="1:28" ht="15.75" customHeight="1">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c r="AA922" s="482"/>
      <c r="AB922" s="482"/>
    </row>
    <row r="923" spans="1:28" ht="15.75" customHeight="1">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c r="AA923" s="482"/>
      <c r="AB923" s="482"/>
    </row>
    <row r="924" spans="1:28" ht="15.75" customHeight="1">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c r="AA924" s="482"/>
      <c r="AB924" s="482"/>
    </row>
    <row r="925" spans="1:28" ht="15.75" customHeight="1">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c r="AA925" s="482"/>
      <c r="AB925" s="482"/>
    </row>
    <row r="926" spans="1:28" ht="15.75" customHeight="1">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c r="AA926" s="482"/>
      <c r="AB926" s="482"/>
    </row>
    <row r="927" spans="1:28" ht="15.75" customHeight="1">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c r="AA927" s="482"/>
      <c r="AB927" s="482"/>
    </row>
    <row r="928" spans="1:28" ht="15.75" customHeight="1">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c r="AA928" s="482"/>
      <c r="AB928" s="482"/>
    </row>
    <row r="929" spans="1:28" ht="15.75" customHeight="1">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c r="AA929" s="482"/>
      <c r="AB929" s="482"/>
    </row>
    <row r="930" spans="1:28" ht="15.75" customHeight="1">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c r="AA930" s="482"/>
      <c r="AB930" s="482"/>
    </row>
    <row r="931" spans="1:28" ht="15.75" customHeight="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c r="AA931" s="482"/>
      <c r="AB931" s="482"/>
    </row>
    <row r="932" spans="1:28" ht="15.75" customHeight="1">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c r="AA932" s="482"/>
      <c r="AB932" s="482"/>
    </row>
    <row r="933" spans="1:28" ht="15.75" customHeight="1">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c r="AA933" s="482"/>
      <c r="AB933" s="482"/>
    </row>
    <row r="934" spans="1:28" ht="15.75" customHeight="1">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c r="AA934" s="482"/>
      <c r="AB934" s="482"/>
    </row>
    <row r="935" spans="1:28" ht="15.75" customHeight="1">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c r="AA935" s="482"/>
      <c r="AB935" s="482"/>
    </row>
    <row r="936" spans="1:28" ht="15.75" customHeight="1">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c r="AA936" s="482"/>
      <c r="AB936" s="482"/>
    </row>
    <row r="937" spans="1:28" ht="15.75" customHeight="1">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c r="AA937" s="482"/>
      <c r="AB937" s="482"/>
    </row>
    <row r="938" spans="1:28" ht="15.75" customHeight="1">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c r="AA938" s="482"/>
      <c r="AB938" s="482"/>
    </row>
    <row r="939" spans="1:28" ht="15.75" customHeight="1">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c r="AA939" s="482"/>
      <c r="AB939" s="482"/>
    </row>
    <row r="940" spans="1:28" ht="15.75" customHeight="1">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c r="AA940" s="482"/>
      <c r="AB940" s="482"/>
    </row>
    <row r="941" spans="1:28" ht="15.75" customHeight="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c r="AA941" s="482"/>
      <c r="AB941" s="482"/>
    </row>
    <row r="942" spans="1:28" ht="15.75" customHeight="1">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c r="AA942" s="482"/>
      <c r="AB942" s="482"/>
    </row>
    <row r="943" spans="1:28" ht="15.75" customHeight="1">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c r="AA943" s="482"/>
      <c r="AB943" s="482"/>
    </row>
    <row r="944" spans="1:28" ht="15.75" customHeight="1">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c r="AA944" s="482"/>
      <c r="AB944" s="482"/>
    </row>
    <row r="945" spans="1:28" ht="15.75" customHeight="1">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c r="AA945" s="482"/>
      <c r="AB945" s="482"/>
    </row>
    <row r="946" spans="1:28" ht="15.75" customHeight="1">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c r="AA946" s="482"/>
      <c r="AB946" s="482"/>
    </row>
    <row r="947" spans="1:28" ht="15.75" customHeight="1">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c r="AA947" s="482"/>
      <c r="AB947" s="482"/>
    </row>
    <row r="948" spans="1:28" ht="15.75" customHeight="1">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c r="AA948" s="482"/>
      <c r="AB948" s="482"/>
    </row>
    <row r="949" spans="1:28" ht="15.75" customHeight="1">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c r="AA949" s="482"/>
      <c r="AB949" s="482"/>
    </row>
    <row r="950" spans="1:28" ht="15.75" customHeight="1">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c r="AA950" s="482"/>
      <c r="AB950" s="482"/>
    </row>
    <row r="951" spans="1:28" ht="15.75" customHeight="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c r="AA951" s="482"/>
      <c r="AB951" s="482"/>
    </row>
    <row r="952" spans="1:28" ht="15.75" customHeight="1">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c r="AA952" s="482"/>
      <c r="AB952" s="482"/>
    </row>
    <row r="953" spans="1:28" ht="15.75" customHeight="1">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c r="AA953" s="482"/>
      <c r="AB953" s="482"/>
    </row>
    <row r="954" spans="1:28" ht="15.75" customHeight="1">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c r="AA954" s="482"/>
      <c r="AB954" s="482"/>
    </row>
    <row r="955" spans="1:28" ht="15.75" customHeight="1">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c r="AA955" s="482"/>
      <c r="AB955" s="482"/>
    </row>
    <row r="956" spans="1:28" ht="15.75" customHeight="1">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c r="AA956" s="482"/>
      <c r="AB956" s="482"/>
    </row>
    <row r="957" spans="1:28" ht="15.75" customHeight="1">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c r="AA957" s="482"/>
      <c r="AB957" s="482"/>
    </row>
    <row r="958" spans="1:28" ht="15.75" customHeight="1">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c r="AA958" s="482"/>
      <c r="AB958" s="482"/>
    </row>
    <row r="959" spans="1:28" ht="15.75" customHeight="1">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c r="AA959" s="482"/>
      <c r="AB959" s="482"/>
    </row>
    <row r="960" spans="1:28" ht="15.75" customHeight="1">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c r="AA960" s="482"/>
      <c r="AB960" s="482"/>
    </row>
    <row r="961" spans="1:28" ht="15.75" customHeight="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c r="AA961" s="482"/>
      <c r="AB961" s="482"/>
    </row>
    <row r="962" spans="1:28" ht="15.75" customHeight="1">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c r="AA962" s="482"/>
      <c r="AB962" s="482"/>
    </row>
    <row r="963" spans="1:28" ht="15.75" customHeight="1">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c r="AA963" s="482"/>
      <c r="AB963" s="482"/>
    </row>
    <row r="964" spans="1:28" ht="15.75" customHeight="1">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c r="AA964" s="482"/>
      <c r="AB964" s="482"/>
    </row>
    <row r="965" spans="1:28" ht="15.75" customHeight="1">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c r="AA965" s="482"/>
      <c r="AB965" s="482"/>
    </row>
    <row r="966" spans="1:28" ht="15.75" customHeight="1">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c r="AA966" s="482"/>
      <c r="AB966" s="482"/>
    </row>
    <row r="967" spans="1:28" ht="15.75" customHeight="1">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c r="AA967" s="482"/>
      <c r="AB967" s="482"/>
    </row>
    <row r="968" spans="1:28" ht="15.75" customHeight="1">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c r="AA968" s="482"/>
      <c r="AB968" s="482"/>
    </row>
    <row r="969" spans="1:28" ht="15.75" customHeight="1">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c r="AA969" s="482"/>
      <c r="AB969" s="482"/>
    </row>
    <row r="970" spans="1:28" ht="15.75" customHeight="1">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c r="AA970" s="482"/>
      <c r="AB970" s="482"/>
    </row>
    <row r="971" spans="1:28" ht="15.75" customHeight="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c r="AA971" s="482"/>
      <c r="AB971" s="482"/>
    </row>
    <row r="972" spans="1:28" ht="15.75" customHeight="1">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c r="AA972" s="482"/>
      <c r="AB972" s="482"/>
    </row>
    <row r="973" spans="1:28" ht="15.75" customHeight="1">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c r="AA973" s="482"/>
      <c r="AB973" s="482"/>
    </row>
    <row r="974" spans="1:28" ht="15.75" customHeight="1">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c r="AA974" s="482"/>
      <c r="AB974" s="482"/>
    </row>
    <row r="975" spans="1:28" ht="15.75" customHeight="1">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c r="AA975" s="482"/>
      <c r="AB975" s="482"/>
    </row>
    <row r="976" spans="1:28" ht="15.75" customHeight="1">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c r="AA976" s="482"/>
      <c r="AB976" s="482"/>
    </row>
    <row r="977" spans="1:28" ht="15.75" customHeight="1">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c r="AA977" s="482"/>
      <c r="AB977" s="482"/>
    </row>
    <row r="978" spans="1:28" ht="15.75" customHeight="1">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c r="AA978" s="482"/>
      <c r="AB978" s="482"/>
    </row>
    <row r="979" spans="1:28" ht="15.75" customHeight="1">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c r="AA979" s="482"/>
      <c r="AB979" s="482"/>
    </row>
    <row r="980" spans="1:28" ht="15.75" customHeight="1">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c r="AA980" s="482"/>
      <c r="AB980" s="482"/>
    </row>
    <row r="981" spans="1:28" ht="15.75" customHeight="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c r="AA981" s="482"/>
      <c r="AB981" s="482"/>
    </row>
    <row r="982" spans="1:28" ht="15.75" customHeight="1">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c r="AA982" s="482"/>
      <c r="AB982" s="482"/>
    </row>
    <row r="983" spans="1:28" ht="15.75" customHeight="1">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c r="AA983" s="482"/>
      <c r="AB983" s="482"/>
    </row>
    <row r="984" spans="1:28" ht="15.75" customHeight="1">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c r="AA984" s="482"/>
      <c r="AB984" s="482"/>
    </row>
    <row r="985" spans="1:28" ht="15.75" customHeight="1">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c r="AA985" s="482"/>
      <c r="AB985" s="482"/>
    </row>
    <row r="986" spans="1:28" ht="15.75" customHeight="1">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c r="AA986" s="482"/>
      <c r="AB986" s="482"/>
    </row>
    <row r="987" spans="1:28" ht="15.75" customHeight="1">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c r="AA987" s="482"/>
      <c r="AB987" s="482"/>
    </row>
    <row r="988" spans="1:28" ht="15.75" customHeight="1">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c r="AA988" s="482"/>
      <c r="AB988" s="482"/>
    </row>
    <row r="989" spans="1:28" ht="15.75" customHeight="1">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c r="AA989" s="482"/>
      <c r="AB989" s="482"/>
    </row>
    <row r="990" spans="1:28" ht="15.75" customHeight="1">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c r="AA990" s="482"/>
      <c r="AB990" s="482"/>
    </row>
    <row r="991" spans="1:28" ht="15.75" customHeight="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c r="AA991" s="482"/>
      <c r="AB991" s="482"/>
    </row>
    <row r="992" spans="1:28" ht="15.75" customHeight="1">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c r="AA992" s="482"/>
      <c r="AB992" s="482"/>
    </row>
    <row r="993" spans="1:28" ht="15.75" customHeight="1">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c r="AA993" s="482"/>
      <c r="AB993" s="482"/>
    </row>
    <row r="994" spans="1:28" ht="15.75" customHeight="1">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c r="AA994" s="482"/>
      <c r="AB994" s="482"/>
    </row>
    <row r="995" spans="1:28" ht="15.75" customHeight="1">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c r="AA995" s="482"/>
      <c r="AB995" s="482"/>
    </row>
    <row r="996" spans="1:28" ht="15.75" customHeight="1">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c r="AA996" s="482"/>
      <c r="AB996" s="482"/>
    </row>
    <row r="997" spans="1:28" ht="15.75" customHeight="1">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c r="AA997" s="482"/>
      <c r="AB997" s="482"/>
    </row>
    <row r="998" spans="1:28" ht="15.75" customHeight="1">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c r="AA998" s="482"/>
      <c r="AB998" s="482"/>
    </row>
    <row r="999" spans="1:28" ht="15.75" customHeight="1">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c r="AA999" s="482"/>
      <c r="AB999" s="482"/>
    </row>
    <row r="1000" spans="1:28" ht="15.75" customHeight="1">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c r="AA1000" s="482"/>
      <c r="AB1000" s="482"/>
    </row>
  </sheetData>
  <pageMargins left="0" right="0" top="0" bottom="0" header="0" footer="0"/>
  <pageSetup scale="54"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E86E7-5D87-419F-AC8D-1EA6099C3880}">
  <dimension ref="A1:AB194"/>
  <sheetViews>
    <sheetView zoomScaleNormal="100" workbookViewId="0">
      <selection activeCell="B4" sqref="B4:B9"/>
    </sheetView>
  </sheetViews>
  <sheetFormatPr baseColWidth="10" defaultColWidth="9.1640625" defaultRowHeight="15"/>
  <cols>
    <col min="1" max="1" width="18.83203125" customWidth="1"/>
    <col min="2" max="2" width="19" customWidth="1"/>
    <col min="3" max="3" width="14.5" customWidth="1"/>
    <col min="4" max="4" width="15.83203125" customWidth="1"/>
    <col min="5" max="5" width="7.83203125" customWidth="1"/>
    <col min="6" max="6" width="10.1640625" customWidth="1"/>
    <col min="7" max="7" width="11.5" customWidth="1"/>
    <col min="9" max="9" width="13.1640625" customWidth="1"/>
    <col min="10" max="10" width="8.1640625" customWidth="1"/>
    <col min="13" max="13" width="9" style="47" customWidth="1"/>
  </cols>
  <sheetData>
    <row r="1" spans="1:25" ht="34">
      <c r="B1" s="87" t="s">
        <v>0</v>
      </c>
      <c r="C1" s="61"/>
      <c r="Y1" s="76"/>
    </row>
    <row r="2" spans="1:25" s="47" customFormat="1" ht="21">
      <c r="B2" s="91" t="s">
        <v>1</v>
      </c>
      <c r="C2" s="92"/>
      <c r="Y2" s="77"/>
    </row>
    <row r="3" spans="1:25" s="47" customFormat="1" ht="19">
      <c r="B3" s="93" t="s">
        <v>2</v>
      </c>
      <c r="C3" s="92"/>
      <c r="Y3" s="78"/>
    </row>
    <row r="4" spans="1:25">
      <c r="A4" s="37" t="s">
        <v>3</v>
      </c>
      <c r="B4" s="43"/>
      <c r="C4" s="44"/>
      <c r="D4" s="44"/>
      <c r="E4" s="44"/>
      <c r="F4" s="44"/>
      <c r="G4" s="44"/>
      <c r="H4" s="44"/>
      <c r="I4" s="44"/>
      <c r="J4" s="44"/>
      <c r="K4" s="44"/>
      <c r="L4" s="44"/>
      <c r="M4" s="48"/>
      <c r="N4" s="44"/>
      <c r="O4" s="44"/>
      <c r="P4" s="44"/>
      <c r="Q4" s="44"/>
      <c r="R4" s="45"/>
    </row>
    <row r="5" spans="1:25">
      <c r="A5" s="37" t="s">
        <v>4</v>
      </c>
      <c r="B5" s="39"/>
      <c r="C5" s="39"/>
      <c r="D5" s="39"/>
      <c r="E5" s="39"/>
      <c r="F5" s="39"/>
      <c r="G5" s="39"/>
      <c r="H5" s="39"/>
      <c r="I5" s="39"/>
      <c r="J5" s="39"/>
      <c r="K5" s="39"/>
      <c r="L5" s="39"/>
      <c r="M5" s="49"/>
      <c r="N5" s="39"/>
      <c r="O5" s="39"/>
      <c r="P5" s="39"/>
      <c r="Q5" s="39"/>
      <c r="R5" s="40"/>
    </row>
    <row r="6" spans="1:25">
      <c r="A6" s="38" t="s">
        <v>5</v>
      </c>
      <c r="B6" s="43"/>
      <c r="C6" s="44"/>
      <c r="D6" s="44"/>
      <c r="E6" s="44"/>
      <c r="F6" s="44"/>
      <c r="G6" s="44"/>
      <c r="H6" s="44"/>
      <c r="I6" s="44"/>
      <c r="J6" s="44"/>
      <c r="K6" s="44"/>
      <c r="L6" s="44"/>
      <c r="M6" s="48"/>
      <c r="N6" s="44"/>
      <c r="O6" s="44"/>
      <c r="P6" s="44"/>
      <c r="Q6" s="44"/>
      <c r="R6" s="45"/>
    </row>
    <row r="7" spans="1:25">
      <c r="A7" s="79"/>
      <c r="B7" s="26"/>
      <c r="C7" s="39"/>
      <c r="D7" s="39"/>
      <c r="E7" s="39"/>
      <c r="F7" s="39"/>
      <c r="G7" s="39"/>
      <c r="H7" s="39"/>
      <c r="I7" s="39"/>
      <c r="J7" s="39"/>
      <c r="K7" s="39"/>
      <c r="L7" s="39"/>
      <c r="M7" s="49"/>
      <c r="N7" s="39"/>
      <c r="O7" s="39"/>
      <c r="P7" s="39"/>
      <c r="Q7" s="39"/>
      <c r="R7" s="40"/>
    </row>
    <row r="8" spans="1:25">
      <c r="A8" s="38" t="s">
        <v>6</v>
      </c>
      <c r="B8" s="119"/>
      <c r="C8" s="44"/>
      <c r="D8" s="44"/>
      <c r="E8" s="44"/>
      <c r="F8" s="44"/>
      <c r="G8" s="44"/>
      <c r="H8" s="44"/>
      <c r="I8" s="44"/>
      <c r="J8" s="44"/>
      <c r="K8" s="44"/>
      <c r="L8" s="44"/>
      <c r="M8" s="48"/>
      <c r="N8" s="44"/>
      <c r="O8" s="44"/>
      <c r="P8" s="44"/>
      <c r="Q8" s="44"/>
      <c r="R8" s="45"/>
    </row>
    <row r="9" spans="1:25">
      <c r="A9" s="36" t="s">
        <v>7</v>
      </c>
      <c r="B9" s="41"/>
      <c r="C9" s="41"/>
      <c r="D9" s="41"/>
      <c r="E9" s="41"/>
      <c r="F9" s="41"/>
      <c r="G9" s="41"/>
      <c r="H9" s="41"/>
      <c r="I9" s="41"/>
      <c r="J9" s="41"/>
      <c r="K9" s="41"/>
      <c r="L9" s="41"/>
      <c r="M9" s="50"/>
      <c r="N9" s="41"/>
      <c r="O9" s="41"/>
      <c r="P9" s="41"/>
      <c r="Q9" s="41"/>
      <c r="R9" s="42"/>
    </row>
    <row r="10" spans="1:25">
      <c r="A10" s="88"/>
    </row>
    <row r="11" spans="1:25" s="86" customFormat="1" ht="26">
      <c r="A11" s="86" t="s">
        <v>8</v>
      </c>
    </row>
    <row r="12" spans="1:25">
      <c r="B12" s="94" t="s">
        <v>9</v>
      </c>
    </row>
    <row r="13" spans="1:25" s="90" customFormat="1">
      <c r="A13" s="89" t="s">
        <v>10</v>
      </c>
    </row>
    <row r="14" spans="1:25">
      <c r="B14" s="117" t="s">
        <v>32</v>
      </c>
      <c r="C14" t="s">
        <v>11</v>
      </c>
    </row>
    <row r="15" spans="1:25" s="90" customFormat="1">
      <c r="A15" s="89" t="s">
        <v>12</v>
      </c>
    </row>
    <row r="16" spans="1:25">
      <c r="B16" s="117"/>
      <c r="C16" t="s">
        <v>11</v>
      </c>
    </row>
    <row r="17" spans="1:28" s="90" customFormat="1">
      <c r="A17" s="89" t="s">
        <v>13</v>
      </c>
    </row>
    <row r="18" spans="1:28">
      <c r="B18" s="43"/>
      <c r="C18" s="44"/>
      <c r="D18" s="44"/>
      <c r="E18" s="44"/>
      <c r="F18" s="44"/>
      <c r="G18" s="44"/>
      <c r="H18" s="44"/>
      <c r="I18" s="44"/>
      <c r="J18" s="44"/>
      <c r="K18" s="44"/>
      <c r="L18" s="44"/>
      <c r="M18" s="48"/>
      <c r="N18" s="44"/>
      <c r="O18" s="44"/>
      <c r="P18" s="44"/>
      <c r="Q18" s="44"/>
      <c r="R18" s="45"/>
      <c r="S18" t="s">
        <v>15</v>
      </c>
    </row>
    <row r="20" spans="1:28" s="64" customFormat="1">
      <c r="A20" s="64" t="s">
        <v>16</v>
      </c>
    </row>
    <row r="21" spans="1:28" s="46" customFormat="1" ht="35" thickBot="1">
      <c r="A21" s="52" t="s">
        <v>17</v>
      </c>
      <c r="B21" s="5"/>
      <c r="C21" s="5"/>
      <c r="D21" s="5"/>
      <c r="E21" s="5"/>
      <c r="F21" s="5"/>
      <c r="G21" s="5"/>
      <c r="H21" s="5"/>
      <c r="I21" s="5"/>
      <c r="J21" s="5"/>
      <c r="K21" s="5"/>
      <c r="L21" s="5"/>
      <c r="M21" s="51"/>
      <c r="N21" s="47"/>
      <c r="O21" s="47"/>
      <c r="P21" s="47"/>
      <c r="Q21" s="47"/>
      <c r="R21" s="47"/>
      <c r="S21" s="47"/>
      <c r="T21" s="47"/>
      <c r="U21" s="47"/>
      <c r="V21" s="47"/>
      <c r="W21" s="47"/>
      <c r="X21" s="47"/>
      <c r="Y21" s="47"/>
      <c r="Z21" s="47"/>
      <c r="AA21" s="47"/>
      <c r="AB21" s="47"/>
    </row>
    <row r="22" spans="1:28" ht="41.25" customHeight="1" thickBot="1">
      <c r="A22" s="55" t="s">
        <v>18</v>
      </c>
      <c r="B22" s="56" t="s">
        <v>19</v>
      </c>
      <c r="C22" s="56" t="s">
        <v>20</v>
      </c>
      <c r="D22" s="56" t="s">
        <v>21</v>
      </c>
      <c r="E22" s="56" t="s">
        <v>22</v>
      </c>
      <c r="F22" s="56" t="s">
        <v>23</v>
      </c>
      <c r="G22" s="56" t="s">
        <v>24</v>
      </c>
      <c r="H22" s="56" t="s">
        <v>25</v>
      </c>
      <c r="I22" s="100"/>
      <c r="J22" s="57" t="s">
        <v>27</v>
      </c>
      <c r="K22" s="57"/>
      <c r="L22" s="57"/>
      <c r="M22" s="58" t="s">
        <v>28</v>
      </c>
      <c r="N22" s="59"/>
      <c r="O22" s="59"/>
      <c r="P22" s="59"/>
      <c r="Q22" s="59"/>
      <c r="R22" s="59"/>
      <c r="S22" s="59"/>
      <c r="T22" s="60"/>
      <c r="U22" s="46"/>
      <c r="V22" s="46"/>
      <c r="W22" s="46"/>
      <c r="X22" s="46"/>
      <c r="Y22" s="46"/>
      <c r="Z22" s="46"/>
      <c r="AA22" s="46"/>
      <c r="AB22" s="46"/>
    </row>
    <row r="23" spans="1:28">
      <c r="A23" s="81" t="s">
        <v>29</v>
      </c>
      <c r="B23" s="120">
        <v>-3.5982794199588137</v>
      </c>
      <c r="C23" s="73" t="s">
        <v>30</v>
      </c>
      <c r="D23" s="12">
        <v>0.17592262140645501</v>
      </c>
      <c r="E23" s="10">
        <v>11</v>
      </c>
      <c r="F23" s="10">
        <v>258.5</v>
      </c>
      <c r="G23" s="6">
        <v>-0.86</v>
      </c>
      <c r="H23" s="14">
        <f t="shared" ref="H23:H86" si="0">0.5-G23-0.01*(F23-25)</f>
        <v>-0.97500000000000009</v>
      </c>
      <c r="I23" s="53" t="s">
        <v>31</v>
      </c>
      <c r="J23" s="54"/>
      <c r="K23" s="14"/>
      <c r="L23" s="14"/>
      <c r="M23" s="11" t="s">
        <v>33</v>
      </c>
    </row>
    <row r="24" spans="1:28">
      <c r="A24" s="82" t="s">
        <v>35</v>
      </c>
      <c r="B24" s="121">
        <v>-3.0410077982817465</v>
      </c>
      <c r="C24" s="73" t="s">
        <v>36</v>
      </c>
      <c r="D24" s="12">
        <v>0.14701293131372209</v>
      </c>
      <c r="E24" s="10">
        <v>16</v>
      </c>
      <c r="F24" s="10">
        <v>142.4</v>
      </c>
      <c r="G24" s="6">
        <v>1.31</v>
      </c>
      <c r="H24" s="14">
        <f t="shared" si="0"/>
        <v>-1.9840000000000002</v>
      </c>
      <c r="I24" s="53" t="s">
        <v>37</v>
      </c>
      <c r="J24" s="54"/>
      <c r="K24" s="14"/>
      <c r="L24" s="14"/>
      <c r="M24" s="11" t="s">
        <v>38</v>
      </c>
    </row>
    <row r="25" spans="1:28">
      <c r="A25" s="81" t="s">
        <v>40</v>
      </c>
      <c r="B25" s="121">
        <v>-4.5316142312300363</v>
      </c>
      <c r="C25" s="73" t="s">
        <v>41</v>
      </c>
      <c r="D25" s="12">
        <v>0.15746026945991629</v>
      </c>
      <c r="E25" s="10">
        <v>4</v>
      </c>
      <c r="F25" s="10">
        <v>92</v>
      </c>
      <c r="G25" s="6">
        <v>2.5299999999999998</v>
      </c>
      <c r="H25" s="14">
        <f t="shared" si="0"/>
        <v>-2.6999999999999997</v>
      </c>
      <c r="I25" s="53" t="s">
        <v>42</v>
      </c>
      <c r="J25" s="54"/>
      <c r="K25" s="14"/>
      <c r="L25" s="14"/>
      <c r="M25" s="11" t="s">
        <v>43</v>
      </c>
    </row>
    <row r="26" spans="1:28">
      <c r="A26" s="82" t="s">
        <v>45</v>
      </c>
      <c r="B26" s="121">
        <v>-1.6952797745513266</v>
      </c>
      <c r="C26" s="73" t="s">
        <v>46</v>
      </c>
      <c r="D26" s="12">
        <v>0.16999222507469616</v>
      </c>
      <c r="E26" s="10">
        <v>3</v>
      </c>
      <c r="F26" s="10">
        <v>234</v>
      </c>
      <c r="G26" s="6">
        <v>3.19</v>
      </c>
      <c r="H26" s="14">
        <f t="shared" si="0"/>
        <v>-4.7799999999999994</v>
      </c>
      <c r="I26" s="15" t="s">
        <v>47</v>
      </c>
      <c r="J26" s="29" t="s">
        <v>367</v>
      </c>
      <c r="K26" s="14"/>
      <c r="L26" s="14"/>
      <c r="M26" s="11" t="s">
        <v>48</v>
      </c>
    </row>
    <row r="27" spans="1:28">
      <c r="A27" s="82" t="s">
        <v>50</v>
      </c>
      <c r="B27" s="121">
        <v>-5.4292552482325256</v>
      </c>
      <c r="C27" s="73" t="s">
        <v>51</v>
      </c>
      <c r="D27" s="12">
        <v>0.21168830858587184</v>
      </c>
      <c r="E27" s="10">
        <v>3</v>
      </c>
      <c r="F27" s="10">
        <v>139.25</v>
      </c>
      <c r="G27" s="6">
        <v>4.8600000000000003</v>
      </c>
      <c r="H27" s="14">
        <f t="shared" si="0"/>
        <v>-5.5025000000000004</v>
      </c>
      <c r="I27" s="15" t="s">
        <v>52</v>
      </c>
      <c r="J27" s="29"/>
      <c r="K27" s="14"/>
      <c r="L27" s="14"/>
      <c r="M27" s="11" t="s">
        <v>53</v>
      </c>
    </row>
    <row r="28" spans="1:28">
      <c r="A28" s="81" t="s">
        <v>55</v>
      </c>
      <c r="B28" s="121">
        <v>-5.947994696517962</v>
      </c>
      <c r="C28" s="71"/>
      <c r="D28" s="12">
        <v>0.18412396392404196</v>
      </c>
      <c r="E28" s="10">
        <v>3</v>
      </c>
      <c r="F28" s="10">
        <v>224.00000000000003</v>
      </c>
      <c r="G28" s="6">
        <v>5.51</v>
      </c>
      <c r="H28" s="14">
        <f t="shared" si="0"/>
        <v>-7</v>
      </c>
      <c r="I28" s="15" t="s">
        <v>56</v>
      </c>
      <c r="J28" s="29"/>
      <c r="K28" s="14"/>
      <c r="L28" s="14"/>
      <c r="M28" s="11" t="s">
        <v>57</v>
      </c>
    </row>
    <row r="29" spans="1:28">
      <c r="A29" s="81" t="s">
        <v>59</v>
      </c>
      <c r="B29" s="121">
        <v>-2.3811202123799555</v>
      </c>
      <c r="C29" s="71"/>
      <c r="D29" s="12">
        <v>0.14933733874523175</v>
      </c>
      <c r="E29" s="10">
        <v>6</v>
      </c>
      <c r="F29" s="10">
        <v>172.5</v>
      </c>
      <c r="G29" s="6">
        <v>1.78</v>
      </c>
      <c r="H29" s="14">
        <f t="shared" si="0"/>
        <v>-2.7549999999999999</v>
      </c>
      <c r="I29" s="15" t="s">
        <v>60</v>
      </c>
      <c r="J29" s="31"/>
      <c r="K29" s="14"/>
      <c r="L29" s="14"/>
      <c r="M29" s="11" t="s">
        <v>61</v>
      </c>
    </row>
    <row r="30" spans="1:28">
      <c r="A30" s="81" t="s">
        <v>63</v>
      </c>
      <c r="B30" s="121">
        <v>-3.40383804791241</v>
      </c>
      <c r="C30" s="71"/>
      <c r="D30" s="12">
        <v>0.14842266063120066</v>
      </c>
      <c r="E30" s="10">
        <v>4</v>
      </c>
      <c r="F30" s="10">
        <v>207.50000000000003</v>
      </c>
      <c r="G30" s="6">
        <v>1.86</v>
      </c>
      <c r="H30" s="14">
        <f t="shared" si="0"/>
        <v>-3.1850000000000005</v>
      </c>
      <c r="I30" s="30" t="s">
        <v>64</v>
      </c>
      <c r="J30" s="32"/>
      <c r="K30" s="33"/>
      <c r="L30" s="34"/>
      <c r="M30" s="11" t="s">
        <v>65</v>
      </c>
    </row>
    <row r="31" spans="1:28">
      <c r="A31" s="83" t="s">
        <v>66</v>
      </c>
      <c r="B31" s="121">
        <v>1.950287675954256E-2</v>
      </c>
      <c r="C31" s="71"/>
      <c r="D31" s="12">
        <v>0.1617973106900604</v>
      </c>
      <c r="E31" s="10">
        <v>10</v>
      </c>
      <c r="F31" s="10">
        <v>166.5</v>
      </c>
      <c r="G31" s="6">
        <v>0.79</v>
      </c>
      <c r="H31" s="14">
        <f t="shared" si="0"/>
        <v>-1.7050000000000001</v>
      </c>
      <c r="J31" s="14"/>
      <c r="K31" s="14"/>
      <c r="L31" s="14"/>
      <c r="M31" s="11" t="s">
        <v>67</v>
      </c>
    </row>
    <row r="32" spans="1:28">
      <c r="A32" s="82" t="s">
        <v>68</v>
      </c>
      <c r="B32" s="121">
        <v>-5.2987528302512441</v>
      </c>
      <c r="C32" s="71"/>
      <c r="D32" s="12">
        <v>0.21543706061278237</v>
      </c>
      <c r="E32" s="10">
        <v>6</v>
      </c>
      <c r="F32" s="10">
        <v>231.5</v>
      </c>
      <c r="G32" s="6">
        <v>2.4300000000000002</v>
      </c>
      <c r="H32" s="14">
        <f t="shared" si="0"/>
        <v>-3.9950000000000001</v>
      </c>
      <c r="I32" s="16" t="s">
        <v>69</v>
      </c>
      <c r="J32" s="17"/>
      <c r="K32" s="17"/>
      <c r="L32" s="18"/>
      <c r="M32" s="11" t="s">
        <v>70</v>
      </c>
    </row>
    <row r="33" spans="1:13">
      <c r="A33" s="84" t="s">
        <v>71</v>
      </c>
      <c r="B33" s="122">
        <v>-2.40881516789198</v>
      </c>
      <c r="C33" s="72"/>
      <c r="D33" s="4">
        <v>0.12912520605069597</v>
      </c>
      <c r="E33" s="2">
        <v>3</v>
      </c>
      <c r="F33" s="13">
        <v>192.7</v>
      </c>
      <c r="G33" s="6">
        <v>2.63</v>
      </c>
      <c r="H33" s="14">
        <f t="shared" si="0"/>
        <v>-3.8069999999999995</v>
      </c>
      <c r="I33" s="901" t="s">
        <v>1010</v>
      </c>
      <c r="J33" s="902"/>
      <c r="K33" s="902"/>
      <c r="L33" s="903"/>
      <c r="M33" s="11" t="s">
        <v>72</v>
      </c>
    </row>
    <row r="34" spans="1:13">
      <c r="A34" s="81" t="s">
        <v>74</v>
      </c>
      <c r="B34" s="121">
        <v>-7.4730024235053545</v>
      </c>
      <c r="C34" s="71"/>
      <c r="D34" s="12">
        <v>0.14911462098310888</v>
      </c>
      <c r="E34" s="10">
        <v>6</v>
      </c>
      <c r="F34" s="10">
        <v>167</v>
      </c>
      <c r="G34" s="6">
        <v>6.32</v>
      </c>
      <c r="H34" s="14">
        <f t="shared" si="0"/>
        <v>-7.24</v>
      </c>
      <c r="I34" s="904"/>
      <c r="J34" s="905"/>
      <c r="K34" s="905"/>
      <c r="L34" s="906"/>
      <c r="M34" s="11" t="s">
        <v>75</v>
      </c>
    </row>
    <row r="35" spans="1:13">
      <c r="A35" s="82" t="s">
        <v>77</v>
      </c>
      <c r="B35" s="121">
        <v>-2.7596600036063124</v>
      </c>
      <c r="C35" s="71"/>
      <c r="D35" s="12">
        <v>0.15809078703524676</v>
      </c>
      <c r="E35" s="10">
        <v>15</v>
      </c>
      <c r="F35" s="10">
        <v>191.5</v>
      </c>
      <c r="G35" s="6">
        <v>3.39</v>
      </c>
      <c r="H35" s="14">
        <f t="shared" si="0"/>
        <v>-4.5549999999999997</v>
      </c>
      <c r="I35" s="904"/>
      <c r="J35" s="905"/>
      <c r="K35" s="905"/>
      <c r="L35" s="906"/>
      <c r="M35" s="11" t="s">
        <v>78</v>
      </c>
    </row>
    <row r="36" spans="1:13">
      <c r="A36" s="83" t="s">
        <v>80</v>
      </c>
      <c r="B36" s="121">
        <v>-0.33483373313199516</v>
      </c>
      <c r="C36" s="71"/>
      <c r="D36" s="12">
        <v>0.1911503089068218</v>
      </c>
      <c r="E36" s="10">
        <v>3</v>
      </c>
      <c r="F36" s="10">
        <v>246.2</v>
      </c>
      <c r="G36" s="6">
        <v>3.32</v>
      </c>
      <c r="H36" s="14">
        <f t="shared" si="0"/>
        <v>-5.032</v>
      </c>
      <c r="I36" s="904"/>
      <c r="J36" s="905"/>
      <c r="K36" s="905"/>
      <c r="L36" s="906"/>
      <c r="M36" s="11" t="s">
        <v>81</v>
      </c>
    </row>
    <row r="37" spans="1:13">
      <c r="A37" s="83" t="s">
        <v>73</v>
      </c>
      <c r="B37" s="121">
        <v>-1.0733108568647178</v>
      </c>
      <c r="C37" s="71"/>
      <c r="D37" s="12">
        <v>0.19050575600734274</v>
      </c>
      <c r="E37" s="10">
        <v>4</v>
      </c>
      <c r="F37" s="10">
        <v>304</v>
      </c>
      <c r="G37" s="6">
        <v>1.74</v>
      </c>
      <c r="H37" s="14">
        <f t="shared" si="0"/>
        <v>-4.03</v>
      </c>
      <c r="I37" s="904"/>
      <c r="J37" s="905"/>
      <c r="K37" s="905"/>
      <c r="L37" s="906"/>
      <c r="M37" s="11" t="s">
        <v>83</v>
      </c>
    </row>
    <row r="38" spans="1:13">
      <c r="A38" s="81" t="s">
        <v>76</v>
      </c>
      <c r="B38" s="121">
        <v>-8.0669505861286606</v>
      </c>
      <c r="C38" s="71"/>
      <c r="D38" s="12">
        <v>0.13682393527498057</v>
      </c>
      <c r="E38" s="10">
        <v>7</v>
      </c>
      <c r="F38" s="10">
        <v>187</v>
      </c>
      <c r="G38" s="6">
        <v>-0.87</v>
      </c>
      <c r="H38" s="14">
        <f t="shared" si="0"/>
        <v>-0.25</v>
      </c>
      <c r="I38" s="904"/>
      <c r="J38" s="905"/>
      <c r="K38" s="905"/>
      <c r="L38" s="906"/>
      <c r="M38" s="66" t="s">
        <v>85</v>
      </c>
    </row>
    <row r="39" spans="1:13">
      <c r="A39" s="81" t="s">
        <v>87</v>
      </c>
      <c r="B39" s="121">
        <v>-8.0420276614392812</v>
      </c>
      <c r="C39" s="71"/>
      <c r="D39" s="12">
        <v>0.20462356367492032</v>
      </c>
      <c r="E39" s="10">
        <v>4</v>
      </c>
      <c r="F39" s="10">
        <v>221.5</v>
      </c>
      <c r="G39" s="6">
        <v>0.71</v>
      </c>
      <c r="H39" s="14">
        <f t="shared" si="0"/>
        <v>-2.1749999999999998</v>
      </c>
      <c r="I39" s="904"/>
      <c r="J39" s="905"/>
      <c r="K39" s="905"/>
      <c r="L39" s="906"/>
      <c r="M39" s="11" t="s">
        <v>88</v>
      </c>
    </row>
    <row r="40" spans="1:13">
      <c r="A40" s="81" t="s">
        <v>90</v>
      </c>
      <c r="B40" s="121">
        <v>-6.4688171147737945</v>
      </c>
      <c r="C40" s="71"/>
      <c r="D40" s="12">
        <v>0.18274602564465547</v>
      </c>
      <c r="E40" s="10">
        <v>6</v>
      </c>
      <c r="F40" s="10">
        <v>157.83333333333334</v>
      </c>
      <c r="G40" s="6">
        <v>3.51</v>
      </c>
      <c r="H40" s="14">
        <f t="shared" si="0"/>
        <v>-4.3383333333333329</v>
      </c>
      <c r="I40" s="904"/>
      <c r="J40" s="905"/>
      <c r="K40" s="905"/>
      <c r="L40" s="906"/>
      <c r="M40" s="11" t="s">
        <v>91</v>
      </c>
    </row>
    <row r="41" spans="1:13">
      <c r="A41" s="84" t="s">
        <v>93</v>
      </c>
      <c r="B41" s="122">
        <v>-6.3067745361409751</v>
      </c>
      <c r="C41" s="72"/>
      <c r="D41" s="4">
        <v>0.12610247911779729</v>
      </c>
      <c r="E41" s="2">
        <v>8</v>
      </c>
      <c r="F41" s="10">
        <v>140</v>
      </c>
      <c r="G41" s="6">
        <v>0.35</v>
      </c>
      <c r="H41" s="14">
        <f t="shared" si="0"/>
        <v>-1</v>
      </c>
      <c r="I41" s="904"/>
      <c r="J41" s="905"/>
      <c r="K41" s="905"/>
      <c r="L41" s="906"/>
      <c r="M41" s="11" t="s">
        <v>94</v>
      </c>
    </row>
    <row r="42" spans="1:13">
      <c r="A42" s="82" t="s">
        <v>96</v>
      </c>
      <c r="B42" s="121">
        <v>-1.5795366291490507</v>
      </c>
      <c r="C42" s="71"/>
      <c r="D42" s="12">
        <v>0.14493441954543959</v>
      </c>
      <c r="E42" s="10">
        <v>7</v>
      </c>
      <c r="F42" s="10">
        <v>127.93333333333334</v>
      </c>
      <c r="G42" s="6">
        <v>1.74</v>
      </c>
      <c r="H42" s="14">
        <f t="shared" si="0"/>
        <v>-2.2693333333333334</v>
      </c>
      <c r="I42" s="904"/>
      <c r="J42" s="905"/>
      <c r="K42" s="905"/>
      <c r="L42" s="906"/>
      <c r="M42" s="11" t="s">
        <v>97</v>
      </c>
    </row>
    <row r="43" spans="1:13">
      <c r="A43" s="82" t="s">
        <v>79</v>
      </c>
      <c r="B43" s="121">
        <v>-6.1497324762810415</v>
      </c>
      <c r="C43" s="71"/>
      <c r="D43" s="12">
        <v>0.14861388626870758</v>
      </c>
      <c r="E43" s="10">
        <v>7</v>
      </c>
      <c r="F43" s="10">
        <v>176</v>
      </c>
      <c r="G43" s="6">
        <v>4.4800000000000004</v>
      </c>
      <c r="H43" s="14">
        <f t="shared" si="0"/>
        <v>-5.49</v>
      </c>
      <c r="I43" s="904"/>
      <c r="J43" s="905"/>
      <c r="K43" s="905"/>
      <c r="L43" s="906"/>
      <c r="M43" s="11" t="s">
        <v>99</v>
      </c>
    </row>
    <row r="44" spans="1:13">
      <c r="A44" s="85" t="s">
        <v>101</v>
      </c>
      <c r="B44" s="122">
        <v>-1.8422402224251073</v>
      </c>
      <c r="C44" s="72"/>
      <c r="D44" s="4">
        <v>0.1280711495400205</v>
      </c>
      <c r="E44" s="2">
        <v>3</v>
      </c>
      <c r="F44" s="10">
        <v>159.69999999999999</v>
      </c>
      <c r="G44" s="6">
        <v>3.46</v>
      </c>
      <c r="H44" s="14">
        <f t="shared" si="0"/>
        <v>-4.3070000000000004</v>
      </c>
      <c r="I44" s="904"/>
      <c r="J44" s="905"/>
      <c r="K44" s="905"/>
      <c r="L44" s="906"/>
      <c r="M44" s="11" t="s">
        <v>102</v>
      </c>
    </row>
    <row r="45" spans="1:13">
      <c r="A45" s="84" t="s">
        <v>104</v>
      </c>
      <c r="B45" s="122">
        <v>-1.9849134031328037</v>
      </c>
      <c r="C45" s="72"/>
      <c r="D45" s="4">
        <v>0.21683500301481054</v>
      </c>
      <c r="E45" s="2">
        <v>8</v>
      </c>
      <c r="F45" s="10">
        <v>142</v>
      </c>
      <c r="G45" s="6">
        <v>0.6</v>
      </c>
      <c r="H45" s="14">
        <f t="shared" si="0"/>
        <v>-1.27</v>
      </c>
      <c r="I45" s="904"/>
      <c r="J45" s="905"/>
      <c r="K45" s="905"/>
      <c r="L45" s="906"/>
      <c r="M45" s="11" t="s">
        <v>105</v>
      </c>
    </row>
    <row r="46" spans="1:13">
      <c r="A46" s="82" t="s">
        <v>107</v>
      </c>
      <c r="B46" s="121">
        <v>-5.1658679220719561</v>
      </c>
      <c r="C46" s="71"/>
      <c r="D46" s="12">
        <v>0.18255878892749886</v>
      </c>
      <c r="E46" s="10">
        <v>20</v>
      </c>
      <c r="F46" s="10">
        <v>267</v>
      </c>
      <c r="G46" s="6">
        <v>1.58</v>
      </c>
      <c r="H46" s="14">
        <f t="shared" si="0"/>
        <v>-3.5</v>
      </c>
      <c r="I46" s="904"/>
      <c r="J46" s="905"/>
      <c r="K46" s="905"/>
      <c r="L46" s="906"/>
      <c r="M46" s="11" t="s">
        <v>108</v>
      </c>
    </row>
    <row r="47" spans="1:13">
      <c r="A47" s="81" t="s">
        <v>110</v>
      </c>
      <c r="B47" s="121">
        <v>-3.1292578368824904</v>
      </c>
      <c r="C47" s="71"/>
      <c r="D47" s="12">
        <v>0.16704647063532602</v>
      </c>
      <c r="E47" s="10">
        <v>6</v>
      </c>
      <c r="F47" s="10">
        <v>110.00000000000001</v>
      </c>
      <c r="G47" s="6">
        <v>3.36</v>
      </c>
      <c r="H47" s="14">
        <f t="shared" si="0"/>
        <v>-3.71</v>
      </c>
      <c r="I47" s="904"/>
      <c r="J47" s="905"/>
      <c r="K47" s="905"/>
      <c r="L47" s="906"/>
      <c r="M47" s="11" t="s">
        <v>111</v>
      </c>
    </row>
    <row r="48" spans="1:13">
      <c r="A48" s="82" t="s">
        <v>82</v>
      </c>
      <c r="B48" s="121">
        <v>-1.7487329410058954</v>
      </c>
      <c r="C48" s="71"/>
      <c r="D48" s="12">
        <v>0.17164501312359953</v>
      </c>
      <c r="E48" s="10">
        <v>7</v>
      </c>
      <c r="F48" s="10">
        <v>182</v>
      </c>
      <c r="G48" s="6">
        <v>2.67</v>
      </c>
      <c r="H48" s="14">
        <f t="shared" si="0"/>
        <v>-3.74</v>
      </c>
      <c r="I48" s="904"/>
      <c r="J48" s="905"/>
      <c r="K48" s="905"/>
      <c r="L48" s="906"/>
      <c r="M48" s="11" t="s">
        <v>113</v>
      </c>
    </row>
    <row r="49" spans="1:13">
      <c r="A49" s="84" t="s">
        <v>115</v>
      </c>
      <c r="B49" s="122">
        <v>-1.8575303175055899</v>
      </c>
      <c r="C49" s="72"/>
      <c r="D49" s="4">
        <v>0.12558353028546052</v>
      </c>
      <c r="E49" s="2">
        <v>4</v>
      </c>
      <c r="F49" s="10">
        <v>222.00000000000003</v>
      </c>
      <c r="G49" s="6">
        <v>2.56</v>
      </c>
      <c r="H49" s="14">
        <f t="shared" si="0"/>
        <v>-4.03</v>
      </c>
      <c r="I49" s="904"/>
      <c r="J49" s="905"/>
      <c r="K49" s="905"/>
      <c r="L49" s="906"/>
      <c r="M49" s="11" t="s">
        <v>116</v>
      </c>
    </row>
    <row r="50" spans="1:13">
      <c r="A50" s="82" t="s">
        <v>118</v>
      </c>
      <c r="B50" s="121">
        <v>5.3432124164454287</v>
      </c>
      <c r="C50" s="71"/>
      <c r="D50" s="12">
        <v>0.1568133990664792</v>
      </c>
      <c r="E50" s="10">
        <v>6</v>
      </c>
      <c r="F50" s="10">
        <v>151</v>
      </c>
      <c r="G50" s="6">
        <v>3.27</v>
      </c>
      <c r="H50" s="14">
        <f t="shared" si="0"/>
        <v>-4.03</v>
      </c>
      <c r="I50" s="904"/>
      <c r="J50" s="905"/>
      <c r="K50" s="905"/>
      <c r="L50" s="906"/>
      <c r="M50" s="11" t="s">
        <v>119</v>
      </c>
    </row>
    <row r="51" spans="1:13">
      <c r="A51" s="85" t="s">
        <v>84</v>
      </c>
      <c r="B51" s="122">
        <v>-2.1297948347399087</v>
      </c>
      <c r="C51" s="72"/>
      <c r="D51" s="4">
        <v>0.12789394574374285</v>
      </c>
      <c r="E51" s="2">
        <v>5</v>
      </c>
      <c r="F51" s="10">
        <v>330</v>
      </c>
      <c r="G51" s="6">
        <v>2.87</v>
      </c>
      <c r="H51" s="14">
        <f t="shared" si="0"/>
        <v>-5.42</v>
      </c>
      <c r="I51" s="904"/>
      <c r="J51" s="905"/>
      <c r="K51" s="905"/>
      <c r="L51" s="906"/>
      <c r="M51" s="11" t="s">
        <v>120</v>
      </c>
    </row>
    <row r="52" spans="1:13">
      <c r="A52" s="82" t="s">
        <v>121</v>
      </c>
      <c r="B52" s="121">
        <v>-2.4557396150849895</v>
      </c>
      <c r="C52" s="71"/>
      <c r="D52" s="12">
        <v>0.18012800124370357</v>
      </c>
      <c r="E52" s="10">
        <v>3</v>
      </c>
      <c r="F52" s="10">
        <v>100</v>
      </c>
      <c r="G52" s="6">
        <v>3.53</v>
      </c>
      <c r="H52" s="14">
        <f t="shared" si="0"/>
        <v>-3.78</v>
      </c>
      <c r="I52" s="904"/>
      <c r="J52" s="905"/>
      <c r="K52" s="905"/>
      <c r="L52" s="906"/>
      <c r="M52" s="11" t="s">
        <v>122</v>
      </c>
    </row>
    <row r="53" spans="1:13">
      <c r="A53" s="81" t="s">
        <v>123</v>
      </c>
      <c r="B53" s="121">
        <v>-1.2524418271526692</v>
      </c>
      <c r="C53" s="71"/>
      <c r="D53" s="12">
        <v>0.18062104750721683</v>
      </c>
      <c r="E53" s="10">
        <v>16</v>
      </c>
      <c r="F53" s="10">
        <v>262.5</v>
      </c>
      <c r="G53" s="6">
        <v>1.9</v>
      </c>
      <c r="H53" s="14">
        <f t="shared" si="0"/>
        <v>-3.7749999999999999</v>
      </c>
      <c r="I53" s="904"/>
      <c r="J53" s="905"/>
      <c r="K53" s="905"/>
      <c r="L53" s="906"/>
      <c r="M53" s="11" t="s">
        <v>124</v>
      </c>
    </row>
    <row r="54" spans="1:13">
      <c r="A54" s="84" t="s">
        <v>125</v>
      </c>
      <c r="B54" s="122">
        <v>-3.7805861837490817</v>
      </c>
      <c r="C54" s="72"/>
      <c r="D54" s="4">
        <v>0.22156244268660033</v>
      </c>
      <c r="E54" s="2">
        <v>4</v>
      </c>
      <c r="F54" s="10">
        <v>328.85</v>
      </c>
      <c r="G54" s="6">
        <v>1.87</v>
      </c>
      <c r="H54" s="14">
        <f t="shared" si="0"/>
        <v>-4.4085000000000001</v>
      </c>
      <c r="I54" s="904"/>
      <c r="J54" s="905"/>
      <c r="K54" s="905"/>
      <c r="L54" s="906"/>
      <c r="M54" s="11" t="s">
        <v>126</v>
      </c>
    </row>
    <row r="55" spans="1:13">
      <c r="A55" s="82" t="s">
        <v>127</v>
      </c>
      <c r="B55" s="121">
        <v>-7.8242469358788593</v>
      </c>
      <c r="C55" s="71"/>
      <c r="D55" s="12">
        <v>0.18450811780713378</v>
      </c>
      <c r="E55" s="10">
        <v>33</v>
      </c>
      <c r="F55" s="10">
        <v>167.5</v>
      </c>
      <c r="G55" s="6">
        <v>4.3600000000000003</v>
      </c>
      <c r="H55" s="14">
        <f t="shared" si="0"/>
        <v>-5.2850000000000001</v>
      </c>
      <c r="I55" s="904"/>
      <c r="J55" s="905"/>
      <c r="K55" s="905"/>
      <c r="L55" s="906"/>
      <c r="M55" s="11" t="s">
        <v>128</v>
      </c>
    </row>
    <row r="56" spans="1:13">
      <c r="A56" s="82" t="s">
        <v>86</v>
      </c>
      <c r="B56" s="121">
        <v>-1.8504700589469807</v>
      </c>
      <c r="C56" s="71"/>
      <c r="D56" s="12">
        <v>0.15609203233531485</v>
      </c>
      <c r="E56" s="10">
        <v>3</v>
      </c>
      <c r="F56" s="10">
        <v>223</v>
      </c>
      <c r="G56" s="6">
        <v>2.99</v>
      </c>
      <c r="H56" s="14">
        <f t="shared" si="0"/>
        <v>-4.4700000000000006</v>
      </c>
      <c r="I56" s="904"/>
      <c r="J56" s="905"/>
      <c r="K56" s="905"/>
      <c r="L56" s="906"/>
      <c r="M56" s="11" t="s">
        <v>129</v>
      </c>
    </row>
    <row r="57" spans="1:13">
      <c r="A57" s="82" t="s">
        <v>89</v>
      </c>
      <c r="B57" s="121">
        <v>-6.0974899914081577</v>
      </c>
      <c r="C57" s="71"/>
      <c r="D57" s="12">
        <v>0.20872343532408041</v>
      </c>
      <c r="E57" s="10">
        <v>3</v>
      </c>
      <c r="F57" s="10">
        <v>210.5</v>
      </c>
      <c r="G57" s="6">
        <v>2.72</v>
      </c>
      <c r="H57" s="14">
        <f t="shared" si="0"/>
        <v>-4.0750000000000002</v>
      </c>
      <c r="I57" s="907"/>
      <c r="J57" s="908"/>
      <c r="K57" s="908"/>
      <c r="L57" s="909"/>
      <c r="M57" s="11" t="s">
        <v>130</v>
      </c>
    </row>
    <row r="58" spans="1:13">
      <c r="A58" s="84" t="s">
        <v>131</v>
      </c>
      <c r="B58" s="122">
        <v>-2.5709586766484831</v>
      </c>
      <c r="C58" s="72"/>
      <c r="D58" s="4">
        <v>0.1297319013416561</v>
      </c>
      <c r="E58" s="2">
        <v>3</v>
      </c>
      <c r="F58" s="10">
        <v>209.75</v>
      </c>
      <c r="G58" s="6">
        <v>3.37</v>
      </c>
      <c r="H58" s="14">
        <f t="shared" si="0"/>
        <v>-4.7175000000000002</v>
      </c>
      <c r="J58" s="14"/>
      <c r="K58" s="14"/>
      <c r="L58" s="14"/>
      <c r="M58" s="11" t="s">
        <v>132</v>
      </c>
    </row>
    <row r="59" spans="1:13">
      <c r="A59" s="81" t="s">
        <v>92</v>
      </c>
      <c r="B59" s="121">
        <v>-1.4904316872411256</v>
      </c>
      <c r="C59" s="71"/>
      <c r="D59" s="12">
        <v>0.14124198841117766</v>
      </c>
      <c r="E59" s="10">
        <v>3</v>
      </c>
      <c r="F59" s="10">
        <v>53.5</v>
      </c>
      <c r="G59" s="6">
        <v>3.43</v>
      </c>
      <c r="H59" s="14">
        <f t="shared" si="0"/>
        <v>-3.2150000000000003</v>
      </c>
      <c r="I59" s="70" t="s">
        <v>133</v>
      </c>
      <c r="J59" s="32">
        <v>4394</v>
      </c>
      <c r="K59" s="34"/>
      <c r="L59" s="14"/>
      <c r="M59" s="11" t="s">
        <v>134</v>
      </c>
    </row>
    <row r="60" spans="1:13">
      <c r="A60" s="81" t="s">
        <v>135</v>
      </c>
      <c r="B60" s="121">
        <v>-4.2909646156814976</v>
      </c>
      <c r="C60" s="71"/>
      <c r="D60" s="12">
        <v>0.17069281866408892</v>
      </c>
      <c r="E60" s="10">
        <v>6</v>
      </c>
      <c r="F60" s="10">
        <v>270</v>
      </c>
      <c r="G60" s="6">
        <v>0.05</v>
      </c>
      <c r="H60" s="14">
        <f t="shared" si="0"/>
        <v>-2</v>
      </c>
      <c r="I60" s="70" t="s">
        <v>136</v>
      </c>
      <c r="J60" s="32">
        <v>941</v>
      </c>
      <c r="K60" s="34">
        <v>941</v>
      </c>
      <c r="L60" s="14"/>
      <c r="M60" s="11" t="s">
        <v>137</v>
      </c>
    </row>
    <row r="61" spans="1:13">
      <c r="A61" s="82" t="s">
        <v>138</v>
      </c>
      <c r="B61" s="121">
        <v>-3.7032020226962397</v>
      </c>
      <c r="C61" s="71"/>
      <c r="D61" s="12">
        <v>0.2061475968316322</v>
      </c>
      <c r="E61" s="10">
        <v>3</v>
      </c>
      <c r="F61" s="10">
        <v>143.75</v>
      </c>
      <c r="G61" s="6">
        <v>1.6</v>
      </c>
      <c r="H61" s="14">
        <f t="shared" si="0"/>
        <v>-2.2875000000000001</v>
      </c>
      <c r="I61" s="70" t="s">
        <v>139</v>
      </c>
      <c r="J61" s="75">
        <f>COUNTA(A23:A122)</f>
        <v>100</v>
      </c>
      <c r="K61" s="34"/>
      <c r="L61" s="14"/>
      <c r="M61" s="11" t="s">
        <v>140</v>
      </c>
    </row>
    <row r="62" spans="1:13">
      <c r="A62" s="81" t="s">
        <v>141</v>
      </c>
      <c r="B62" s="121">
        <v>-1.6382348333702508</v>
      </c>
      <c r="C62" s="71"/>
      <c r="D62" s="12">
        <v>0.18021422622763517</v>
      </c>
      <c r="E62" s="10">
        <v>5</v>
      </c>
      <c r="F62" s="10">
        <v>214.5</v>
      </c>
      <c r="G62" s="6">
        <v>3.61</v>
      </c>
      <c r="H62" s="14">
        <f t="shared" si="0"/>
        <v>-5.0049999999999999</v>
      </c>
      <c r="I62" s="14"/>
      <c r="J62" s="14"/>
      <c r="K62" s="14"/>
      <c r="L62" s="14"/>
      <c r="M62" s="11" t="s">
        <v>142</v>
      </c>
    </row>
    <row r="63" spans="1:13">
      <c r="A63" s="82" t="s">
        <v>143</v>
      </c>
      <c r="B63" s="121">
        <v>-1.6221531580833157</v>
      </c>
      <c r="C63" s="71"/>
      <c r="D63" s="12">
        <v>0.19225415374507382</v>
      </c>
      <c r="E63" s="10">
        <v>8</v>
      </c>
      <c r="F63" s="10">
        <v>255.29999999999998</v>
      </c>
      <c r="G63" s="6">
        <v>3.82</v>
      </c>
      <c r="H63" s="14">
        <f t="shared" si="0"/>
        <v>-5.6229999999999993</v>
      </c>
      <c r="I63" s="19" t="s">
        <v>144</v>
      </c>
      <c r="J63" s="17"/>
      <c r="K63" s="17"/>
      <c r="L63" s="18"/>
      <c r="M63" s="11" t="s">
        <v>145</v>
      </c>
    </row>
    <row r="64" spans="1:13">
      <c r="A64" s="82" t="s">
        <v>146</v>
      </c>
      <c r="B64" s="121">
        <v>-3.6446206286538576</v>
      </c>
      <c r="C64" s="71"/>
      <c r="D64" s="12">
        <v>0.17</v>
      </c>
      <c r="E64" s="10">
        <v>3</v>
      </c>
      <c r="F64" s="10">
        <v>189</v>
      </c>
      <c r="G64" s="6">
        <v>1.34</v>
      </c>
      <c r="H64" s="14">
        <f t="shared" si="0"/>
        <v>-2.4800000000000004</v>
      </c>
      <c r="I64" s="901" t="s">
        <v>1011</v>
      </c>
      <c r="J64" s="902"/>
      <c r="K64" s="902"/>
      <c r="L64" s="903"/>
      <c r="M64" s="11" t="s">
        <v>148</v>
      </c>
    </row>
    <row r="65" spans="1:13">
      <c r="A65" s="82" t="s">
        <v>149</v>
      </c>
      <c r="B65" s="121">
        <v>-2.814225891475834</v>
      </c>
      <c r="C65" s="71"/>
      <c r="D65" s="12">
        <v>0.19794493160510693</v>
      </c>
      <c r="E65" s="10">
        <v>4</v>
      </c>
      <c r="F65" s="10">
        <v>243.5</v>
      </c>
      <c r="G65" s="6">
        <v>1.34</v>
      </c>
      <c r="H65" s="14">
        <f t="shared" si="0"/>
        <v>-3.0250000000000004</v>
      </c>
      <c r="I65" s="904"/>
      <c r="J65" s="905"/>
      <c r="K65" s="905"/>
      <c r="L65" s="906"/>
      <c r="M65" s="11" t="s">
        <v>151</v>
      </c>
    </row>
    <row r="66" spans="1:13">
      <c r="A66" s="81" t="s">
        <v>95</v>
      </c>
      <c r="B66" s="121">
        <v>-1.0361596160268094</v>
      </c>
      <c r="C66" s="71"/>
      <c r="D66" s="12">
        <v>0.21056099074293383</v>
      </c>
      <c r="E66" s="10">
        <v>3</v>
      </c>
      <c r="F66" s="10">
        <v>36.5</v>
      </c>
      <c r="G66" s="6">
        <v>2.74</v>
      </c>
      <c r="H66" s="14">
        <f t="shared" si="0"/>
        <v>-2.3550000000000004</v>
      </c>
      <c r="I66" s="904"/>
      <c r="J66" s="905"/>
      <c r="K66" s="905"/>
      <c r="L66" s="906"/>
      <c r="M66" s="11" t="s">
        <v>152</v>
      </c>
    </row>
    <row r="67" spans="1:13">
      <c r="A67" s="83" t="s">
        <v>153</v>
      </c>
      <c r="B67" s="121">
        <v>-5.0901907998833877</v>
      </c>
      <c r="C67" s="71"/>
      <c r="D67" s="12">
        <v>0.21092434073951916</v>
      </c>
      <c r="E67" s="10">
        <v>10</v>
      </c>
      <c r="F67" s="10">
        <v>186</v>
      </c>
      <c r="G67" s="6">
        <v>3.4</v>
      </c>
      <c r="H67" s="14">
        <f t="shared" si="0"/>
        <v>-4.51</v>
      </c>
      <c r="I67" s="904"/>
      <c r="J67" s="905"/>
      <c r="K67" s="905"/>
      <c r="L67" s="906"/>
      <c r="M67" s="11" t="s">
        <v>154</v>
      </c>
    </row>
    <row r="68" spans="1:13">
      <c r="A68" s="81" t="s">
        <v>98</v>
      </c>
      <c r="B68" s="121">
        <v>-5.2394375365546466</v>
      </c>
      <c r="C68" s="71"/>
      <c r="D68" s="12">
        <v>0.18695478693957188</v>
      </c>
      <c r="E68" s="10">
        <v>3</v>
      </c>
      <c r="F68" s="10">
        <v>252.99999999999997</v>
      </c>
      <c r="G68" s="6">
        <v>2.35</v>
      </c>
      <c r="H68" s="14">
        <f t="shared" si="0"/>
        <v>-4.13</v>
      </c>
      <c r="I68" s="904"/>
      <c r="J68" s="905"/>
      <c r="K68" s="905"/>
      <c r="L68" s="906"/>
      <c r="M68" s="11" t="s">
        <v>155</v>
      </c>
    </row>
    <row r="69" spans="1:13">
      <c r="A69" s="83" t="s">
        <v>156</v>
      </c>
      <c r="B69" s="121">
        <v>-4.21095697942095</v>
      </c>
      <c r="C69" s="71"/>
      <c r="D69" s="12">
        <v>0.20491085989689112</v>
      </c>
      <c r="E69" s="10">
        <v>23</v>
      </c>
      <c r="F69" s="10">
        <v>111.00000000000001</v>
      </c>
      <c r="G69" s="6">
        <v>3.68</v>
      </c>
      <c r="H69" s="14">
        <f t="shared" si="0"/>
        <v>-4.04</v>
      </c>
      <c r="I69" s="904"/>
      <c r="J69" s="905"/>
      <c r="K69" s="905"/>
      <c r="L69" s="906"/>
      <c r="M69" s="11" t="s">
        <v>157</v>
      </c>
    </row>
    <row r="70" spans="1:13">
      <c r="A70" s="81" t="s">
        <v>158</v>
      </c>
      <c r="B70" s="121">
        <v>-8.5264536171419465</v>
      </c>
      <c r="C70" s="71"/>
      <c r="D70" s="12">
        <v>0.15545016183846921</v>
      </c>
      <c r="E70" s="10">
        <v>6</v>
      </c>
      <c r="F70" s="10">
        <v>250</v>
      </c>
      <c r="G70" s="6">
        <v>-0.04</v>
      </c>
      <c r="H70" s="14">
        <f t="shared" si="0"/>
        <v>-1.71</v>
      </c>
      <c r="I70" s="904"/>
      <c r="J70" s="905"/>
      <c r="K70" s="905"/>
      <c r="L70" s="906"/>
      <c r="M70" s="11" t="s">
        <v>159</v>
      </c>
    </row>
    <row r="71" spans="1:13">
      <c r="A71" s="82" t="s">
        <v>160</v>
      </c>
      <c r="B71" s="121">
        <v>0.68884340430998359</v>
      </c>
      <c r="C71" s="71"/>
      <c r="D71" s="12">
        <v>0.13261436390895148</v>
      </c>
      <c r="E71" s="10">
        <v>3</v>
      </c>
      <c r="F71" s="10">
        <v>250</v>
      </c>
      <c r="G71" s="6">
        <v>-1.97</v>
      </c>
      <c r="H71" s="14">
        <f t="shared" si="0"/>
        <v>0.21999999999999975</v>
      </c>
      <c r="I71" s="904"/>
      <c r="J71" s="905"/>
      <c r="K71" s="905"/>
      <c r="L71" s="906"/>
      <c r="M71" s="11" t="s">
        <v>161</v>
      </c>
    </row>
    <row r="72" spans="1:13">
      <c r="A72" s="82" t="s">
        <v>162</v>
      </c>
      <c r="B72" s="121">
        <v>-2.880992797618608</v>
      </c>
      <c r="C72" s="71"/>
      <c r="D72" s="12">
        <v>0.21159815676624968</v>
      </c>
      <c r="E72" s="10">
        <v>9</v>
      </c>
      <c r="F72" s="10">
        <v>208.5</v>
      </c>
      <c r="G72" s="6">
        <v>2.08</v>
      </c>
      <c r="H72" s="14">
        <f t="shared" si="0"/>
        <v>-3.415</v>
      </c>
      <c r="I72" s="904"/>
      <c r="J72" s="905"/>
      <c r="K72" s="905"/>
      <c r="L72" s="906"/>
      <c r="M72" s="11" t="s">
        <v>163</v>
      </c>
    </row>
    <row r="73" spans="1:13">
      <c r="A73" s="82" t="s">
        <v>164</v>
      </c>
      <c r="B73" s="121">
        <v>-0.72347908514939785</v>
      </c>
      <c r="C73" s="71"/>
      <c r="D73" s="12">
        <v>0.1900151243705871</v>
      </c>
      <c r="E73" s="10">
        <v>15</v>
      </c>
      <c r="F73" s="10">
        <v>220.00000000000003</v>
      </c>
      <c r="G73" s="6">
        <v>2.69</v>
      </c>
      <c r="H73" s="14">
        <f t="shared" si="0"/>
        <v>-4.1400000000000006</v>
      </c>
      <c r="I73" s="904"/>
      <c r="J73" s="905"/>
      <c r="K73" s="905"/>
      <c r="L73" s="906"/>
      <c r="M73" s="11" t="s">
        <v>165</v>
      </c>
    </row>
    <row r="74" spans="1:13">
      <c r="A74" s="82" t="s">
        <v>166</v>
      </c>
      <c r="B74" s="121">
        <v>-3.0984618686906118</v>
      </c>
      <c r="C74" s="71"/>
      <c r="D74" s="12">
        <v>0.16978183023026608</v>
      </c>
      <c r="E74" s="10">
        <v>10</v>
      </c>
      <c r="F74" s="10">
        <v>151</v>
      </c>
      <c r="G74" s="6">
        <v>4.43</v>
      </c>
      <c r="H74" s="14">
        <f t="shared" si="0"/>
        <v>-5.1899999999999995</v>
      </c>
      <c r="I74" s="904"/>
      <c r="J74" s="905"/>
      <c r="K74" s="905"/>
      <c r="L74" s="906"/>
      <c r="M74" s="11" t="s">
        <v>167</v>
      </c>
    </row>
    <row r="75" spans="1:13">
      <c r="A75" s="83" t="s">
        <v>100</v>
      </c>
      <c r="B75" s="121">
        <v>-3.2348798799701965</v>
      </c>
      <c r="C75" s="71"/>
      <c r="D75" s="12">
        <v>0.19416214604145643</v>
      </c>
      <c r="E75" s="10">
        <v>7</v>
      </c>
      <c r="F75" s="10">
        <v>154.5</v>
      </c>
      <c r="G75" s="6">
        <v>4.22</v>
      </c>
      <c r="H75" s="14">
        <f t="shared" si="0"/>
        <v>-5.0149999999999997</v>
      </c>
      <c r="I75" s="904"/>
      <c r="J75" s="905"/>
      <c r="K75" s="905"/>
      <c r="L75" s="906"/>
      <c r="M75" s="11" t="s">
        <v>168</v>
      </c>
    </row>
    <row r="76" spans="1:13">
      <c r="A76" s="82" t="s">
        <v>169</v>
      </c>
      <c r="B76" s="121">
        <v>-3.9158583489289103</v>
      </c>
      <c r="C76" s="71"/>
      <c r="D76" s="12">
        <v>0.16048013551961601</v>
      </c>
      <c r="E76" s="10">
        <v>5</v>
      </c>
      <c r="F76" s="10">
        <v>167.75</v>
      </c>
      <c r="G76" s="6">
        <v>2.87</v>
      </c>
      <c r="H76" s="14">
        <f t="shared" si="0"/>
        <v>-3.7975000000000003</v>
      </c>
      <c r="I76" s="904"/>
      <c r="J76" s="905"/>
      <c r="K76" s="905"/>
      <c r="L76" s="906"/>
      <c r="M76" s="11" t="s">
        <v>170</v>
      </c>
    </row>
    <row r="77" spans="1:13">
      <c r="A77" s="84" t="s">
        <v>171</v>
      </c>
      <c r="B77" s="122">
        <v>-6.730143789909194</v>
      </c>
      <c r="C77" s="72"/>
      <c r="D77" s="4">
        <v>0.22239504833634874</v>
      </c>
      <c r="E77" s="2">
        <v>21</v>
      </c>
      <c r="F77" s="10">
        <v>159</v>
      </c>
      <c r="G77" s="6">
        <v>3.93</v>
      </c>
      <c r="H77" s="14">
        <f t="shared" si="0"/>
        <v>-4.7700000000000005</v>
      </c>
      <c r="I77" s="904"/>
      <c r="J77" s="905"/>
      <c r="K77" s="905"/>
      <c r="L77" s="906"/>
      <c r="M77" s="11" t="s">
        <v>172</v>
      </c>
    </row>
    <row r="78" spans="1:13">
      <c r="A78" s="82" t="s">
        <v>173</v>
      </c>
      <c r="B78" s="121">
        <v>-4.8854349018538876</v>
      </c>
      <c r="C78" s="71"/>
      <c r="D78" s="12">
        <v>0.21209434799218393</v>
      </c>
      <c r="E78" s="10">
        <v>5</v>
      </c>
      <c r="F78" s="10">
        <v>213.49999999999997</v>
      </c>
      <c r="G78" s="6">
        <v>3.04</v>
      </c>
      <c r="H78" s="14">
        <f t="shared" si="0"/>
        <v>-4.4249999999999998</v>
      </c>
      <c r="I78" s="904"/>
      <c r="J78" s="905"/>
      <c r="K78" s="905"/>
      <c r="L78" s="906"/>
      <c r="M78" s="11" t="s">
        <v>174</v>
      </c>
    </row>
    <row r="79" spans="1:13">
      <c r="A79" s="82" t="s">
        <v>175</v>
      </c>
      <c r="B79" s="121">
        <v>-2.1791607340044195</v>
      </c>
      <c r="C79" s="71"/>
      <c r="D79" s="12">
        <v>0.1407224156406931</v>
      </c>
      <c r="E79" s="10">
        <v>11</v>
      </c>
      <c r="F79" s="10">
        <v>146</v>
      </c>
      <c r="G79" s="6">
        <v>4.21</v>
      </c>
      <c r="H79" s="14">
        <f t="shared" si="0"/>
        <v>-4.92</v>
      </c>
      <c r="I79" s="904"/>
      <c r="J79" s="905"/>
      <c r="K79" s="905"/>
      <c r="L79" s="906"/>
      <c r="M79" s="11" t="s">
        <v>176</v>
      </c>
    </row>
    <row r="80" spans="1:13">
      <c r="A80" s="82" t="s">
        <v>177</v>
      </c>
      <c r="B80" s="121">
        <v>-3.5666464769309383</v>
      </c>
      <c r="C80" s="71"/>
      <c r="D80" s="12">
        <v>0.21748916450754371</v>
      </c>
      <c r="E80" s="10">
        <v>5</v>
      </c>
      <c r="F80" s="10">
        <v>92.333333333333329</v>
      </c>
      <c r="G80" s="6">
        <v>4.21</v>
      </c>
      <c r="H80" s="14">
        <f t="shared" si="0"/>
        <v>-4.3833333333333329</v>
      </c>
      <c r="I80" s="904"/>
      <c r="J80" s="905"/>
      <c r="K80" s="905"/>
      <c r="L80" s="906"/>
      <c r="M80" s="11" t="s">
        <v>178</v>
      </c>
    </row>
    <row r="81" spans="1:13">
      <c r="A81" s="81" t="s">
        <v>179</v>
      </c>
      <c r="B81" s="121">
        <v>-4.0550783541694795</v>
      </c>
      <c r="C81" s="71"/>
      <c r="D81" s="12">
        <v>0.20531013145176411</v>
      </c>
      <c r="E81" s="10">
        <v>8</v>
      </c>
      <c r="F81" s="10">
        <v>256</v>
      </c>
      <c r="G81" s="6">
        <v>2.71</v>
      </c>
      <c r="H81" s="14">
        <f t="shared" si="0"/>
        <v>-4.5199999999999996</v>
      </c>
      <c r="I81" s="904"/>
      <c r="J81" s="905"/>
      <c r="K81" s="905"/>
      <c r="L81" s="906"/>
      <c r="M81" s="11" t="s">
        <v>180</v>
      </c>
    </row>
    <row r="82" spans="1:13">
      <c r="A82" s="81" t="s">
        <v>181</v>
      </c>
      <c r="B82" s="121">
        <v>-0.96639181624481374</v>
      </c>
      <c r="C82" s="71"/>
      <c r="D82" s="12">
        <v>0.21176785142223761</v>
      </c>
      <c r="E82" s="10">
        <v>3</v>
      </c>
      <c r="F82" s="10">
        <v>80</v>
      </c>
      <c r="G82" s="6">
        <v>3.37</v>
      </c>
      <c r="H82" s="14">
        <f t="shared" si="0"/>
        <v>-3.42</v>
      </c>
      <c r="I82" s="904"/>
      <c r="J82" s="905"/>
      <c r="K82" s="905"/>
      <c r="L82" s="906"/>
      <c r="M82" s="11" t="s">
        <v>182</v>
      </c>
    </row>
    <row r="83" spans="1:13">
      <c r="A83" s="81" t="s">
        <v>183</v>
      </c>
      <c r="B83" s="121">
        <v>-3.8695208657903173</v>
      </c>
      <c r="C83" s="71"/>
      <c r="D83" s="12">
        <v>0.16217657762412213</v>
      </c>
      <c r="E83" s="10">
        <v>17</v>
      </c>
      <c r="F83" s="10">
        <v>153</v>
      </c>
      <c r="G83" s="6">
        <v>3.04</v>
      </c>
      <c r="H83" s="14">
        <f t="shared" si="0"/>
        <v>-3.8200000000000003</v>
      </c>
      <c r="I83" s="904"/>
      <c r="J83" s="905"/>
      <c r="K83" s="905"/>
      <c r="L83" s="906"/>
      <c r="M83" s="11" t="s">
        <v>184</v>
      </c>
    </row>
    <row r="84" spans="1:13">
      <c r="A84" s="82" t="s">
        <v>185</v>
      </c>
      <c r="B84" s="121">
        <v>-5.2811287218626246</v>
      </c>
      <c r="C84" s="71"/>
      <c r="D84" s="12">
        <v>0.20448827496623867</v>
      </c>
      <c r="E84" s="10">
        <v>3</v>
      </c>
      <c r="F84" s="10">
        <v>349.84</v>
      </c>
      <c r="G84" s="6">
        <v>4.75</v>
      </c>
      <c r="H84" s="14">
        <f t="shared" si="0"/>
        <v>-7.4984000000000002</v>
      </c>
      <c r="I84" s="904"/>
      <c r="J84" s="905"/>
      <c r="K84" s="905"/>
      <c r="L84" s="906"/>
      <c r="M84" s="11" t="s">
        <v>186</v>
      </c>
    </row>
    <row r="85" spans="1:13">
      <c r="A85" s="82" t="s">
        <v>187</v>
      </c>
      <c r="B85" s="121">
        <v>-2.2426521494435296</v>
      </c>
      <c r="C85" s="71"/>
      <c r="D85" s="12">
        <v>0.14358294446577732</v>
      </c>
      <c r="E85" s="10">
        <v>6</v>
      </c>
      <c r="F85" s="10">
        <v>248</v>
      </c>
      <c r="G85" s="6">
        <v>2.65</v>
      </c>
      <c r="H85" s="14">
        <f t="shared" si="0"/>
        <v>-4.38</v>
      </c>
      <c r="I85" s="904"/>
      <c r="J85" s="905"/>
      <c r="K85" s="905"/>
      <c r="L85" s="906"/>
      <c r="M85" s="11" t="s">
        <v>188</v>
      </c>
    </row>
    <row r="86" spans="1:13">
      <c r="A86" s="82" t="s">
        <v>189</v>
      </c>
      <c r="B86" s="121">
        <v>-5.7348810010498239</v>
      </c>
      <c r="C86" s="71"/>
      <c r="D86" s="12">
        <v>0.15384096988991314</v>
      </c>
      <c r="E86" s="10">
        <v>11</v>
      </c>
      <c r="F86" s="10">
        <v>173</v>
      </c>
      <c r="G86" s="6">
        <v>2.1800000000000002</v>
      </c>
      <c r="H86" s="14">
        <f t="shared" si="0"/>
        <v>-3.16</v>
      </c>
      <c r="I86" s="904"/>
      <c r="J86" s="905"/>
      <c r="K86" s="905"/>
      <c r="L86" s="906"/>
      <c r="M86" s="11" t="s">
        <v>190</v>
      </c>
    </row>
    <row r="87" spans="1:13">
      <c r="A87" s="82" t="s">
        <v>191</v>
      </c>
      <c r="B87" s="121">
        <v>-3.3078274766154552</v>
      </c>
      <c r="C87" s="71"/>
      <c r="D87" s="12">
        <v>0.14176528631434945</v>
      </c>
      <c r="E87" s="10">
        <v>5</v>
      </c>
      <c r="F87" s="10">
        <v>143.75</v>
      </c>
      <c r="G87" s="6">
        <v>2.76</v>
      </c>
      <c r="H87" s="14">
        <f t="shared" ref="H87:H122" si="1">0.5-G87-0.01*(F87-25)</f>
        <v>-3.4474999999999998</v>
      </c>
      <c r="I87" s="904"/>
      <c r="J87" s="905"/>
      <c r="K87" s="905"/>
      <c r="L87" s="906"/>
      <c r="M87" s="11" t="s">
        <v>192</v>
      </c>
    </row>
    <row r="88" spans="1:13">
      <c r="A88" s="82" t="s">
        <v>193</v>
      </c>
      <c r="B88" s="121">
        <v>-3.9495932538176324</v>
      </c>
      <c r="C88" s="71"/>
      <c r="D88" s="12">
        <v>0.16213928191469343</v>
      </c>
      <c r="E88" s="10">
        <v>19</v>
      </c>
      <c r="F88" s="10">
        <v>220.5</v>
      </c>
      <c r="G88" s="6">
        <v>1.27</v>
      </c>
      <c r="H88" s="14">
        <f t="shared" si="1"/>
        <v>-2.7250000000000001</v>
      </c>
      <c r="I88" s="904"/>
      <c r="J88" s="905"/>
      <c r="K88" s="905"/>
      <c r="L88" s="906"/>
      <c r="M88" s="11" t="s">
        <v>194</v>
      </c>
    </row>
    <row r="89" spans="1:13">
      <c r="A89" s="82" t="s">
        <v>195</v>
      </c>
      <c r="B89" s="121">
        <v>-2.3116567354908795</v>
      </c>
      <c r="C89" s="71"/>
      <c r="D89" s="12">
        <v>0.16127920198135692</v>
      </c>
      <c r="E89" s="10">
        <v>5</v>
      </c>
      <c r="F89" s="10">
        <v>214</v>
      </c>
      <c r="G89" s="6">
        <v>3.83</v>
      </c>
      <c r="H89" s="14">
        <f t="shared" si="1"/>
        <v>-5.2200000000000006</v>
      </c>
      <c r="I89" s="904"/>
      <c r="J89" s="905"/>
      <c r="K89" s="905"/>
      <c r="L89" s="906"/>
      <c r="M89" s="11" t="s">
        <v>196</v>
      </c>
    </row>
    <row r="90" spans="1:13">
      <c r="A90" s="83" t="s">
        <v>197</v>
      </c>
      <c r="B90" s="121">
        <v>-3.8661909269016763</v>
      </c>
      <c r="C90" s="71"/>
      <c r="D90" s="12">
        <v>0.13869006117838048</v>
      </c>
      <c r="E90" s="10">
        <v>3</v>
      </c>
      <c r="F90" s="10">
        <v>176</v>
      </c>
      <c r="G90" s="6">
        <v>2.88</v>
      </c>
      <c r="H90" s="14">
        <f t="shared" si="1"/>
        <v>-3.8899999999999997</v>
      </c>
      <c r="I90" s="904"/>
      <c r="J90" s="905"/>
      <c r="K90" s="905"/>
      <c r="L90" s="906"/>
      <c r="M90" s="11" t="s">
        <v>198</v>
      </c>
    </row>
    <row r="91" spans="1:13">
      <c r="A91" s="85" t="s">
        <v>199</v>
      </c>
      <c r="B91" s="122">
        <v>-6.0964950918967595</v>
      </c>
      <c r="C91" s="72"/>
      <c r="D91" s="4">
        <v>0.1259834086188602</v>
      </c>
      <c r="E91" s="2">
        <v>14</v>
      </c>
      <c r="F91" s="10">
        <v>253.5</v>
      </c>
      <c r="G91" s="6">
        <v>1.54</v>
      </c>
      <c r="H91" s="14">
        <f t="shared" si="1"/>
        <v>-3.3250000000000002</v>
      </c>
      <c r="I91" s="904"/>
      <c r="J91" s="905"/>
      <c r="K91" s="905"/>
      <c r="L91" s="906"/>
      <c r="M91" s="11" t="s">
        <v>200</v>
      </c>
    </row>
    <row r="92" spans="1:13">
      <c r="A92" s="82" t="s">
        <v>201</v>
      </c>
      <c r="B92" s="121">
        <v>-3.9381674627917787</v>
      </c>
      <c r="C92" s="71"/>
      <c r="D92" s="12">
        <v>0.16504944177542516</v>
      </c>
      <c r="E92" s="10">
        <v>5</v>
      </c>
      <c r="F92" s="10">
        <v>205.50000000000003</v>
      </c>
      <c r="G92" s="6">
        <v>2.4500000000000002</v>
      </c>
      <c r="H92" s="14">
        <f t="shared" si="1"/>
        <v>-3.7550000000000008</v>
      </c>
      <c r="I92" s="904"/>
      <c r="J92" s="905"/>
      <c r="K92" s="905"/>
      <c r="L92" s="906"/>
      <c r="M92" s="11" t="s">
        <v>202</v>
      </c>
    </row>
    <row r="93" spans="1:13">
      <c r="A93" s="83" t="s">
        <v>203</v>
      </c>
      <c r="B93" s="121">
        <v>-2.621413123982542</v>
      </c>
      <c r="C93" s="71"/>
      <c r="D93" s="12">
        <v>0.19426266518058349</v>
      </c>
      <c r="E93" s="10">
        <v>3</v>
      </c>
      <c r="F93" s="10">
        <v>96</v>
      </c>
      <c r="G93" s="6">
        <v>3.49</v>
      </c>
      <c r="H93" s="14">
        <f t="shared" si="1"/>
        <v>-3.7</v>
      </c>
      <c r="I93" s="904"/>
      <c r="J93" s="905"/>
      <c r="K93" s="905"/>
      <c r="L93" s="906"/>
      <c r="M93" s="11" t="s">
        <v>204</v>
      </c>
    </row>
    <row r="94" spans="1:13">
      <c r="A94" s="82" t="s">
        <v>205</v>
      </c>
      <c r="B94" s="121">
        <v>-2.4589135461339402</v>
      </c>
      <c r="C94" s="71"/>
      <c r="D94" s="12">
        <v>0.18894337149737056</v>
      </c>
      <c r="E94" s="10">
        <v>12</v>
      </c>
      <c r="F94" s="10">
        <v>147.25</v>
      </c>
      <c r="G94" s="6">
        <v>3.86</v>
      </c>
      <c r="H94" s="14">
        <f t="shared" si="1"/>
        <v>-4.5824999999999996</v>
      </c>
      <c r="I94" s="904"/>
      <c r="J94" s="905"/>
      <c r="K94" s="905"/>
      <c r="L94" s="906"/>
      <c r="M94" s="11" t="s">
        <v>206</v>
      </c>
    </row>
    <row r="95" spans="1:13">
      <c r="A95" s="82" t="s">
        <v>207</v>
      </c>
      <c r="B95" s="121">
        <v>-3.0542153748491896</v>
      </c>
      <c r="C95" s="71"/>
      <c r="D95" s="12">
        <v>0.17391407185160324</v>
      </c>
      <c r="E95" s="10">
        <v>6</v>
      </c>
      <c r="F95" s="10">
        <v>97</v>
      </c>
      <c r="G95" s="6">
        <v>3.94</v>
      </c>
      <c r="H95" s="14">
        <f t="shared" si="1"/>
        <v>-4.16</v>
      </c>
      <c r="I95" s="904"/>
      <c r="J95" s="905"/>
      <c r="K95" s="905"/>
      <c r="L95" s="906"/>
      <c r="M95" s="11" t="s">
        <v>208</v>
      </c>
    </row>
    <row r="96" spans="1:13">
      <c r="A96" s="81" t="s">
        <v>209</v>
      </c>
      <c r="B96" s="121">
        <v>0.67349115870428811</v>
      </c>
      <c r="C96" s="71"/>
      <c r="D96" s="12">
        <v>0.13764369691033657</v>
      </c>
      <c r="E96" s="10">
        <v>10</v>
      </c>
      <c r="F96" s="10">
        <v>134.5</v>
      </c>
      <c r="G96" s="6">
        <v>2.04</v>
      </c>
      <c r="H96" s="14">
        <f t="shared" si="1"/>
        <v>-2.6349999999999998</v>
      </c>
      <c r="I96" s="904"/>
      <c r="J96" s="905"/>
      <c r="K96" s="905"/>
      <c r="L96" s="906"/>
      <c r="M96" s="11" t="s">
        <v>210</v>
      </c>
    </row>
    <row r="97" spans="1:13">
      <c r="A97" s="82" t="s">
        <v>211</v>
      </c>
      <c r="B97" s="121">
        <v>-1.4042754059121838</v>
      </c>
      <c r="C97" s="71"/>
      <c r="D97" s="12">
        <v>0.16245746888591447</v>
      </c>
      <c r="E97" s="10">
        <v>7</v>
      </c>
      <c r="F97" s="10">
        <v>139</v>
      </c>
      <c r="G97" s="6">
        <v>2.66</v>
      </c>
      <c r="H97" s="14">
        <f t="shared" si="1"/>
        <v>-3.3000000000000003</v>
      </c>
      <c r="I97" s="904"/>
      <c r="J97" s="905"/>
      <c r="K97" s="905"/>
      <c r="L97" s="906"/>
      <c r="M97" s="11" t="s">
        <v>212</v>
      </c>
    </row>
    <row r="98" spans="1:13">
      <c r="A98" s="82" t="s">
        <v>213</v>
      </c>
      <c r="B98" s="121">
        <v>-8.6278340429534583E-2</v>
      </c>
      <c r="C98" s="71"/>
      <c r="D98" s="12">
        <v>0.15322122505052199</v>
      </c>
      <c r="E98" s="10">
        <v>9</v>
      </c>
      <c r="F98" s="10">
        <v>170</v>
      </c>
      <c r="G98" s="6">
        <v>1.91</v>
      </c>
      <c r="H98" s="14">
        <f t="shared" si="1"/>
        <v>-2.86</v>
      </c>
      <c r="I98" s="904"/>
      <c r="J98" s="905"/>
      <c r="K98" s="905"/>
      <c r="L98" s="906"/>
      <c r="M98" s="11" t="s">
        <v>214</v>
      </c>
    </row>
    <row r="99" spans="1:13">
      <c r="A99" s="81" t="s">
        <v>215</v>
      </c>
      <c r="B99" s="121">
        <v>-4.0710618699356864</v>
      </c>
      <c r="C99" s="71"/>
      <c r="D99" s="12">
        <v>0.15273607916541068</v>
      </c>
      <c r="E99" s="10">
        <v>10</v>
      </c>
      <c r="F99" s="10">
        <v>326</v>
      </c>
      <c r="G99" s="6">
        <v>2.44</v>
      </c>
      <c r="H99" s="14">
        <f t="shared" si="1"/>
        <v>-4.95</v>
      </c>
      <c r="I99" s="904"/>
      <c r="J99" s="905"/>
      <c r="K99" s="905"/>
      <c r="L99" s="906"/>
      <c r="M99" s="11" t="s">
        <v>216</v>
      </c>
    </row>
    <row r="100" spans="1:13">
      <c r="A100" s="82" t="s">
        <v>217</v>
      </c>
      <c r="B100" s="121">
        <v>-1.251577141271645</v>
      </c>
      <c r="C100" s="71"/>
      <c r="D100" s="12">
        <v>0.18404701512102448</v>
      </c>
      <c r="E100" s="10">
        <v>5</v>
      </c>
      <c r="F100" s="10">
        <v>232.50000000000003</v>
      </c>
      <c r="G100" s="6">
        <v>1.8</v>
      </c>
      <c r="H100" s="14">
        <f t="shared" si="1"/>
        <v>-3.375</v>
      </c>
      <c r="I100" s="904"/>
      <c r="J100" s="905"/>
      <c r="K100" s="905"/>
      <c r="L100" s="906"/>
      <c r="M100" s="11" t="s">
        <v>218</v>
      </c>
    </row>
    <row r="101" spans="1:13">
      <c r="A101" s="82" t="s">
        <v>219</v>
      </c>
      <c r="B101" s="121">
        <v>1.1342643097258713</v>
      </c>
      <c r="C101" s="71"/>
      <c r="D101" s="12">
        <v>0.13604063752604376</v>
      </c>
      <c r="E101" s="10">
        <v>4</v>
      </c>
      <c r="F101" s="10">
        <v>281.5</v>
      </c>
      <c r="G101" s="6">
        <v>0.54</v>
      </c>
      <c r="H101" s="14">
        <f t="shared" si="1"/>
        <v>-2.605</v>
      </c>
      <c r="I101" s="904"/>
      <c r="J101" s="905"/>
      <c r="K101" s="905"/>
      <c r="L101" s="906"/>
      <c r="M101" s="11" t="s">
        <v>220</v>
      </c>
    </row>
    <row r="102" spans="1:13">
      <c r="A102" s="82" t="s">
        <v>221</v>
      </c>
      <c r="B102" s="121">
        <v>-4.2603526987388074</v>
      </c>
      <c r="C102" s="71"/>
      <c r="D102" s="12">
        <v>0.19798964803022484</v>
      </c>
      <c r="E102" s="10">
        <v>4</v>
      </c>
      <c r="F102" s="10">
        <v>197.1</v>
      </c>
      <c r="G102" s="6">
        <v>2.2000000000000002</v>
      </c>
      <c r="H102" s="14">
        <f t="shared" si="1"/>
        <v>-3.4210000000000003</v>
      </c>
      <c r="I102" s="904"/>
      <c r="J102" s="905"/>
      <c r="K102" s="905"/>
      <c r="L102" s="906"/>
      <c r="M102" s="11" t="s">
        <v>222</v>
      </c>
    </row>
    <row r="103" spans="1:13">
      <c r="A103" s="83" t="s">
        <v>223</v>
      </c>
      <c r="B103" s="121">
        <v>-3.6575351342099265</v>
      </c>
      <c r="C103" s="71"/>
      <c r="D103" s="12">
        <v>0.13486720020739137</v>
      </c>
      <c r="E103" s="10">
        <v>4</v>
      </c>
      <c r="F103" s="10">
        <v>33</v>
      </c>
      <c r="G103" s="6">
        <v>4.24</v>
      </c>
      <c r="H103" s="14">
        <f t="shared" si="1"/>
        <v>-3.8200000000000003</v>
      </c>
      <c r="I103" s="904"/>
      <c r="J103" s="905"/>
      <c r="K103" s="905"/>
      <c r="L103" s="906"/>
      <c r="M103" s="11" t="s">
        <v>224</v>
      </c>
    </row>
    <row r="104" spans="1:13">
      <c r="A104" s="82" t="s">
        <v>225</v>
      </c>
      <c r="B104" s="121">
        <v>-3.7950109492173483</v>
      </c>
      <c r="C104" s="71"/>
      <c r="D104" s="12">
        <v>0.18801274760604275</v>
      </c>
      <c r="E104" s="10">
        <v>11</v>
      </c>
      <c r="F104" s="10">
        <v>60</v>
      </c>
      <c r="G104" s="6">
        <v>4.24</v>
      </c>
      <c r="H104" s="14">
        <f t="shared" si="1"/>
        <v>-4.09</v>
      </c>
      <c r="I104" s="904"/>
      <c r="J104" s="905"/>
      <c r="K104" s="905"/>
      <c r="L104" s="906"/>
      <c r="M104" s="11" t="s">
        <v>226</v>
      </c>
    </row>
    <row r="105" spans="1:13">
      <c r="A105" s="82" t="s">
        <v>227</v>
      </c>
      <c r="B105" s="121">
        <v>-7.1517521968324829</v>
      </c>
      <c r="C105" s="71"/>
      <c r="D105" s="12">
        <v>0.1664014074224209</v>
      </c>
      <c r="E105" s="10">
        <v>4</v>
      </c>
      <c r="F105" s="10">
        <v>130.5</v>
      </c>
      <c r="G105" s="6">
        <v>5.22</v>
      </c>
      <c r="H105" s="14">
        <f t="shared" si="1"/>
        <v>-5.7749999999999995</v>
      </c>
      <c r="I105" s="904"/>
      <c r="J105" s="905"/>
      <c r="K105" s="905"/>
      <c r="L105" s="906"/>
      <c r="M105" s="11" t="s">
        <v>228</v>
      </c>
    </row>
    <row r="106" spans="1:13">
      <c r="A106" s="83" t="s">
        <v>103</v>
      </c>
      <c r="B106" s="121">
        <v>-1.5777966137171735</v>
      </c>
      <c r="C106" s="71"/>
      <c r="D106" s="12">
        <v>0.17506472136100007</v>
      </c>
      <c r="E106" s="10">
        <v>7</v>
      </c>
      <c r="F106" s="10">
        <v>254</v>
      </c>
      <c r="G106" s="6">
        <v>2.97</v>
      </c>
      <c r="H106" s="14">
        <f t="shared" si="1"/>
        <v>-4.76</v>
      </c>
      <c r="I106" s="904"/>
      <c r="J106" s="905"/>
      <c r="K106" s="905"/>
      <c r="L106" s="906"/>
      <c r="M106" s="11" t="s">
        <v>229</v>
      </c>
    </row>
    <row r="107" spans="1:13">
      <c r="A107" s="83" t="s">
        <v>230</v>
      </c>
      <c r="B107" s="121">
        <v>-7.8714981247369922</v>
      </c>
      <c r="C107" s="71"/>
      <c r="D107" s="12">
        <v>0.1605416460069265</v>
      </c>
      <c r="E107" s="10">
        <v>5</v>
      </c>
      <c r="F107" s="10">
        <v>121</v>
      </c>
      <c r="G107" s="6">
        <v>5.91</v>
      </c>
      <c r="H107" s="14">
        <f t="shared" si="1"/>
        <v>-6.37</v>
      </c>
      <c r="I107" s="904"/>
      <c r="J107" s="905"/>
      <c r="K107" s="905"/>
      <c r="L107" s="906"/>
      <c r="M107" s="11" t="s">
        <v>231</v>
      </c>
    </row>
    <row r="108" spans="1:13">
      <c r="A108" s="82" t="s">
        <v>232</v>
      </c>
      <c r="B108" s="121">
        <v>-2.545510181024544</v>
      </c>
      <c r="C108" s="71"/>
      <c r="D108" s="12">
        <v>0.15756984748208766</v>
      </c>
      <c r="E108" s="10">
        <v>5</v>
      </c>
      <c r="F108" s="10">
        <v>206.99999999999997</v>
      </c>
      <c r="G108" s="6">
        <v>2.56</v>
      </c>
      <c r="H108" s="14">
        <f t="shared" si="1"/>
        <v>-3.88</v>
      </c>
      <c r="I108" s="904"/>
      <c r="J108" s="905"/>
      <c r="K108" s="905"/>
      <c r="L108" s="906"/>
      <c r="M108" s="11" t="s">
        <v>233</v>
      </c>
    </row>
    <row r="109" spans="1:13">
      <c r="A109" s="81" t="s">
        <v>234</v>
      </c>
      <c r="B109" s="121">
        <v>-3.0445394024995109</v>
      </c>
      <c r="C109" s="71"/>
      <c r="D109" s="12">
        <v>0.16160362353179636</v>
      </c>
      <c r="E109" s="10">
        <v>6</v>
      </c>
      <c r="F109" s="10">
        <v>134.5</v>
      </c>
      <c r="G109" s="6">
        <v>4.8499999999999996</v>
      </c>
      <c r="H109" s="14">
        <f t="shared" si="1"/>
        <v>-5.4449999999999994</v>
      </c>
      <c r="I109" s="904"/>
      <c r="J109" s="905"/>
      <c r="K109" s="905"/>
      <c r="L109" s="906"/>
      <c r="M109" s="11" t="s">
        <v>235</v>
      </c>
    </row>
    <row r="110" spans="1:13">
      <c r="A110" s="81" t="s">
        <v>236</v>
      </c>
      <c r="B110" s="121">
        <v>-2.380488288924361</v>
      </c>
      <c r="C110" s="71"/>
      <c r="D110" s="12">
        <v>0.18685765827673947</v>
      </c>
      <c r="E110" s="10">
        <v>6</v>
      </c>
      <c r="F110" s="10">
        <v>275</v>
      </c>
      <c r="G110" s="6">
        <v>2.09</v>
      </c>
      <c r="H110" s="14">
        <f t="shared" si="1"/>
        <v>-4.09</v>
      </c>
      <c r="I110" s="904"/>
      <c r="J110" s="905"/>
      <c r="K110" s="905"/>
      <c r="L110" s="906"/>
      <c r="M110" s="11" t="s">
        <v>237</v>
      </c>
    </row>
    <row r="111" spans="1:13">
      <c r="A111" s="82" t="s">
        <v>238</v>
      </c>
      <c r="B111" s="121">
        <v>-6.7755613482978028</v>
      </c>
      <c r="C111" s="71"/>
      <c r="D111" s="12">
        <v>0.13950112944748669</v>
      </c>
      <c r="E111" s="10">
        <v>9</v>
      </c>
      <c r="F111" s="10">
        <v>220.00000000000003</v>
      </c>
      <c r="G111" s="6">
        <v>1.8</v>
      </c>
      <c r="H111" s="14">
        <f t="shared" si="1"/>
        <v>-3.2500000000000004</v>
      </c>
      <c r="I111" s="904"/>
      <c r="J111" s="905"/>
      <c r="K111" s="905"/>
      <c r="L111" s="906"/>
      <c r="M111" s="11" t="s">
        <v>239</v>
      </c>
    </row>
    <row r="112" spans="1:13">
      <c r="A112" s="85" t="s">
        <v>240</v>
      </c>
      <c r="B112" s="122">
        <v>-2.1723547463617252</v>
      </c>
      <c r="C112" s="72"/>
      <c r="D112" s="4">
        <v>0.22014005046870977</v>
      </c>
      <c r="E112" s="2">
        <v>9</v>
      </c>
      <c r="F112" s="10">
        <v>202</v>
      </c>
      <c r="G112" s="6">
        <v>1.53</v>
      </c>
      <c r="H112" s="14">
        <f t="shared" si="1"/>
        <v>-2.8</v>
      </c>
      <c r="I112" s="904"/>
      <c r="J112" s="905"/>
      <c r="K112" s="905"/>
      <c r="L112" s="906"/>
      <c r="M112" s="11" t="s">
        <v>241</v>
      </c>
    </row>
    <row r="113" spans="1:28">
      <c r="A113" s="82" t="s">
        <v>242</v>
      </c>
      <c r="B113" s="121">
        <v>-2.3139676872642752</v>
      </c>
      <c r="C113" s="71"/>
      <c r="D113" s="12">
        <v>0.14014083879485537</v>
      </c>
      <c r="E113" s="10">
        <v>3</v>
      </c>
      <c r="F113" s="10">
        <v>243.00000000000003</v>
      </c>
      <c r="G113" s="6">
        <v>1.48</v>
      </c>
      <c r="H113" s="14">
        <f t="shared" si="1"/>
        <v>-3.16</v>
      </c>
      <c r="I113" s="904"/>
      <c r="J113" s="905"/>
      <c r="K113" s="905"/>
      <c r="L113" s="906"/>
      <c r="M113" s="11" t="s">
        <v>243</v>
      </c>
    </row>
    <row r="114" spans="1:28">
      <c r="A114" s="83" t="s">
        <v>244</v>
      </c>
      <c r="B114" s="121">
        <v>-2.1557872915744869</v>
      </c>
      <c r="C114" s="71"/>
      <c r="D114" s="12">
        <v>0.13726989684757951</v>
      </c>
      <c r="E114" s="10">
        <v>3</v>
      </c>
      <c r="F114" s="10">
        <v>191</v>
      </c>
      <c r="G114" s="6">
        <v>1.67</v>
      </c>
      <c r="H114" s="14">
        <f t="shared" si="1"/>
        <v>-2.83</v>
      </c>
      <c r="I114" s="904"/>
      <c r="J114" s="905"/>
      <c r="K114" s="905"/>
      <c r="L114" s="906"/>
      <c r="M114" s="11" t="s">
        <v>245</v>
      </c>
    </row>
    <row r="115" spans="1:28">
      <c r="A115" s="82" t="s">
        <v>246</v>
      </c>
      <c r="B115" s="121">
        <v>-5.8018561712938954</v>
      </c>
      <c r="C115" s="71"/>
      <c r="D115" s="12">
        <v>0.21357402153711522</v>
      </c>
      <c r="E115" s="10">
        <v>7</v>
      </c>
      <c r="F115" s="10">
        <v>183.5</v>
      </c>
      <c r="G115" s="6">
        <v>4.37</v>
      </c>
      <c r="H115" s="14">
        <f t="shared" si="1"/>
        <v>-5.4550000000000001</v>
      </c>
      <c r="I115" s="904"/>
      <c r="J115" s="905"/>
      <c r="K115" s="905"/>
      <c r="L115" s="906"/>
      <c r="M115" s="11" t="s">
        <v>247</v>
      </c>
    </row>
    <row r="116" spans="1:28">
      <c r="A116" s="82" t="s">
        <v>248</v>
      </c>
      <c r="B116" s="121">
        <v>-1.2436801156089998</v>
      </c>
      <c r="C116" s="71"/>
      <c r="D116" s="12">
        <v>0.10564411177747912</v>
      </c>
      <c r="E116" s="10">
        <v>3</v>
      </c>
      <c r="F116" s="10">
        <v>149</v>
      </c>
      <c r="G116" s="6">
        <v>2.62</v>
      </c>
      <c r="H116" s="14">
        <f t="shared" si="1"/>
        <v>-3.3600000000000003</v>
      </c>
      <c r="I116" s="904"/>
      <c r="J116" s="905"/>
      <c r="K116" s="905"/>
      <c r="L116" s="906"/>
      <c r="M116" s="11" t="s">
        <v>249</v>
      </c>
    </row>
    <row r="117" spans="1:28">
      <c r="A117" s="81" t="s">
        <v>250</v>
      </c>
      <c r="B117" s="121">
        <v>-1.8185662817726296</v>
      </c>
      <c r="C117" s="71"/>
      <c r="D117" s="12">
        <v>0.14623917640453388</v>
      </c>
      <c r="E117" s="10">
        <v>8</v>
      </c>
      <c r="F117" s="10">
        <v>165</v>
      </c>
      <c r="G117" s="6">
        <v>-0.37</v>
      </c>
      <c r="H117" s="14">
        <f t="shared" si="1"/>
        <v>-0.53000000000000014</v>
      </c>
      <c r="I117" s="904"/>
      <c r="J117" s="905"/>
      <c r="K117" s="905"/>
      <c r="L117" s="906"/>
      <c r="M117" s="11" t="s">
        <v>251</v>
      </c>
    </row>
    <row r="118" spans="1:28">
      <c r="A118" s="82" t="s">
        <v>252</v>
      </c>
      <c r="B118" s="121">
        <v>-1.7981832034511283</v>
      </c>
      <c r="C118" s="71"/>
      <c r="D118" s="12">
        <v>0.16291639539032501</v>
      </c>
      <c r="E118" s="10">
        <v>10</v>
      </c>
      <c r="F118" s="10">
        <v>225</v>
      </c>
      <c r="G118" s="6">
        <v>0.81</v>
      </c>
      <c r="H118" s="14">
        <f t="shared" si="1"/>
        <v>-2.31</v>
      </c>
      <c r="I118" s="904"/>
      <c r="J118" s="905"/>
      <c r="K118" s="905"/>
      <c r="L118" s="906"/>
      <c r="M118" s="11" t="s">
        <v>253</v>
      </c>
    </row>
    <row r="119" spans="1:28">
      <c r="A119" s="82" t="s">
        <v>254</v>
      </c>
      <c r="B119" s="121">
        <v>-0.90653329656530479</v>
      </c>
      <c r="C119" s="71"/>
      <c r="D119" s="12">
        <v>0.21166647357477791</v>
      </c>
      <c r="E119" s="10">
        <v>5</v>
      </c>
      <c r="F119" s="10">
        <v>270</v>
      </c>
      <c r="G119" s="6">
        <v>0.62</v>
      </c>
      <c r="H119" s="14">
        <f t="shared" si="1"/>
        <v>-2.5700000000000003</v>
      </c>
      <c r="I119" s="904"/>
      <c r="J119" s="905"/>
      <c r="K119" s="905"/>
      <c r="L119" s="906"/>
      <c r="M119" s="11" t="s">
        <v>255</v>
      </c>
    </row>
    <row r="120" spans="1:28">
      <c r="A120" s="81" t="s">
        <v>256</v>
      </c>
      <c r="B120" s="121">
        <v>-1.7087310706459349</v>
      </c>
      <c r="C120" s="71"/>
      <c r="D120" s="12">
        <v>0.14175650298978676</v>
      </c>
      <c r="E120" s="10">
        <v>9</v>
      </c>
      <c r="F120" s="10">
        <v>312.66666666666669</v>
      </c>
      <c r="G120" s="6">
        <v>0.83</v>
      </c>
      <c r="H120" s="14">
        <f t="shared" si="1"/>
        <v>-3.206666666666667</v>
      </c>
      <c r="I120" s="904"/>
      <c r="J120" s="905"/>
      <c r="K120" s="905"/>
      <c r="L120" s="906"/>
      <c r="M120" s="11" t="s">
        <v>257</v>
      </c>
    </row>
    <row r="121" spans="1:28">
      <c r="A121" s="82" t="s">
        <v>258</v>
      </c>
      <c r="B121" s="121">
        <v>-2.8006590927658306</v>
      </c>
      <c r="C121" s="71"/>
      <c r="D121" s="12">
        <v>0.2034688635346244</v>
      </c>
      <c r="E121" s="10">
        <v>11</v>
      </c>
      <c r="F121" s="10">
        <v>161</v>
      </c>
      <c r="G121" s="6">
        <v>3.61</v>
      </c>
      <c r="H121" s="14">
        <f t="shared" si="1"/>
        <v>-4.47</v>
      </c>
      <c r="I121" s="904"/>
      <c r="J121" s="905"/>
      <c r="K121" s="905"/>
      <c r="L121" s="906"/>
      <c r="M121" s="11" t="s">
        <v>259</v>
      </c>
    </row>
    <row r="122" spans="1:28">
      <c r="A122" s="81" t="s">
        <v>109</v>
      </c>
      <c r="B122" s="121">
        <v>-1.5043615773921608</v>
      </c>
      <c r="C122" s="71"/>
      <c r="D122" s="12">
        <v>0.20579636821699754</v>
      </c>
      <c r="E122" s="10">
        <v>3</v>
      </c>
      <c r="F122" s="10">
        <v>300</v>
      </c>
      <c r="G122" s="6">
        <v>-1.06</v>
      </c>
      <c r="H122" s="14">
        <f t="shared" si="1"/>
        <v>-1.19</v>
      </c>
      <c r="I122" s="907"/>
      <c r="J122" s="908"/>
      <c r="K122" s="908"/>
      <c r="L122" s="909"/>
      <c r="M122" s="11" t="s">
        <v>260</v>
      </c>
    </row>
    <row r="123" spans="1:28">
      <c r="A123" s="11"/>
      <c r="C123" s="65" t="s">
        <v>261</v>
      </c>
      <c r="D123" s="80">
        <f>AVERAGE(D23:D122)</f>
        <v>0.17115851538193166</v>
      </c>
      <c r="E123" s="67"/>
      <c r="F123" s="68"/>
      <c r="G123" s="68"/>
      <c r="H123" s="69" t="s">
        <v>262</v>
      </c>
      <c r="I123" s="68"/>
      <c r="J123" s="6"/>
      <c r="K123" s="6"/>
      <c r="L123" s="6"/>
      <c r="M123" s="11"/>
    </row>
    <row r="124" spans="1:28">
      <c r="A124" s="11"/>
      <c r="C124" s="65" t="s">
        <v>263</v>
      </c>
      <c r="D124" s="80">
        <f>MIN(D23:D122)</f>
        <v>0.10564411177747912</v>
      </c>
      <c r="E124" s="67"/>
      <c r="F124" s="68"/>
      <c r="G124" s="68"/>
      <c r="H124" s="69" t="s">
        <v>264</v>
      </c>
      <c r="I124" s="68"/>
      <c r="J124" s="6"/>
      <c r="K124" s="6"/>
      <c r="L124" s="6"/>
      <c r="M124" s="11"/>
    </row>
    <row r="125" spans="1:28">
      <c r="A125" s="11"/>
      <c r="C125" s="65" t="s">
        <v>265</v>
      </c>
      <c r="D125" s="80">
        <f>MAX(D23:D122)</f>
        <v>0.22239504833634874</v>
      </c>
      <c r="E125" s="67"/>
      <c r="F125" s="68"/>
      <c r="G125" s="68"/>
      <c r="H125" s="69"/>
      <c r="I125" s="68"/>
      <c r="J125" s="6"/>
      <c r="K125" s="6"/>
      <c r="L125" s="6"/>
      <c r="M125" s="11"/>
    </row>
    <row r="126" spans="1:28" s="47" customFormat="1">
      <c r="A126" s="8"/>
      <c r="B126" s="6"/>
      <c r="C126" s="6"/>
      <c r="D126" s="9"/>
      <c r="E126" s="6"/>
      <c r="F126" s="6"/>
      <c r="G126" s="6"/>
      <c r="H126" s="6"/>
      <c r="I126" s="6"/>
      <c r="J126" s="6"/>
      <c r="K126" s="6"/>
      <c r="L126" s="6"/>
      <c r="M126" s="11"/>
      <c r="N126"/>
      <c r="O126"/>
      <c r="P126"/>
      <c r="Q126"/>
      <c r="R126"/>
      <c r="S126"/>
      <c r="T126"/>
      <c r="U126"/>
      <c r="V126"/>
      <c r="W126"/>
      <c r="X126"/>
      <c r="Y126"/>
      <c r="Z126"/>
      <c r="AA126"/>
      <c r="AB126"/>
    </row>
    <row r="127" spans="1:28" s="46" customFormat="1" ht="32.25" customHeight="1" thickBot="1">
      <c r="A127" s="52" t="s">
        <v>266</v>
      </c>
      <c r="B127" s="9"/>
      <c r="C127" s="9"/>
      <c r="D127" s="9"/>
      <c r="E127" s="9"/>
      <c r="F127" s="9"/>
      <c r="G127" s="9"/>
      <c r="H127" s="9"/>
      <c r="I127" s="9"/>
      <c r="J127" s="9"/>
      <c r="K127" s="9"/>
      <c r="L127" s="9"/>
      <c r="M127" s="11"/>
      <c r="N127" s="47"/>
      <c r="O127" s="47"/>
      <c r="P127" s="47"/>
      <c r="Q127" s="47"/>
      <c r="R127" s="47"/>
      <c r="S127" s="47"/>
      <c r="T127" s="47"/>
      <c r="U127" s="47"/>
      <c r="V127" s="47"/>
      <c r="W127" s="47"/>
      <c r="X127" s="47"/>
      <c r="Y127" s="47"/>
      <c r="Z127" s="47"/>
      <c r="AA127" s="47"/>
      <c r="AB127" s="47"/>
    </row>
    <row r="128" spans="1:28" ht="43.5" customHeight="1" thickBot="1">
      <c r="A128" s="55" t="s">
        <v>18</v>
      </c>
      <c r="B128" s="56" t="s">
        <v>267</v>
      </c>
      <c r="C128" s="56" t="s">
        <v>20</v>
      </c>
      <c r="D128" s="56" t="s">
        <v>21</v>
      </c>
      <c r="E128" s="56" t="s">
        <v>22</v>
      </c>
      <c r="F128" s="56" t="s">
        <v>23</v>
      </c>
      <c r="G128" s="56" t="s">
        <v>24</v>
      </c>
      <c r="H128" s="56" t="s">
        <v>25</v>
      </c>
      <c r="I128" s="100"/>
      <c r="J128" s="57" t="s">
        <v>27</v>
      </c>
      <c r="K128" s="57"/>
      <c r="L128" s="57"/>
      <c r="M128" s="58" t="s">
        <v>28</v>
      </c>
      <c r="N128" s="59"/>
      <c r="O128" s="59"/>
      <c r="P128" s="59"/>
      <c r="Q128" s="59"/>
      <c r="R128" s="59"/>
      <c r="S128" s="59"/>
      <c r="T128" s="59"/>
      <c r="U128" s="59"/>
      <c r="V128" s="60"/>
      <c r="W128" s="46"/>
      <c r="X128" s="46"/>
      <c r="Y128" s="46"/>
      <c r="Z128" s="46"/>
      <c r="AA128" s="46"/>
      <c r="AB128" s="46"/>
    </row>
    <row r="129" spans="1:13">
      <c r="A129" s="82" t="s">
        <v>268</v>
      </c>
      <c r="B129" s="120">
        <v>-5.8368829696669939</v>
      </c>
      <c r="C129" s="73" t="s">
        <v>30</v>
      </c>
      <c r="D129" s="12">
        <v>0.50033555401430185</v>
      </c>
      <c r="E129" s="10">
        <v>3</v>
      </c>
      <c r="F129" s="10">
        <v>180</v>
      </c>
      <c r="G129" s="1">
        <v>1.91</v>
      </c>
      <c r="H129" s="14">
        <f t="shared" ref="H129:H160" si="2">0.5-G129-0.01*(F129-25)</f>
        <v>-2.96</v>
      </c>
      <c r="I129" s="53" t="s">
        <v>31</v>
      </c>
      <c r="J129" s="54"/>
      <c r="K129" s="14"/>
      <c r="L129" s="14"/>
      <c r="M129" s="3" t="s">
        <v>269</v>
      </c>
    </row>
    <row r="130" spans="1:13">
      <c r="A130" s="82" t="s">
        <v>270</v>
      </c>
      <c r="B130" s="29">
        <v>-2.4115113044469121</v>
      </c>
      <c r="C130" s="73" t="s">
        <v>36</v>
      </c>
      <c r="D130" s="12">
        <v>0.5</v>
      </c>
      <c r="E130" s="6">
        <v>5</v>
      </c>
      <c r="F130" s="10">
        <v>156</v>
      </c>
      <c r="G130" s="1">
        <v>6.94</v>
      </c>
      <c r="H130" s="14">
        <f t="shared" si="2"/>
        <v>-7.75</v>
      </c>
      <c r="I130" s="53" t="s">
        <v>37</v>
      </c>
      <c r="J130" s="54"/>
      <c r="K130" s="14"/>
      <c r="L130" s="14"/>
      <c r="M130" s="3" t="s">
        <v>271</v>
      </c>
    </row>
    <row r="131" spans="1:13">
      <c r="A131" s="83" t="s">
        <v>272</v>
      </c>
      <c r="B131" s="121">
        <v>-4.285056678862019</v>
      </c>
      <c r="C131" s="73" t="s">
        <v>41</v>
      </c>
      <c r="D131" s="12">
        <v>0.6530957900260097</v>
      </c>
      <c r="E131" s="10">
        <v>3</v>
      </c>
      <c r="F131" s="10">
        <v>208</v>
      </c>
      <c r="G131" s="1">
        <v>5.18</v>
      </c>
      <c r="H131" s="14">
        <f t="shared" si="2"/>
        <v>-6.51</v>
      </c>
      <c r="I131" s="53" t="s">
        <v>42</v>
      </c>
      <c r="J131" s="54"/>
      <c r="K131" s="14"/>
      <c r="L131" s="14"/>
      <c r="M131" s="3" t="s">
        <v>273</v>
      </c>
    </row>
    <row r="132" spans="1:13">
      <c r="A132" s="82" t="s">
        <v>274</v>
      </c>
      <c r="B132" s="121">
        <v>7.7229954243809476E-2</v>
      </c>
      <c r="C132" s="73" t="s">
        <v>46</v>
      </c>
      <c r="D132" s="12">
        <v>0.59285217963150294</v>
      </c>
      <c r="E132" s="10">
        <v>3</v>
      </c>
      <c r="F132" s="10">
        <v>100</v>
      </c>
      <c r="G132" s="1">
        <v>2.37</v>
      </c>
      <c r="H132" s="14">
        <f t="shared" si="2"/>
        <v>-2.62</v>
      </c>
      <c r="I132" s="15" t="s">
        <v>47</v>
      </c>
      <c r="J132" s="29" t="s">
        <v>367</v>
      </c>
      <c r="K132" s="14"/>
      <c r="L132" s="14"/>
      <c r="M132" s="3" t="s">
        <v>275</v>
      </c>
    </row>
    <row r="133" spans="1:13">
      <c r="A133" s="82" t="s">
        <v>276</v>
      </c>
      <c r="B133" s="121">
        <v>-5.0286015165528175</v>
      </c>
      <c r="C133" s="73" t="s">
        <v>51</v>
      </c>
      <c r="D133" s="12">
        <v>0.51067901383936642</v>
      </c>
      <c r="E133" s="10">
        <v>5</v>
      </c>
      <c r="F133" s="10">
        <v>217</v>
      </c>
      <c r="G133" s="1">
        <v>3.19</v>
      </c>
      <c r="H133" s="14">
        <f t="shared" si="2"/>
        <v>-4.6099999999999994</v>
      </c>
      <c r="I133" s="15" t="s">
        <v>52</v>
      </c>
      <c r="J133" s="29"/>
      <c r="K133" s="14"/>
      <c r="L133" s="14"/>
      <c r="M133" s="3" t="s">
        <v>277</v>
      </c>
    </row>
    <row r="134" spans="1:13">
      <c r="A134" s="82" t="s">
        <v>278</v>
      </c>
      <c r="B134" s="121">
        <v>-1.7611259154311645</v>
      </c>
      <c r="C134" s="71"/>
      <c r="D134" s="12">
        <v>0.83065522865171437</v>
      </c>
      <c r="E134" s="10">
        <v>3</v>
      </c>
      <c r="F134" s="10">
        <v>209.50000000000003</v>
      </c>
      <c r="G134" s="1">
        <v>4.41</v>
      </c>
      <c r="H134" s="14">
        <f t="shared" si="2"/>
        <v>-5.7550000000000008</v>
      </c>
      <c r="I134" s="15" t="s">
        <v>56</v>
      </c>
      <c r="J134" s="29"/>
      <c r="K134" s="14"/>
      <c r="L134" s="14"/>
      <c r="M134" s="3" t="s">
        <v>279</v>
      </c>
    </row>
    <row r="135" spans="1:13">
      <c r="A135" s="82" t="s">
        <v>280</v>
      </c>
      <c r="B135" s="121">
        <v>-3.9630094009821351</v>
      </c>
      <c r="C135" s="71"/>
      <c r="D135" s="12">
        <v>0.51097181417141646</v>
      </c>
      <c r="E135" s="10">
        <v>6</v>
      </c>
      <c r="F135" s="10">
        <v>97.5</v>
      </c>
      <c r="G135" s="1">
        <v>5.19</v>
      </c>
      <c r="H135" s="14">
        <f t="shared" si="2"/>
        <v>-5.415</v>
      </c>
      <c r="I135" s="15" t="s">
        <v>60</v>
      </c>
      <c r="J135" s="31"/>
      <c r="K135" s="14"/>
      <c r="L135" s="14"/>
      <c r="M135" s="3" t="s">
        <v>281</v>
      </c>
    </row>
    <row r="136" spans="1:13">
      <c r="A136" s="81" t="s">
        <v>282</v>
      </c>
      <c r="B136" s="121">
        <v>-7.5889905901407797</v>
      </c>
      <c r="C136" s="71"/>
      <c r="D136" s="12">
        <v>0.92735432696895004</v>
      </c>
      <c r="E136" s="10">
        <v>5</v>
      </c>
      <c r="F136" s="10">
        <v>211</v>
      </c>
      <c r="G136" s="1">
        <v>7.49</v>
      </c>
      <c r="H136" s="14">
        <f t="shared" si="2"/>
        <v>-8.85</v>
      </c>
      <c r="I136" s="30" t="s">
        <v>64</v>
      </c>
      <c r="J136" s="32"/>
      <c r="K136" s="33"/>
      <c r="L136" s="34"/>
      <c r="M136" s="3" t="s">
        <v>283</v>
      </c>
    </row>
    <row r="137" spans="1:13">
      <c r="A137" s="82" t="s">
        <v>112</v>
      </c>
      <c r="B137" s="121">
        <v>-4.9044790436244865</v>
      </c>
      <c r="C137" s="71"/>
      <c r="D137" s="12">
        <v>0.68239272333923895</v>
      </c>
      <c r="E137" s="10">
        <v>3</v>
      </c>
      <c r="F137" s="10">
        <v>177</v>
      </c>
      <c r="G137" s="1">
        <v>3.37</v>
      </c>
      <c r="H137" s="14">
        <f t="shared" si="2"/>
        <v>-4.3900000000000006</v>
      </c>
      <c r="J137" s="14"/>
      <c r="K137" s="14"/>
      <c r="L137" s="14"/>
      <c r="M137" s="3" t="s">
        <v>284</v>
      </c>
    </row>
    <row r="138" spans="1:13">
      <c r="A138" s="82" t="s">
        <v>285</v>
      </c>
      <c r="B138" s="121">
        <v>-2.6016048561734837</v>
      </c>
      <c r="C138" s="71"/>
      <c r="D138" s="12">
        <v>0.520951861602862</v>
      </c>
      <c r="E138" s="10">
        <v>10</v>
      </c>
      <c r="F138" s="10">
        <v>228.6</v>
      </c>
      <c r="G138" s="1">
        <v>4.22</v>
      </c>
      <c r="H138" s="14">
        <f t="shared" si="2"/>
        <v>-5.7560000000000002</v>
      </c>
      <c r="I138" s="16" t="s">
        <v>286</v>
      </c>
      <c r="J138" s="17"/>
      <c r="K138" s="17"/>
      <c r="L138" s="18"/>
      <c r="M138" s="3" t="s">
        <v>287</v>
      </c>
    </row>
    <row r="139" spans="1:13">
      <c r="A139" s="81" t="s">
        <v>288</v>
      </c>
      <c r="B139" s="121">
        <v>0.77261371847356264</v>
      </c>
      <c r="C139" s="71"/>
      <c r="D139" s="12">
        <v>0.53906642829149898</v>
      </c>
      <c r="E139" s="10">
        <v>3</v>
      </c>
      <c r="F139" s="10">
        <v>161.5</v>
      </c>
      <c r="G139" s="1">
        <v>-0.21</v>
      </c>
      <c r="H139" s="14">
        <f t="shared" si="2"/>
        <v>-0.65500000000000003</v>
      </c>
      <c r="I139" s="901" t="s">
        <v>1012</v>
      </c>
      <c r="J139" s="902"/>
      <c r="K139" s="902"/>
      <c r="L139" s="903"/>
      <c r="M139" s="3" t="s">
        <v>289</v>
      </c>
    </row>
    <row r="140" spans="1:13">
      <c r="A140" s="81" t="s">
        <v>290</v>
      </c>
      <c r="B140" s="121">
        <v>-5.0107984025588248</v>
      </c>
      <c r="C140" s="71"/>
      <c r="D140" s="12">
        <v>0.56233984781338708</v>
      </c>
      <c r="E140" s="10">
        <v>11</v>
      </c>
      <c r="F140" s="10">
        <v>213.49999999999997</v>
      </c>
      <c r="G140" s="1">
        <v>3.04</v>
      </c>
      <c r="H140" s="14">
        <f t="shared" si="2"/>
        <v>-4.4249999999999998</v>
      </c>
      <c r="I140" s="904"/>
      <c r="J140" s="905"/>
      <c r="K140" s="905"/>
      <c r="L140" s="906"/>
      <c r="M140" s="3" t="s">
        <v>291</v>
      </c>
    </row>
    <row r="141" spans="1:13">
      <c r="A141" s="83" t="s">
        <v>292</v>
      </c>
      <c r="B141" s="121">
        <v>-1.8412757657807912</v>
      </c>
      <c r="C141" s="71"/>
      <c r="D141" s="12">
        <v>0.54710381306524825</v>
      </c>
      <c r="E141" s="10">
        <v>4</v>
      </c>
      <c r="F141" s="10">
        <v>168.5</v>
      </c>
      <c r="G141" s="1">
        <v>3.35</v>
      </c>
      <c r="H141" s="14">
        <f t="shared" si="2"/>
        <v>-4.2850000000000001</v>
      </c>
      <c r="I141" s="904"/>
      <c r="J141" s="905"/>
      <c r="K141" s="905"/>
      <c r="L141" s="906"/>
      <c r="M141" s="3" t="s">
        <v>293</v>
      </c>
    </row>
    <row r="142" spans="1:13">
      <c r="A142" s="81" t="s">
        <v>114</v>
      </c>
      <c r="B142" s="121">
        <v>0.10699240869497943</v>
      </c>
      <c r="C142" s="71"/>
      <c r="D142" s="12">
        <v>0.54612637818466869</v>
      </c>
      <c r="E142" s="10">
        <v>3</v>
      </c>
      <c r="F142" s="13">
        <v>124.1</v>
      </c>
      <c r="G142" s="1">
        <v>2.81</v>
      </c>
      <c r="H142" s="14">
        <f t="shared" si="2"/>
        <v>-3.3010000000000002</v>
      </c>
      <c r="I142" s="904"/>
      <c r="J142" s="905"/>
      <c r="K142" s="905"/>
      <c r="L142" s="906"/>
      <c r="M142" s="3" t="s">
        <v>294</v>
      </c>
    </row>
    <row r="143" spans="1:13">
      <c r="A143" s="81" t="s">
        <v>295</v>
      </c>
      <c r="B143" s="121">
        <v>-5.7033666333603561</v>
      </c>
      <c r="C143" s="71"/>
      <c r="D143" s="12">
        <v>0.51160213896594608</v>
      </c>
      <c r="E143" s="10">
        <v>4</v>
      </c>
      <c r="F143" s="10">
        <v>165</v>
      </c>
      <c r="G143" s="1">
        <v>4.8899999999999997</v>
      </c>
      <c r="H143" s="14">
        <f t="shared" si="2"/>
        <v>-5.79</v>
      </c>
      <c r="I143" s="904"/>
      <c r="J143" s="905"/>
      <c r="K143" s="905"/>
      <c r="L143" s="906"/>
      <c r="M143" s="3" t="s">
        <v>296</v>
      </c>
    </row>
    <row r="144" spans="1:13">
      <c r="A144" s="81" t="s">
        <v>117</v>
      </c>
      <c r="B144" s="121">
        <v>-7.8666024307540212</v>
      </c>
      <c r="C144" s="71"/>
      <c r="D144" s="12">
        <v>0.65141515533308314</v>
      </c>
      <c r="E144" s="10">
        <v>4</v>
      </c>
      <c r="F144" s="10">
        <v>161.1</v>
      </c>
      <c r="G144" s="1">
        <v>4.76</v>
      </c>
      <c r="H144" s="14">
        <f t="shared" si="2"/>
        <v>-5.6209999999999996</v>
      </c>
      <c r="I144" s="904"/>
      <c r="J144" s="905"/>
      <c r="K144" s="905"/>
      <c r="L144" s="906"/>
      <c r="M144" s="3" t="s">
        <v>297</v>
      </c>
    </row>
    <row r="145" spans="1:28">
      <c r="A145" s="83" t="s">
        <v>298</v>
      </c>
      <c r="B145" s="121">
        <v>-8.5874130710886849</v>
      </c>
      <c r="C145" s="71"/>
      <c r="D145" s="12">
        <v>0.65883215509381909</v>
      </c>
      <c r="E145" s="10">
        <v>3</v>
      </c>
      <c r="F145" s="10">
        <v>155</v>
      </c>
      <c r="G145" s="1">
        <v>3.74</v>
      </c>
      <c r="H145" s="14">
        <f t="shared" si="2"/>
        <v>-4.54</v>
      </c>
      <c r="I145" s="904"/>
      <c r="J145" s="905"/>
      <c r="K145" s="905"/>
      <c r="L145" s="906"/>
      <c r="M145" s="3" t="s">
        <v>299</v>
      </c>
    </row>
    <row r="146" spans="1:28">
      <c r="A146" s="82" t="s">
        <v>300</v>
      </c>
      <c r="B146" s="121">
        <v>-2.0281494897836057</v>
      </c>
      <c r="C146" s="71"/>
      <c r="D146" s="12">
        <v>0.61400477095750339</v>
      </c>
      <c r="E146" s="10">
        <v>3</v>
      </c>
      <c r="F146" s="10">
        <v>165.4</v>
      </c>
      <c r="G146" s="1">
        <v>5.58</v>
      </c>
      <c r="H146" s="14">
        <f t="shared" si="2"/>
        <v>-6.484</v>
      </c>
      <c r="I146" s="904"/>
      <c r="J146" s="905"/>
      <c r="K146" s="905"/>
      <c r="L146" s="906"/>
      <c r="M146" s="3" t="s">
        <v>301</v>
      </c>
    </row>
    <row r="147" spans="1:28">
      <c r="A147" s="82" t="s">
        <v>302</v>
      </c>
      <c r="B147" s="121">
        <v>-6.2117288749303103</v>
      </c>
      <c r="C147" s="71"/>
      <c r="D147" s="12">
        <v>0.50406532001413251</v>
      </c>
      <c r="E147" s="10">
        <v>6</v>
      </c>
      <c r="F147" s="10">
        <v>161</v>
      </c>
      <c r="G147" s="1">
        <v>6.45</v>
      </c>
      <c r="H147" s="14">
        <f t="shared" si="2"/>
        <v>-7.3100000000000005</v>
      </c>
      <c r="I147" s="907"/>
      <c r="J147" s="908"/>
      <c r="K147" s="908"/>
      <c r="L147" s="909"/>
      <c r="M147" s="3" t="s">
        <v>303</v>
      </c>
    </row>
    <row r="148" spans="1:28">
      <c r="A148" s="82" t="s">
        <v>304</v>
      </c>
      <c r="B148" s="121">
        <v>-1.9783359052071732</v>
      </c>
      <c r="C148" s="71"/>
      <c r="D148" s="12">
        <v>0.75493366325441691</v>
      </c>
      <c r="E148" s="10">
        <v>4</v>
      </c>
      <c r="F148" s="10">
        <v>193.5</v>
      </c>
      <c r="G148" s="1">
        <v>5.41</v>
      </c>
      <c r="H148" s="14">
        <f t="shared" si="2"/>
        <v>-6.5950000000000006</v>
      </c>
      <c r="J148" s="14"/>
      <c r="K148" s="14"/>
      <c r="L148" s="14"/>
      <c r="M148" s="3" t="s">
        <v>305</v>
      </c>
    </row>
    <row r="149" spans="1:28">
      <c r="A149" s="82" t="s">
        <v>306</v>
      </c>
      <c r="B149" s="121">
        <v>-1.9114238963568977</v>
      </c>
      <c r="C149" s="71"/>
      <c r="D149" s="12">
        <v>0.50089358058597189</v>
      </c>
      <c r="E149" s="10">
        <v>3</v>
      </c>
      <c r="F149" s="10">
        <v>156</v>
      </c>
      <c r="G149" s="1">
        <v>2.9</v>
      </c>
      <c r="H149" s="14">
        <f t="shared" si="2"/>
        <v>-3.71</v>
      </c>
      <c r="I149" s="70" t="s">
        <v>133</v>
      </c>
      <c r="J149" s="32">
        <v>4394</v>
      </c>
      <c r="K149" s="34"/>
      <c r="L149" s="14"/>
      <c r="M149" s="3" t="s">
        <v>307</v>
      </c>
    </row>
    <row r="150" spans="1:28">
      <c r="A150" s="83" t="s">
        <v>308</v>
      </c>
      <c r="B150" s="121">
        <v>-3.2328522744573647</v>
      </c>
      <c r="C150" s="71"/>
      <c r="D150" s="12">
        <v>0.6587984329866341</v>
      </c>
      <c r="E150" s="10">
        <v>4</v>
      </c>
      <c r="F150" s="10">
        <v>183.5</v>
      </c>
      <c r="G150" s="1">
        <v>3.16</v>
      </c>
      <c r="H150" s="14">
        <f t="shared" si="2"/>
        <v>-4.2450000000000001</v>
      </c>
      <c r="I150" s="70" t="s">
        <v>136</v>
      </c>
      <c r="J150" s="32">
        <v>941</v>
      </c>
      <c r="K150" s="34">
        <v>941</v>
      </c>
      <c r="L150" s="14"/>
      <c r="M150" s="3" t="s">
        <v>309</v>
      </c>
    </row>
    <row r="151" spans="1:28">
      <c r="A151" s="83" t="s">
        <v>310</v>
      </c>
      <c r="B151" s="121">
        <v>-0.65079181457120783</v>
      </c>
      <c r="C151" s="71"/>
      <c r="D151" s="12">
        <v>0.59871706042825668</v>
      </c>
      <c r="E151" s="10">
        <v>3</v>
      </c>
      <c r="F151" s="10">
        <v>61</v>
      </c>
      <c r="G151" s="1">
        <v>1.77</v>
      </c>
      <c r="H151" s="14">
        <f t="shared" si="2"/>
        <v>-1.63</v>
      </c>
      <c r="I151" s="70" t="s">
        <v>139</v>
      </c>
      <c r="J151" s="75">
        <f>COUNTA(A129:A160)</f>
        <v>32</v>
      </c>
      <c r="K151" s="34"/>
      <c r="L151" s="14"/>
      <c r="M151" s="3" t="s">
        <v>311</v>
      </c>
    </row>
    <row r="152" spans="1:28">
      <c r="A152" s="82" t="s">
        <v>312</v>
      </c>
      <c r="B152" s="121">
        <v>-2.2144716343281079</v>
      </c>
      <c r="C152" s="71"/>
      <c r="D152" s="12">
        <v>0.57115657899345518</v>
      </c>
      <c r="E152" s="10">
        <v>7</v>
      </c>
      <c r="F152" s="10">
        <v>177</v>
      </c>
      <c r="G152" s="1">
        <v>3.17</v>
      </c>
      <c r="H152" s="14">
        <f t="shared" si="2"/>
        <v>-4.1899999999999995</v>
      </c>
      <c r="I152" s="14"/>
      <c r="J152" s="14"/>
      <c r="K152" s="14"/>
      <c r="L152" s="14"/>
      <c r="M152" s="3" t="s">
        <v>313</v>
      </c>
    </row>
    <row r="153" spans="1:28">
      <c r="A153" s="81" t="s">
        <v>314</v>
      </c>
      <c r="B153" s="121">
        <v>-5.7832680138794919</v>
      </c>
      <c r="C153" s="71"/>
      <c r="D153" s="12">
        <v>0.55807775121880254</v>
      </c>
      <c r="E153" s="10">
        <v>6</v>
      </c>
      <c r="F153" s="10">
        <v>145</v>
      </c>
      <c r="G153" s="1">
        <v>6.08</v>
      </c>
      <c r="H153" s="14">
        <f t="shared" si="2"/>
        <v>-6.78</v>
      </c>
      <c r="I153" s="19" t="s">
        <v>144</v>
      </c>
      <c r="J153" s="17"/>
      <c r="K153" s="17"/>
      <c r="L153" s="18"/>
      <c r="M153" s="3" t="s">
        <v>315</v>
      </c>
    </row>
    <row r="154" spans="1:28">
      <c r="A154" s="81" t="s">
        <v>316</v>
      </c>
      <c r="B154" s="121">
        <v>-1.6693015699434823</v>
      </c>
      <c r="C154" s="71"/>
      <c r="D154" s="12">
        <v>0.66417698790166113</v>
      </c>
      <c r="E154" s="10">
        <v>3</v>
      </c>
      <c r="F154" s="13">
        <v>175.8</v>
      </c>
      <c r="G154" s="1">
        <v>4.62</v>
      </c>
      <c r="H154" s="14">
        <f t="shared" si="2"/>
        <v>-5.6280000000000001</v>
      </c>
      <c r="I154" s="901" t="s">
        <v>1011</v>
      </c>
      <c r="J154" s="902"/>
      <c r="K154" s="902"/>
      <c r="L154" s="903"/>
      <c r="M154" s="3" t="s">
        <v>317</v>
      </c>
    </row>
    <row r="155" spans="1:28">
      <c r="A155" s="82" t="s">
        <v>318</v>
      </c>
      <c r="B155" s="121">
        <v>-6.2719278658140496</v>
      </c>
      <c r="C155" s="71"/>
      <c r="D155" s="12">
        <v>0.57716593661781801</v>
      </c>
      <c r="E155" s="10">
        <v>3</v>
      </c>
      <c r="F155" s="10">
        <v>349.84</v>
      </c>
      <c r="G155" s="1">
        <v>3.09</v>
      </c>
      <c r="H155" s="14">
        <f t="shared" si="2"/>
        <v>-5.8384</v>
      </c>
      <c r="I155" s="904"/>
      <c r="J155" s="905"/>
      <c r="K155" s="905"/>
      <c r="L155" s="906"/>
      <c r="M155" s="3" t="s">
        <v>319</v>
      </c>
    </row>
    <row r="156" spans="1:28">
      <c r="A156" s="83" t="s">
        <v>320</v>
      </c>
      <c r="B156" s="121">
        <v>-0.66567627186175127</v>
      </c>
      <c r="C156" s="71"/>
      <c r="D156" s="12">
        <v>0.70324590282883903</v>
      </c>
      <c r="E156" s="10">
        <v>3</v>
      </c>
      <c r="F156" s="10">
        <v>204</v>
      </c>
      <c r="G156" s="1">
        <v>0.88</v>
      </c>
      <c r="H156" s="14">
        <f t="shared" si="2"/>
        <v>-2.17</v>
      </c>
      <c r="I156" s="904"/>
      <c r="J156" s="905"/>
      <c r="K156" s="905"/>
      <c r="L156" s="906"/>
      <c r="M156" s="3" t="s">
        <v>321</v>
      </c>
    </row>
    <row r="157" spans="1:28">
      <c r="A157" s="82" t="s">
        <v>322</v>
      </c>
      <c r="B157" s="121">
        <v>-3.2798998053276054</v>
      </c>
      <c r="C157" s="71"/>
      <c r="D157" s="12">
        <v>0.7237903588794764</v>
      </c>
      <c r="E157" s="10">
        <v>7</v>
      </c>
      <c r="F157" s="10">
        <v>97.8</v>
      </c>
      <c r="G157" s="1">
        <v>6</v>
      </c>
      <c r="H157" s="14">
        <f t="shared" si="2"/>
        <v>-6.2279999999999998</v>
      </c>
      <c r="I157" s="904"/>
      <c r="J157" s="905"/>
      <c r="K157" s="905"/>
      <c r="L157" s="906"/>
      <c r="M157" s="3" t="s">
        <v>323</v>
      </c>
    </row>
    <row r="158" spans="1:28">
      <c r="A158" s="82" t="s">
        <v>324</v>
      </c>
      <c r="B158" s="121">
        <v>-8.6985353392727074</v>
      </c>
      <c r="C158" s="71"/>
      <c r="D158" s="12">
        <v>0.84033450922624497</v>
      </c>
      <c r="E158" s="10">
        <v>5</v>
      </c>
      <c r="F158" s="10">
        <v>262</v>
      </c>
      <c r="G158" s="1">
        <v>7.26</v>
      </c>
      <c r="H158" s="14">
        <f t="shared" si="2"/>
        <v>-9.129999999999999</v>
      </c>
      <c r="I158" s="904"/>
      <c r="J158" s="905"/>
      <c r="K158" s="905"/>
      <c r="L158" s="906"/>
      <c r="M158" s="3" t="s">
        <v>325</v>
      </c>
    </row>
    <row r="159" spans="1:28">
      <c r="A159" s="82" t="s">
        <v>326</v>
      </c>
      <c r="B159" s="121">
        <v>-3.823619737058527</v>
      </c>
      <c r="C159" s="71"/>
      <c r="D159" s="12">
        <v>0.70969645885144073</v>
      </c>
      <c r="E159" s="10">
        <v>11</v>
      </c>
      <c r="F159" s="10">
        <v>149.6</v>
      </c>
      <c r="G159" s="1">
        <v>6.45</v>
      </c>
      <c r="H159" s="14">
        <f t="shared" si="2"/>
        <v>-7.1959999999999997</v>
      </c>
      <c r="I159" s="904"/>
      <c r="J159" s="905"/>
      <c r="K159" s="905"/>
      <c r="L159" s="906"/>
      <c r="M159" s="3" t="s">
        <v>327</v>
      </c>
    </row>
    <row r="160" spans="1:28" s="62" customFormat="1">
      <c r="A160" s="81" t="s">
        <v>328</v>
      </c>
      <c r="B160" s="121">
        <v>-0.19490949726367102</v>
      </c>
      <c r="C160" s="71"/>
      <c r="D160" s="12">
        <v>0.49644864464459931</v>
      </c>
      <c r="E160" s="10">
        <v>4</v>
      </c>
      <c r="F160" s="10">
        <v>304.5</v>
      </c>
      <c r="G160" s="1">
        <v>2.69</v>
      </c>
      <c r="H160" s="14">
        <f t="shared" si="2"/>
        <v>-4.9849999999999994</v>
      </c>
      <c r="I160" s="907"/>
      <c r="J160" s="908"/>
      <c r="K160" s="908"/>
      <c r="L160" s="909"/>
      <c r="M160" s="3" t="s">
        <v>329</v>
      </c>
      <c r="N160"/>
      <c r="O160"/>
      <c r="P160"/>
      <c r="Q160"/>
      <c r="R160"/>
      <c r="S160"/>
      <c r="T160"/>
      <c r="U160"/>
      <c r="V160"/>
      <c r="W160"/>
      <c r="X160"/>
      <c r="Y160"/>
      <c r="Z160"/>
      <c r="AA160"/>
      <c r="AB160"/>
    </row>
    <row r="161" spans="1:28">
      <c r="A161" s="62"/>
      <c r="B161" s="62"/>
      <c r="C161" s="65" t="s">
        <v>261</v>
      </c>
      <c r="D161" s="80">
        <f>AVERAGE(D129:D160)</f>
        <v>0.61629001144944573</v>
      </c>
      <c r="E161" s="62"/>
      <c r="F161" s="62"/>
      <c r="G161" s="62"/>
      <c r="H161" s="69" t="s">
        <v>262</v>
      </c>
      <c r="I161" s="63"/>
      <c r="J161" s="63"/>
      <c r="K161" s="63"/>
      <c r="L161" s="63"/>
      <c r="M161" s="64"/>
      <c r="N161" s="62"/>
      <c r="O161" s="62"/>
      <c r="P161" s="62"/>
      <c r="Q161" s="62"/>
      <c r="R161" s="62"/>
      <c r="S161" s="62"/>
      <c r="T161" s="62"/>
      <c r="U161" s="62"/>
      <c r="V161" s="62"/>
      <c r="W161" s="62"/>
      <c r="X161" s="62"/>
      <c r="Y161" s="62"/>
      <c r="Z161" s="62"/>
      <c r="AA161" s="62"/>
      <c r="AB161" s="62"/>
    </row>
    <row r="162" spans="1:28">
      <c r="A162" s="11"/>
      <c r="C162" s="65" t="s">
        <v>263</v>
      </c>
      <c r="D162" s="80">
        <f>MIN(D129:D160)</f>
        <v>0.49644864464459931</v>
      </c>
      <c r="E162" s="67"/>
      <c r="F162" s="68"/>
      <c r="G162" s="68"/>
      <c r="H162" s="69" t="s">
        <v>330</v>
      </c>
      <c r="I162" s="68"/>
      <c r="J162" s="6"/>
      <c r="K162" s="6"/>
      <c r="L162" s="6"/>
      <c r="M162" s="11"/>
    </row>
    <row r="163" spans="1:28">
      <c r="A163" s="11"/>
      <c r="C163" s="65" t="s">
        <v>265</v>
      </c>
      <c r="D163" s="80">
        <f>MAX(D129:D160)</f>
        <v>0.92735432696895004</v>
      </c>
      <c r="E163" s="67"/>
      <c r="F163" s="68"/>
      <c r="G163" s="68"/>
      <c r="H163" s="69"/>
      <c r="I163" s="68"/>
      <c r="J163" s="6"/>
      <c r="K163" s="6"/>
      <c r="L163" s="6"/>
      <c r="M163" s="11"/>
    </row>
    <row r="165" spans="1:28">
      <c r="A165" t="s">
        <v>331</v>
      </c>
    </row>
    <row r="166" spans="1:28">
      <c r="A166" t="s">
        <v>332</v>
      </c>
    </row>
    <row r="168" spans="1:28">
      <c r="A168" t="s">
        <v>333</v>
      </c>
    </row>
    <row r="169" spans="1:28">
      <c r="A169" t="s">
        <v>334</v>
      </c>
    </row>
    <row r="170" spans="1:28" ht="15.75" customHeight="1"/>
    <row r="171" spans="1:28" s="47" customFormat="1" ht="19">
      <c r="A171" s="101" t="s">
        <v>335</v>
      </c>
    </row>
    <row r="172" spans="1:28" s="47" customFormat="1" ht="18">
      <c r="A172" s="95" t="s">
        <v>336</v>
      </c>
    </row>
    <row r="173" spans="1:28" s="47" customFormat="1" ht="16">
      <c r="A173" s="95" t="s">
        <v>337</v>
      </c>
    </row>
    <row r="174" spans="1:28" s="47" customFormat="1">
      <c r="A174" s="96" t="s">
        <v>338</v>
      </c>
    </row>
    <row r="175" spans="1:28" s="47" customFormat="1">
      <c r="A175" s="97" t="s">
        <v>339</v>
      </c>
    </row>
    <row r="176" spans="1:28" s="47" customFormat="1">
      <c r="A176" s="98" t="s">
        <v>340</v>
      </c>
    </row>
    <row r="177" spans="1:1" s="47" customFormat="1">
      <c r="A177" s="47" t="s">
        <v>341</v>
      </c>
    </row>
    <row r="178" spans="1:1" s="47" customFormat="1">
      <c r="A178" s="99" t="s">
        <v>342</v>
      </c>
    </row>
    <row r="179" spans="1:1" s="47" customFormat="1">
      <c r="A179" s="47" t="s">
        <v>343</v>
      </c>
    </row>
    <row r="180" spans="1:1" s="47" customFormat="1">
      <c r="A180" s="98" t="s">
        <v>344</v>
      </c>
    </row>
    <row r="181" spans="1:1" s="47" customFormat="1">
      <c r="A181" s="47" t="s">
        <v>345</v>
      </c>
    </row>
    <row r="182" spans="1:1" s="47" customFormat="1">
      <c r="A182" s="47" t="s">
        <v>346</v>
      </c>
    </row>
    <row r="183" spans="1:1" s="47" customFormat="1">
      <c r="A183" s="96" t="s">
        <v>347</v>
      </c>
    </row>
    <row r="184" spans="1:1" s="47" customFormat="1">
      <c r="A184" s="96" t="s">
        <v>348</v>
      </c>
    </row>
    <row r="185" spans="1:1" s="47" customFormat="1">
      <c r="A185" s="47" t="s">
        <v>349</v>
      </c>
    </row>
    <row r="186" spans="1:1" s="47" customFormat="1">
      <c r="A186" s="47" t="s">
        <v>350</v>
      </c>
    </row>
    <row r="187" spans="1:1" s="47" customFormat="1">
      <c r="A187" s="99" t="s">
        <v>351</v>
      </c>
    </row>
    <row r="188" spans="1:1" s="47" customFormat="1">
      <c r="A188" s="99" t="s">
        <v>352</v>
      </c>
    </row>
    <row r="189" spans="1:1" s="47" customFormat="1">
      <c r="A189" s="98" t="s">
        <v>353</v>
      </c>
    </row>
    <row r="190" spans="1:1" s="47" customFormat="1">
      <c r="A190" s="99" t="s">
        <v>354</v>
      </c>
    </row>
    <row r="191" spans="1:1" s="47" customFormat="1">
      <c r="A191" s="47" t="s">
        <v>355</v>
      </c>
    </row>
    <row r="192" spans="1:1" s="47" customFormat="1"/>
    <row r="193" spans="1:17">
      <c r="A193" s="74" t="s">
        <v>356</v>
      </c>
    </row>
    <row r="194" spans="1:17">
      <c r="A194" s="43" t="s">
        <v>1013</v>
      </c>
      <c r="B194" s="44"/>
      <c r="C194" s="44"/>
      <c r="D194" s="44"/>
      <c r="E194" s="44"/>
      <c r="F194" s="44"/>
      <c r="G194" s="44"/>
      <c r="H194" s="44"/>
      <c r="I194" s="44"/>
      <c r="J194" s="44"/>
      <c r="K194" s="44"/>
      <c r="L194" s="44"/>
      <c r="M194" s="48"/>
      <c r="N194" s="44"/>
      <c r="O194" s="44"/>
      <c r="P194" s="44"/>
      <c r="Q194" s="45"/>
    </row>
  </sheetData>
  <mergeCells count="4">
    <mergeCell ref="I33:L57"/>
    <mergeCell ref="I64:L122"/>
    <mergeCell ref="I139:L147"/>
    <mergeCell ref="I154:L160"/>
  </mergeCells>
  <pageMargins left="0" right="0" top="0" bottom="0" header="0.3" footer="0.3"/>
  <pageSetup scale="54" orientation="landscape"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8A66C-A250-4366-8A2E-06CBD4D66044}">
  <dimension ref="A1:IV194"/>
  <sheetViews>
    <sheetView showGridLines="0" workbookViewId="0">
      <selection activeCell="B4" sqref="B4:C9"/>
    </sheetView>
  </sheetViews>
  <sheetFormatPr baseColWidth="10" defaultColWidth="8.6640625" defaultRowHeight="14.75" customHeight="1"/>
  <cols>
    <col min="1" max="1" width="18.83203125" style="600" customWidth="1"/>
    <col min="2" max="3" width="11.33203125" style="600" customWidth="1"/>
    <col min="4" max="4" width="7.6640625" style="600" customWidth="1"/>
    <col min="5" max="5" width="7.83203125" style="600" customWidth="1"/>
    <col min="6" max="6" width="10.33203125" style="600" customWidth="1"/>
    <col min="7" max="7" width="11.5" style="600" customWidth="1"/>
    <col min="8" max="8" width="9.33203125" style="600" customWidth="1"/>
    <col min="9" max="9" width="13.33203125" style="600" customWidth="1"/>
    <col min="10" max="10" width="4.5" style="600" customWidth="1"/>
    <col min="11" max="12" width="9.33203125" style="600" customWidth="1"/>
    <col min="13" max="13" width="9" style="600" customWidth="1"/>
    <col min="14" max="28" width="9.33203125" style="600" customWidth="1"/>
    <col min="29" max="256" width="8.83203125" style="600" customWidth="1"/>
    <col min="257" max="16384" width="8.6640625" style="729"/>
  </cols>
  <sheetData>
    <row r="1" spans="1:28" ht="33.75" customHeight="1">
      <c r="A1" s="596"/>
      <c r="B1" s="597" t="s">
        <v>0</v>
      </c>
      <c r="C1" s="598"/>
      <c r="D1" s="596"/>
      <c r="E1" s="596"/>
      <c r="F1" s="596"/>
      <c r="G1" s="596"/>
      <c r="H1" s="596"/>
      <c r="I1" s="596"/>
      <c r="J1" s="596"/>
      <c r="K1" s="596"/>
      <c r="L1" s="596"/>
      <c r="M1" s="596"/>
      <c r="N1" s="596"/>
      <c r="O1" s="596"/>
      <c r="P1" s="596"/>
      <c r="Q1" s="596"/>
      <c r="R1" s="596"/>
      <c r="S1" s="596"/>
      <c r="T1" s="596"/>
      <c r="U1" s="596"/>
      <c r="V1" s="596"/>
      <c r="W1" s="596"/>
      <c r="X1" s="596"/>
      <c r="Y1" s="599"/>
      <c r="Z1" s="596"/>
      <c r="AA1" s="596"/>
      <c r="AB1" s="596"/>
    </row>
    <row r="2" spans="1:28" ht="21" customHeight="1">
      <c r="A2" s="596"/>
      <c r="B2" s="601" t="s">
        <v>1</v>
      </c>
      <c r="C2" s="602"/>
      <c r="D2" s="596"/>
      <c r="E2" s="596"/>
      <c r="F2" s="596"/>
      <c r="G2" s="596"/>
      <c r="H2" s="596"/>
      <c r="I2" s="596"/>
      <c r="J2" s="596"/>
      <c r="K2" s="596"/>
      <c r="L2" s="596"/>
      <c r="M2" s="596"/>
      <c r="N2" s="596"/>
      <c r="O2" s="596"/>
      <c r="P2" s="596"/>
      <c r="Q2" s="596"/>
      <c r="R2" s="596"/>
      <c r="S2" s="596"/>
      <c r="T2" s="596"/>
      <c r="U2" s="596"/>
      <c r="V2" s="596"/>
      <c r="W2" s="596"/>
      <c r="X2" s="596"/>
      <c r="Y2" s="603"/>
      <c r="Z2" s="596"/>
      <c r="AA2" s="596"/>
      <c r="AB2" s="596"/>
    </row>
    <row r="3" spans="1:28" ht="18.75" customHeight="1">
      <c r="A3" s="604"/>
      <c r="B3" s="605" t="s">
        <v>2</v>
      </c>
      <c r="C3" s="606"/>
      <c r="D3" s="604"/>
      <c r="E3" s="604"/>
      <c r="F3" s="604"/>
      <c r="G3" s="604"/>
      <c r="H3" s="604"/>
      <c r="I3" s="604"/>
      <c r="J3" s="604"/>
      <c r="K3" s="604"/>
      <c r="L3" s="604"/>
      <c r="M3" s="604"/>
      <c r="N3" s="604"/>
      <c r="O3" s="604"/>
      <c r="P3" s="604"/>
      <c r="Q3" s="604"/>
      <c r="R3" s="604"/>
      <c r="S3" s="596"/>
      <c r="T3" s="596"/>
      <c r="U3" s="596"/>
      <c r="V3" s="596"/>
      <c r="W3" s="596"/>
      <c r="X3" s="596"/>
      <c r="Y3" s="607"/>
      <c r="Z3" s="596"/>
      <c r="AA3" s="596"/>
      <c r="AB3" s="596"/>
    </row>
    <row r="4" spans="1:28" ht="15" customHeight="1">
      <c r="A4" s="608" t="s">
        <v>3</v>
      </c>
      <c r="B4" s="609"/>
      <c r="C4" s="610"/>
      <c r="D4" s="610"/>
      <c r="E4" s="610"/>
      <c r="F4" s="610"/>
      <c r="G4" s="610"/>
      <c r="H4" s="610"/>
      <c r="I4" s="610"/>
      <c r="J4" s="610"/>
      <c r="K4" s="610"/>
      <c r="L4" s="610"/>
      <c r="M4" s="610"/>
      <c r="N4" s="610"/>
      <c r="O4" s="610"/>
      <c r="P4" s="610"/>
      <c r="Q4" s="610"/>
      <c r="R4" s="611"/>
      <c r="S4" s="612"/>
      <c r="T4" s="596"/>
      <c r="U4" s="596"/>
      <c r="V4" s="596"/>
      <c r="W4" s="596"/>
      <c r="X4" s="596"/>
      <c r="Y4" s="596"/>
      <c r="Z4" s="596"/>
      <c r="AA4" s="596"/>
      <c r="AB4" s="596"/>
    </row>
    <row r="5" spans="1:28" ht="15" customHeight="1">
      <c r="A5" s="613" t="s">
        <v>4</v>
      </c>
      <c r="B5" s="609"/>
      <c r="C5" s="610"/>
      <c r="D5" s="610"/>
      <c r="E5" s="610"/>
      <c r="F5" s="610"/>
      <c r="G5" s="610"/>
      <c r="H5" s="610"/>
      <c r="I5" s="610"/>
      <c r="J5" s="610"/>
      <c r="K5" s="610"/>
      <c r="L5" s="610"/>
      <c r="M5" s="610"/>
      <c r="N5" s="610"/>
      <c r="O5" s="610"/>
      <c r="P5" s="610"/>
      <c r="Q5" s="610"/>
      <c r="R5" s="611"/>
      <c r="S5" s="612"/>
      <c r="T5" s="596"/>
      <c r="U5" s="596"/>
      <c r="V5" s="596"/>
      <c r="W5" s="596"/>
      <c r="X5" s="596"/>
      <c r="Y5" s="596"/>
      <c r="Z5" s="596"/>
      <c r="AA5" s="596"/>
      <c r="AB5" s="596"/>
    </row>
    <row r="6" spans="1:28" ht="15" customHeight="1">
      <c r="A6" s="614" t="s">
        <v>5</v>
      </c>
      <c r="B6" s="609"/>
      <c r="C6" s="610"/>
      <c r="D6" s="610"/>
      <c r="E6" s="610"/>
      <c r="F6" s="610"/>
      <c r="G6" s="610"/>
      <c r="H6" s="610"/>
      <c r="I6" s="610"/>
      <c r="J6" s="610"/>
      <c r="K6" s="610"/>
      <c r="L6" s="610"/>
      <c r="M6" s="610"/>
      <c r="N6" s="610"/>
      <c r="O6" s="610"/>
      <c r="P6" s="610"/>
      <c r="Q6" s="610"/>
      <c r="R6" s="611"/>
      <c r="S6" s="612"/>
      <c r="T6" s="596"/>
      <c r="U6" s="596"/>
      <c r="V6" s="596"/>
      <c r="W6" s="596"/>
      <c r="X6" s="596"/>
      <c r="Y6" s="596"/>
      <c r="Z6" s="596"/>
      <c r="AA6" s="596"/>
      <c r="AB6" s="596"/>
    </row>
    <row r="7" spans="1:28" ht="15" customHeight="1">
      <c r="A7" s="615"/>
      <c r="B7" s="616"/>
      <c r="C7" s="610"/>
      <c r="D7" s="610"/>
      <c r="E7" s="610"/>
      <c r="F7" s="610"/>
      <c r="G7" s="610"/>
      <c r="H7" s="610"/>
      <c r="I7" s="610"/>
      <c r="J7" s="610"/>
      <c r="K7" s="610"/>
      <c r="L7" s="610"/>
      <c r="M7" s="610"/>
      <c r="N7" s="610"/>
      <c r="O7" s="610"/>
      <c r="P7" s="610"/>
      <c r="Q7" s="610"/>
      <c r="R7" s="611"/>
      <c r="S7" s="612"/>
      <c r="T7" s="596"/>
      <c r="U7" s="596"/>
      <c r="V7" s="596"/>
      <c r="W7" s="596"/>
      <c r="X7" s="596"/>
      <c r="Y7" s="596"/>
      <c r="Z7" s="596"/>
      <c r="AA7" s="596"/>
      <c r="AB7" s="596"/>
    </row>
    <row r="8" spans="1:28" ht="15" customHeight="1">
      <c r="A8" s="608" t="s">
        <v>6</v>
      </c>
      <c r="B8" s="609"/>
      <c r="C8" s="610"/>
      <c r="D8" s="610"/>
      <c r="E8" s="610"/>
      <c r="F8" s="610"/>
      <c r="G8" s="610"/>
      <c r="H8" s="610"/>
      <c r="I8" s="610"/>
      <c r="J8" s="610"/>
      <c r="K8" s="610"/>
      <c r="L8" s="610"/>
      <c r="M8" s="610"/>
      <c r="N8" s="610"/>
      <c r="O8" s="610"/>
      <c r="P8" s="610"/>
      <c r="Q8" s="610"/>
      <c r="R8" s="611"/>
      <c r="S8" s="612"/>
      <c r="T8" s="596"/>
      <c r="U8" s="596"/>
      <c r="V8" s="596"/>
      <c r="W8" s="596"/>
      <c r="X8" s="596"/>
      <c r="Y8" s="596"/>
      <c r="Z8" s="596"/>
      <c r="AA8" s="596"/>
      <c r="AB8" s="596"/>
    </row>
    <row r="9" spans="1:28" ht="15" customHeight="1">
      <c r="A9" s="608" t="s">
        <v>7</v>
      </c>
      <c r="B9" s="617"/>
      <c r="C9" s="610"/>
      <c r="D9" s="610"/>
      <c r="E9" s="610"/>
      <c r="F9" s="610"/>
      <c r="G9" s="610"/>
      <c r="H9" s="610"/>
      <c r="I9" s="610"/>
      <c r="J9" s="610"/>
      <c r="K9" s="610"/>
      <c r="L9" s="610"/>
      <c r="M9" s="610"/>
      <c r="N9" s="610"/>
      <c r="O9" s="610"/>
      <c r="P9" s="610"/>
      <c r="Q9" s="610"/>
      <c r="R9" s="611"/>
      <c r="S9" s="612"/>
      <c r="T9" s="596"/>
      <c r="U9" s="596"/>
      <c r="V9" s="596"/>
      <c r="W9" s="596"/>
      <c r="X9" s="596"/>
      <c r="Y9" s="596"/>
      <c r="Z9" s="596"/>
      <c r="AA9" s="596"/>
      <c r="AB9" s="596"/>
    </row>
    <row r="10" spans="1:28" ht="15" customHeight="1">
      <c r="A10" s="618"/>
      <c r="B10" s="619"/>
      <c r="C10" s="619"/>
      <c r="D10" s="619"/>
      <c r="E10" s="619"/>
      <c r="F10" s="619"/>
      <c r="G10" s="619"/>
      <c r="H10" s="619"/>
      <c r="I10" s="619"/>
      <c r="J10" s="619"/>
      <c r="K10" s="619"/>
      <c r="L10" s="619"/>
      <c r="M10" s="619"/>
      <c r="N10" s="619"/>
      <c r="O10" s="619"/>
      <c r="P10" s="619"/>
      <c r="Q10" s="619"/>
      <c r="R10" s="619"/>
      <c r="S10" s="596"/>
      <c r="T10" s="596"/>
      <c r="U10" s="596"/>
      <c r="V10" s="596"/>
      <c r="W10" s="596"/>
      <c r="X10" s="596"/>
      <c r="Y10" s="596"/>
      <c r="Z10" s="596"/>
      <c r="AA10" s="596"/>
      <c r="AB10" s="596"/>
    </row>
    <row r="11" spans="1:28" ht="26.25" customHeight="1">
      <c r="A11" s="620" t="s">
        <v>1014</v>
      </c>
      <c r="B11" s="596"/>
      <c r="C11" s="596"/>
      <c r="D11" s="596"/>
      <c r="E11" s="596"/>
      <c r="F11" s="596"/>
      <c r="G11" s="596"/>
      <c r="H11" s="596"/>
      <c r="I11" s="596"/>
      <c r="J11" s="596"/>
      <c r="K11" s="596"/>
      <c r="L11" s="596"/>
      <c r="M11" s="596"/>
      <c r="N11" s="596"/>
      <c r="O11" s="596"/>
      <c r="P11" s="596"/>
      <c r="Q11" s="596"/>
      <c r="R11" s="596"/>
      <c r="S11" s="596"/>
      <c r="T11" s="596"/>
      <c r="U11" s="596"/>
      <c r="V11" s="596"/>
      <c r="W11" s="596"/>
      <c r="X11" s="596"/>
      <c r="Y11" s="596"/>
      <c r="Z11" s="596"/>
      <c r="AA11" s="596"/>
      <c r="AB11" s="596"/>
    </row>
    <row r="12" spans="1:28" ht="15" customHeight="1">
      <c r="A12" s="596"/>
      <c r="B12" s="621" t="s">
        <v>1015</v>
      </c>
      <c r="C12" s="596"/>
      <c r="D12" s="596"/>
      <c r="E12" s="596"/>
      <c r="F12" s="596"/>
      <c r="G12" s="596"/>
      <c r="H12" s="596"/>
      <c r="I12" s="596"/>
      <c r="J12" s="596"/>
      <c r="K12" s="596"/>
      <c r="L12" s="596"/>
      <c r="M12" s="596"/>
      <c r="N12" s="596"/>
      <c r="O12" s="596"/>
      <c r="P12" s="596"/>
      <c r="Q12" s="596"/>
      <c r="R12" s="596"/>
      <c r="S12" s="596"/>
      <c r="T12" s="596"/>
      <c r="U12" s="596"/>
      <c r="V12" s="596"/>
      <c r="W12" s="596"/>
      <c r="X12" s="596"/>
      <c r="Y12" s="596"/>
      <c r="Z12" s="596"/>
      <c r="AA12" s="596"/>
      <c r="AB12" s="596"/>
    </row>
    <row r="13" spans="1:28" ht="15" customHeight="1">
      <c r="A13" s="622" t="s">
        <v>1016</v>
      </c>
      <c r="B13" s="604"/>
      <c r="C13" s="596"/>
      <c r="D13" s="596"/>
      <c r="E13" s="596"/>
      <c r="F13" s="596"/>
      <c r="G13" s="596"/>
      <c r="H13" s="596"/>
      <c r="I13" s="596"/>
      <c r="J13" s="596"/>
      <c r="K13" s="596"/>
      <c r="L13" s="596"/>
      <c r="M13" s="596"/>
      <c r="N13" s="596"/>
      <c r="O13" s="596"/>
      <c r="P13" s="596"/>
      <c r="Q13" s="596"/>
      <c r="R13" s="596"/>
      <c r="S13" s="596"/>
      <c r="T13" s="596"/>
      <c r="U13" s="596"/>
      <c r="V13" s="596"/>
      <c r="W13" s="596"/>
      <c r="X13" s="596"/>
      <c r="Y13" s="596"/>
      <c r="Z13" s="596"/>
      <c r="AA13" s="596"/>
      <c r="AB13" s="596"/>
    </row>
    <row r="14" spans="1:28" ht="15" customHeight="1">
      <c r="A14" s="623"/>
      <c r="B14" s="624" t="s">
        <v>367</v>
      </c>
      <c r="C14" s="625" t="s">
        <v>11</v>
      </c>
      <c r="D14" s="596"/>
      <c r="E14" s="596"/>
      <c r="F14" s="596"/>
      <c r="G14" s="596"/>
      <c r="H14" s="596"/>
      <c r="I14" s="596"/>
      <c r="J14" s="596"/>
      <c r="K14" s="596"/>
      <c r="L14" s="596"/>
      <c r="M14" s="596"/>
      <c r="N14" s="596"/>
      <c r="O14" s="596"/>
      <c r="P14" s="596"/>
      <c r="Q14" s="596"/>
      <c r="R14" s="596"/>
      <c r="S14" s="596"/>
      <c r="T14" s="596"/>
      <c r="U14" s="596"/>
      <c r="V14" s="596"/>
      <c r="W14" s="596"/>
      <c r="X14" s="596"/>
      <c r="Y14" s="596"/>
      <c r="Z14" s="596"/>
      <c r="AA14" s="596"/>
      <c r="AB14" s="596"/>
    </row>
    <row r="15" spans="1:28" ht="15" customHeight="1">
      <c r="A15" s="622" t="s">
        <v>12</v>
      </c>
      <c r="B15" s="626"/>
      <c r="C15" s="596"/>
      <c r="D15" s="596"/>
      <c r="E15" s="596"/>
      <c r="F15" s="596"/>
      <c r="G15" s="596"/>
      <c r="H15" s="596"/>
      <c r="I15" s="596"/>
      <c r="J15" s="596"/>
      <c r="K15" s="596"/>
      <c r="L15" s="596"/>
      <c r="M15" s="596"/>
      <c r="N15" s="596"/>
      <c r="O15" s="596"/>
      <c r="P15" s="596"/>
      <c r="Q15" s="596"/>
      <c r="R15" s="596"/>
      <c r="S15" s="596"/>
      <c r="T15" s="596"/>
      <c r="U15" s="596"/>
      <c r="V15" s="596"/>
      <c r="W15" s="596"/>
      <c r="X15" s="596"/>
      <c r="Y15" s="596"/>
      <c r="Z15" s="596"/>
      <c r="AA15" s="596"/>
      <c r="AB15" s="596"/>
    </row>
    <row r="16" spans="1:28" ht="15" customHeight="1">
      <c r="A16" s="623"/>
      <c r="B16" s="627"/>
      <c r="C16" s="625" t="s">
        <v>11</v>
      </c>
      <c r="D16" s="596"/>
      <c r="E16" s="596"/>
      <c r="F16" s="596"/>
      <c r="G16" s="596"/>
      <c r="H16" s="596"/>
      <c r="I16" s="596"/>
      <c r="J16" s="596"/>
      <c r="K16" s="596"/>
      <c r="L16" s="596"/>
      <c r="M16" s="596"/>
      <c r="N16" s="596"/>
      <c r="O16" s="596"/>
      <c r="P16" s="596"/>
      <c r="Q16" s="596"/>
      <c r="R16" s="596"/>
      <c r="S16" s="596"/>
      <c r="T16" s="596"/>
      <c r="U16" s="596"/>
      <c r="V16" s="596"/>
      <c r="W16" s="596"/>
      <c r="X16" s="596"/>
      <c r="Y16" s="596"/>
      <c r="Z16" s="596"/>
      <c r="AA16" s="596"/>
      <c r="AB16" s="596"/>
    </row>
    <row r="17" spans="1:28" ht="15" customHeight="1">
      <c r="A17" s="622" t="s">
        <v>13</v>
      </c>
      <c r="B17" s="626"/>
      <c r="C17" s="604"/>
      <c r="D17" s="604"/>
      <c r="E17" s="604"/>
      <c r="F17" s="604"/>
      <c r="G17" s="604"/>
      <c r="H17" s="604"/>
      <c r="I17" s="604"/>
      <c r="J17" s="604"/>
      <c r="K17" s="604"/>
      <c r="L17" s="604"/>
      <c r="M17" s="604"/>
      <c r="N17" s="604"/>
      <c r="O17" s="604"/>
      <c r="P17" s="604"/>
      <c r="Q17" s="604"/>
      <c r="R17" s="604"/>
      <c r="S17" s="596"/>
      <c r="T17" s="596"/>
      <c r="U17" s="596"/>
      <c r="V17" s="596"/>
      <c r="W17" s="596"/>
      <c r="X17" s="596"/>
      <c r="Y17" s="596"/>
      <c r="Z17" s="596"/>
      <c r="AA17" s="596"/>
      <c r="AB17" s="596"/>
    </row>
    <row r="18" spans="1:28" ht="15" customHeight="1">
      <c r="A18" s="623"/>
      <c r="B18" s="616"/>
      <c r="C18" s="610"/>
      <c r="D18" s="610"/>
      <c r="E18" s="610"/>
      <c r="F18" s="610"/>
      <c r="G18" s="610"/>
      <c r="H18" s="610"/>
      <c r="I18" s="610"/>
      <c r="J18" s="610"/>
      <c r="K18" s="610"/>
      <c r="L18" s="610"/>
      <c r="M18" s="610"/>
      <c r="N18" s="610"/>
      <c r="O18" s="610"/>
      <c r="P18" s="610"/>
      <c r="Q18" s="610"/>
      <c r="R18" s="611"/>
      <c r="S18" s="625" t="s">
        <v>15</v>
      </c>
      <c r="T18" s="596"/>
      <c r="U18" s="596"/>
      <c r="V18" s="596"/>
      <c r="W18" s="596"/>
      <c r="X18" s="596"/>
      <c r="Y18" s="596"/>
      <c r="Z18" s="596"/>
      <c r="AA18" s="596"/>
      <c r="AB18" s="596"/>
    </row>
    <row r="19" spans="1:28" ht="15" customHeight="1">
      <c r="A19" s="596"/>
      <c r="B19" s="619"/>
      <c r="C19" s="619"/>
      <c r="D19" s="619"/>
      <c r="E19" s="619"/>
      <c r="F19" s="619"/>
      <c r="G19" s="619"/>
      <c r="H19" s="619"/>
      <c r="I19" s="619"/>
      <c r="J19" s="619"/>
      <c r="K19" s="619"/>
      <c r="L19" s="619"/>
      <c r="M19" s="619"/>
      <c r="N19" s="619"/>
      <c r="O19" s="619"/>
      <c r="P19" s="619"/>
      <c r="Q19" s="619"/>
      <c r="R19" s="619"/>
      <c r="S19" s="596"/>
      <c r="T19" s="596"/>
      <c r="U19" s="596"/>
      <c r="V19" s="596"/>
      <c r="W19" s="596"/>
      <c r="X19" s="596"/>
      <c r="Y19" s="596"/>
      <c r="Z19" s="596"/>
      <c r="AA19" s="596"/>
      <c r="AB19" s="596"/>
    </row>
    <row r="20" spans="1:28" ht="15" customHeight="1">
      <c r="A20" s="620" t="s">
        <v>1017</v>
      </c>
      <c r="B20" s="596"/>
      <c r="C20" s="596"/>
      <c r="D20" s="596"/>
      <c r="E20" s="596"/>
      <c r="F20" s="596"/>
      <c r="G20" s="596"/>
      <c r="H20" s="596"/>
      <c r="I20" s="596"/>
      <c r="J20" s="596"/>
      <c r="K20" s="596"/>
      <c r="L20" s="596"/>
      <c r="M20" s="596"/>
      <c r="N20" s="596"/>
      <c r="O20" s="596"/>
      <c r="P20" s="596"/>
      <c r="Q20" s="596"/>
      <c r="R20" s="596"/>
      <c r="S20" s="596"/>
      <c r="T20" s="596"/>
      <c r="U20" s="596"/>
      <c r="V20" s="596"/>
      <c r="W20" s="596"/>
      <c r="X20" s="596"/>
      <c r="Y20" s="596"/>
      <c r="Z20" s="596"/>
      <c r="AA20" s="596"/>
      <c r="AB20" s="596"/>
    </row>
    <row r="21" spans="1:28" ht="29.25" customHeight="1" thickBot="1">
      <c r="A21" s="628" t="s">
        <v>1018</v>
      </c>
      <c r="B21" s="629"/>
      <c r="C21" s="629"/>
      <c r="D21" s="629"/>
      <c r="E21" s="629"/>
      <c r="F21" s="629"/>
      <c r="G21" s="629"/>
      <c r="H21" s="629"/>
      <c r="I21" s="629"/>
      <c r="J21" s="629"/>
      <c r="K21" s="629"/>
      <c r="L21" s="629"/>
      <c r="M21" s="630"/>
      <c r="N21" s="631"/>
      <c r="O21" s="631"/>
      <c r="P21" s="631"/>
      <c r="Q21" s="631"/>
      <c r="R21" s="631"/>
      <c r="S21" s="631"/>
      <c r="T21" s="631"/>
      <c r="U21" s="596"/>
      <c r="V21" s="596"/>
      <c r="W21" s="596"/>
      <c r="X21" s="596"/>
      <c r="Y21" s="596"/>
      <c r="Z21" s="596"/>
      <c r="AA21" s="596"/>
      <c r="AB21" s="596"/>
    </row>
    <row r="22" spans="1:28" ht="41.25" customHeight="1" thickBot="1">
      <c r="A22" s="632" t="s">
        <v>18</v>
      </c>
      <c r="B22" s="633" t="s">
        <v>1019</v>
      </c>
      <c r="C22" s="633" t="s">
        <v>1020</v>
      </c>
      <c r="D22" s="633" t="s">
        <v>21</v>
      </c>
      <c r="E22" s="633" t="s">
        <v>22</v>
      </c>
      <c r="F22" s="633" t="s">
        <v>23</v>
      </c>
      <c r="G22" s="633" t="s">
        <v>1021</v>
      </c>
      <c r="H22" s="633" t="s">
        <v>1022</v>
      </c>
      <c r="I22" s="634"/>
      <c r="J22" s="635" t="s">
        <v>27</v>
      </c>
      <c r="K22" s="636"/>
      <c r="L22" s="636"/>
      <c r="M22" s="637" t="s">
        <v>28</v>
      </c>
      <c r="N22" s="638"/>
      <c r="O22" s="638"/>
      <c r="P22" s="638"/>
      <c r="Q22" s="638"/>
      <c r="R22" s="638"/>
      <c r="S22" s="638"/>
      <c r="T22" s="639"/>
      <c r="U22" s="640"/>
      <c r="V22" s="641"/>
      <c r="W22" s="641"/>
      <c r="X22" s="641"/>
      <c r="Y22" s="641"/>
      <c r="Z22" s="641"/>
      <c r="AA22" s="641"/>
      <c r="AB22" s="641"/>
    </row>
    <row r="23" spans="1:28" ht="16.5" customHeight="1">
      <c r="A23" s="642" t="s">
        <v>29</v>
      </c>
      <c r="B23" s="643">
        <v>-1.9339850703243719</v>
      </c>
      <c r="C23" s="644" t="s">
        <v>30</v>
      </c>
      <c r="D23" s="645">
        <v>0.17592262140645501</v>
      </c>
      <c r="E23" s="646">
        <v>11</v>
      </c>
      <c r="F23" s="646">
        <v>258.5</v>
      </c>
      <c r="G23" s="647">
        <v>-0.86</v>
      </c>
      <c r="H23" s="648">
        <f t="shared" ref="H23:H86" si="0">0.5-G23-0.01*(F23-25)</f>
        <v>-0.97500000000000009</v>
      </c>
      <c r="I23" s="649" t="s">
        <v>31</v>
      </c>
      <c r="J23" s="650"/>
      <c r="K23" s="651"/>
      <c r="L23" s="652"/>
      <c r="M23" s="653" t="s">
        <v>33</v>
      </c>
      <c r="N23" s="654"/>
      <c r="O23" s="654"/>
      <c r="P23" s="654"/>
      <c r="Q23" s="654"/>
      <c r="R23" s="654"/>
      <c r="S23" s="654"/>
      <c r="T23" s="654"/>
      <c r="U23" s="596"/>
      <c r="V23" s="596"/>
      <c r="W23" s="596"/>
      <c r="X23" s="596"/>
      <c r="Y23" s="596"/>
      <c r="Z23" s="596"/>
      <c r="AA23" s="596"/>
      <c r="AB23" s="596"/>
    </row>
    <row r="24" spans="1:28" ht="16.25" customHeight="1">
      <c r="A24" s="655" t="s">
        <v>35</v>
      </c>
      <c r="B24" s="656">
        <v>-2.0417251073651128</v>
      </c>
      <c r="C24" s="657" t="s">
        <v>36</v>
      </c>
      <c r="D24" s="658">
        <v>0.14701293131372209</v>
      </c>
      <c r="E24" s="659">
        <v>16</v>
      </c>
      <c r="F24" s="659">
        <v>142.4</v>
      </c>
      <c r="G24" s="660">
        <v>1.31</v>
      </c>
      <c r="H24" s="661">
        <f t="shared" si="0"/>
        <v>-1.9840000000000002</v>
      </c>
      <c r="I24" s="662" t="s">
        <v>37</v>
      </c>
      <c r="J24" s="663"/>
      <c r="K24" s="664"/>
      <c r="L24" s="665"/>
      <c r="M24" s="666" t="s">
        <v>38</v>
      </c>
      <c r="N24" s="596"/>
      <c r="O24" s="596"/>
      <c r="P24" s="596"/>
      <c r="Q24" s="596"/>
      <c r="R24" s="596"/>
      <c r="S24" s="596"/>
      <c r="T24" s="596"/>
      <c r="U24" s="596"/>
      <c r="V24" s="596"/>
      <c r="W24" s="596"/>
      <c r="X24" s="596"/>
      <c r="Y24" s="596"/>
      <c r="Z24" s="596"/>
      <c r="AA24" s="596"/>
      <c r="AB24" s="596"/>
    </row>
    <row r="25" spans="1:28" ht="16.25" customHeight="1">
      <c r="A25" s="667" t="s">
        <v>40</v>
      </c>
      <c r="B25" s="656">
        <v>-3.3127057948042151</v>
      </c>
      <c r="C25" s="657" t="s">
        <v>41</v>
      </c>
      <c r="D25" s="658">
        <v>0.15746026945991631</v>
      </c>
      <c r="E25" s="659">
        <v>4</v>
      </c>
      <c r="F25" s="659">
        <v>92</v>
      </c>
      <c r="G25" s="660">
        <v>2.5299999999999998</v>
      </c>
      <c r="H25" s="661">
        <f t="shared" si="0"/>
        <v>-2.6999999999999997</v>
      </c>
      <c r="I25" s="662" t="s">
        <v>42</v>
      </c>
      <c r="J25" s="663"/>
      <c r="K25" s="664"/>
      <c r="L25" s="665"/>
      <c r="M25" s="666" t="s">
        <v>43</v>
      </c>
      <c r="N25" s="596"/>
      <c r="O25" s="596"/>
      <c r="P25" s="596"/>
      <c r="Q25" s="596"/>
      <c r="R25" s="596"/>
      <c r="S25" s="596"/>
      <c r="T25" s="596"/>
      <c r="U25" s="596"/>
      <c r="V25" s="596"/>
      <c r="W25" s="596"/>
      <c r="X25" s="596"/>
      <c r="Y25" s="596"/>
      <c r="Z25" s="596"/>
      <c r="AA25" s="596"/>
      <c r="AB25" s="596"/>
    </row>
    <row r="26" spans="1:28" ht="16.25" customHeight="1">
      <c r="A26" s="655" t="s">
        <v>45</v>
      </c>
      <c r="B26" s="656">
        <v>-2.2827040314950899</v>
      </c>
      <c r="C26" s="657" t="s">
        <v>46</v>
      </c>
      <c r="D26" s="658">
        <v>0.16999222507469619</v>
      </c>
      <c r="E26" s="659">
        <v>3</v>
      </c>
      <c r="F26" s="659">
        <v>234</v>
      </c>
      <c r="G26" s="660">
        <v>3.19</v>
      </c>
      <c r="H26" s="661">
        <f t="shared" si="0"/>
        <v>-4.7799999999999994</v>
      </c>
      <c r="I26" s="662" t="s">
        <v>47</v>
      </c>
      <c r="J26" s="663"/>
      <c r="K26" s="664"/>
      <c r="L26" s="665"/>
      <c r="M26" s="666" t="s">
        <v>48</v>
      </c>
      <c r="N26" s="596"/>
      <c r="O26" s="596"/>
      <c r="P26" s="596"/>
      <c r="Q26" s="596"/>
      <c r="R26" s="596"/>
      <c r="S26" s="596"/>
      <c r="T26" s="596"/>
      <c r="U26" s="596"/>
      <c r="V26" s="596"/>
      <c r="W26" s="596"/>
      <c r="X26" s="596"/>
      <c r="Y26" s="596"/>
      <c r="Z26" s="596"/>
      <c r="AA26" s="596"/>
      <c r="AB26" s="596"/>
    </row>
    <row r="27" spans="1:28" ht="16.25" customHeight="1">
      <c r="A27" s="655" t="s">
        <v>50</v>
      </c>
      <c r="B27" s="656">
        <v>-4.1960695541968018</v>
      </c>
      <c r="C27" s="657" t="s">
        <v>51</v>
      </c>
      <c r="D27" s="658">
        <v>0.21168830858587179</v>
      </c>
      <c r="E27" s="659">
        <v>3</v>
      </c>
      <c r="F27" s="659">
        <v>139.25</v>
      </c>
      <c r="G27" s="660">
        <v>4.8600000000000003</v>
      </c>
      <c r="H27" s="661">
        <f t="shared" si="0"/>
        <v>-5.5025000000000004</v>
      </c>
      <c r="I27" s="662" t="s">
        <v>52</v>
      </c>
      <c r="J27" s="663"/>
      <c r="K27" s="664"/>
      <c r="L27" s="665"/>
      <c r="M27" s="666" t="s">
        <v>53</v>
      </c>
      <c r="N27" s="596"/>
      <c r="O27" s="596"/>
      <c r="P27" s="596"/>
      <c r="Q27" s="596"/>
      <c r="R27" s="596"/>
      <c r="S27" s="596"/>
      <c r="T27" s="596"/>
      <c r="U27" s="596"/>
      <c r="V27" s="596"/>
      <c r="W27" s="596"/>
      <c r="X27" s="596"/>
      <c r="Y27" s="596"/>
      <c r="Z27" s="596"/>
      <c r="AA27" s="596"/>
      <c r="AB27" s="596"/>
    </row>
    <row r="28" spans="1:28" ht="16.25" customHeight="1">
      <c r="A28" s="667" t="s">
        <v>55</v>
      </c>
      <c r="B28" s="656">
        <v>-5.5616732152633306</v>
      </c>
      <c r="C28" s="668"/>
      <c r="D28" s="658">
        <v>0.18412396392404201</v>
      </c>
      <c r="E28" s="659">
        <v>3</v>
      </c>
      <c r="F28" s="659">
        <v>224</v>
      </c>
      <c r="G28" s="660">
        <v>5.51</v>
      </c>
      <c r="H28" s="661">
        <f t="shared" si="0"/>
        <v>-7</v>
      </c>
      <c r="I28" s="662" t="s">
        <v>56</v>
      </c>
      <c r="J28" s="663"/>
      <c r="K28" s="664"/>
      <c r="L28" s="665"/>
      <c r="M28" s="666" t="s">
        <v>57</v>
      </c>
      <c r="N28" s="596"/>
      <c r="O28" s="596"/>
      <c r="P28" s="596"/>
      <c r="Q28" s="596"/>
      <c r="R28" s="596"/>
      <c r="S28" s="596"/>
      <c r="T28" s="596"/>
      <c r="U28" s="596"/>
      <c r="V28" s="596"/>
      <c r="W28" s="596"/>
      <c r="X28" s="596"/>
      <c r="Y28" s="596"/>
      <c r="Z28" s="596"/>
      <c r="AA28" s="596"/>
      <c r="AB28" s="596"/>
    </row>
    <row r="29" spans="1:28" ht="16.25" customHeight="1">
      <c r="A29" s="667" t="s">
        <v>59</v>
      </c>
      <c r="B29" s="656">
        <v>-3.7776533213521239</v>
      </c>
      <c r="C29" s="668"/>
      <c r="D29" s="658">
        <v>0.14933733874523181</v>
      </c>
      <c r="E29" s="659">
        <v>6</v>
      </c>
      <c r="F29" s="659">
        <v>172.5</v>
      </c>
      <c r="G29" s="660">
        <v>1.78</v>
      </c>
      <c r="H29" s="661">
        <f t="shared" si="0"/>
        <v>-2.7549999999999999</v>
      </c>
      <c r="I29" s="662" t="s">
        <v>60</v>
      </c>
      <c r="J29" s="663"/>
      <c r="K29" s="669"/>
      <c r="L29" s="670"/>
      <c r="M29" s="666" t="s">
        <v>61</v>
      </c>
      <c r="N29" s="596"/>
      <c r="O29" s="596"/>
      <c r="P29" s="596"/>
      <c r="Q29" s="596"/>
      <c r="R29" s="596"/>
      <c r="S29" s="596"/>
      <c r="T29" s="596"/>
      <c r="U29" s="596"/>
      <c r="V29" s="596"/>
      <c r="W29" s="596"/>
      <c r="X29" s="596"/>
      <c r="Y29" s="596"/>
      <c r="Z29" s="596"/>
      <c r="AA29" s="596"/>
      <c r="AB29" s="596"/>
    </row>
    <row r="30" spans="1:28" ht="16.25" customHeight="1">
      <c r="A30" s="667" t="s">
        <v>63</v>
      </c>
      <c r="B30" s="656">
        <v>-1.604441108081931</v>
      </c>
      <c r="C30" s="668"/>
      <c r="D30" s="658">
        <v>0.14842266063120069</v>
      </c>
      <c r="E30" s="659">
        <v>4</v>
      </c>
      <c r="F30" s="659">
        <v>207.5</v>
      </c>
      <c r="G30" s="660">
        <v>1.86</v>
      </c>
      <c r="H30" s="661">
        <f t="shared" si="0"/>
        <v>-3.1850000000000001</v>
      </c>
      <c r="I30" s="662" t="s">
        <v>64</v>
      </c>
      <c r="J30" s="671"/>
      <c r="K30" s="672" t="s">
        <v>1023</v>
      </c>
      <c r="L30" s="673"/>
      <c r="M30" s="674" t="s">
        <v>65</v>
      </c>
      <c r="N30" s="596"/>
      <c r="O30" s="596"/>
      <c r="P30" s="596"/>
      <c r="Q30" s="596"/>
      <c r="R30" s="596"/>
      <c r="S30" s="596"/>
      <c r="T30" s="596"/>
      <c r="U30" s="596"/>
      <c r="V30" s="596"/>
      <c r="W30" s="596"/>
      <c r="X30" s="596"/>
      <c r="Y30" s="596"/>
      <c r="Z30" s="596"/>
      <c r="AA30" s="596"/>
      <c r="AB30" s="596"/>
    </row>
    <row r="31" spans="1:28" ht="16.25" customHeight="1">
      <c r="A31" s="675" t="s">
        <v>66</v>
      </c>
      <c r="B31" s="656">
        <v>-2.2468520367824292</v>
      </c>
      <c r="C31" s="668"/>
      <c r="D31" s="658">
        <v>0.1617973106900604</v>
      </c>
      <c r="E31" s="659">
        <v>10</v>
      </c>
      <c r="F31" s="659">
        <v>166.5</v>
      </c>
      <c r="G31" s="660">
        <v>0.79</v>
      </c>
      <c r="H31" s="665">
        <f t="shared" si="0"/>
        <v>-1.7050000000000001</v>
      </c>
      <c r="I31" s="626"/>
      <c r="J31" s="676"/>
      <c r="K31" s="676"/>
      <c r="L31" s="676"/>
      <c r="M31" s="666" t="s">
        <v>67</v>
      </c>
      <c r="N31" s="596"/>
      <c r="O31" s="596"/>
      <c r="P31" s="596"/>
      <c r="Q31" s="596"/>
      <c r="R31" s="596"/>
      <c r="S31" s="596"/>
      <c r="T31" s="596"/>
      <c r="U31" s="596"/>
      <c r="V31" s="596"/>
      <c r="W31" s="596"/>
      <c r="X31" s="596"/>
      <c r="Y31" s="596"/>
      <c r="Z31" s="596"/>
      <c r="AA31" s="596"/>
      <c r="AB31" s="596"/>
    </row>
    <row r="32" spans="1:28" ht="16.25" customHeight="1">
      <c r="A32" s="655" t="s">
        <v>68</v>
      </c>
      <c r="B32" s="656">
        <v>-3.8052430855249129</v>
      </c>
      <c r="C32" s="668"/>
      <c r="D32" s="658">
        <v>0.21543706061278239</v>
      </c>
      <c r="E32" s="659">
        <v>6</v>
      </c>
      <c r="F32" s="659">
        <v>231.5</v>
      </c>
      <c r="G32" s="660">
        <v>2.4300000000000002</v>
      </c>
      <c r="H32" s="661">
        <f t="shared" si="0"/>
        <v>-3.9950000000000001</v>
      </c>
      <c r="I32" s="677" t="s">
        <v>69</v>
      </c>
      <c r="J32" s="676"/>
      <c r="K32" s="676"/>
      <c r="L32" s="678"/>
      <c r="M32" s="674" t="s">
        <v>70</v>
      </c>
      <c r="N32" s="596"/>
      <c r="O32" s="596"/>
      <c r="P32" s="596"/>
      <c r="Q32" s="596"/>
      <c r="R32" s="596"/>
      <c r="S32" s="596"/>
      <c r="T32" s="596"/>
      <c r="U32" s="596"/>
      <c r="V32" s="596"/>
      <c r="W32" s="596"/>
      <c r="X32" s="596"/>
      <c r="Y32" s="596"/>
      <c r="Z32" s="596"/>
      <c r="AA32" s="596"/>
      <c r="AB32" s="596"/>
    </row>
    <row r="33" spans="1:28" ht="16.25" customHeight="1">
      <c r="A33" s="655" t="s">
        <v>71</v>
      </c>
      <c r="B33" s="656">
        <v>-3.537935630093104</v>
      </c>
      <c r="C33" s="668"/>
      <c r="D33" s="658">
        <v>0.129125206050696</v>
      </c>
      <c r="E33" s="659">
        <v>3</v>
      </c>
      <c r="F33" s="679">
        <v>192.7</v>
      </c>
      <c r="G33" s="660">
        <v>2.63</v>
      </c>
      <c r="H33" s="661">
        <f t="shared" si="0"/>
        <v>-3.8069999999999995</v>
      </c>
      <c r="I33" s="680" t="s">
        <v>1024</v>
      </c>
      <c r="J33" s="681"/>
      <c r="K33" s="681"/>
      <c r="L33" s="682"/>
      <c r="M33" s="674" t="s">
        <v>72</v>
      </c>
      <c r="N33" s="596"/>
      <c r="O33" s="596"/>
      <c r="P33" s="596"/>
      <c r="Q33" s="596"/>
      <c r="R33" s="596"/>
      <c r="S33" s="596"/>
      <c r="T33" s="596"/>
      <c r="U33" s="596"/>
      <c r="V33" s="596"/>
      <c r="W33" s="596"/>
      <c r="X33" s="596"/>
      <c r="Y33" s="596"/>
      <c r="Z33" s="596"/>
      <c r="AA33" s="596"/>
      <c r="AB33" s="596"/>
    </row>
    <row r="34" spans="1:28" ht="16.25" customHeight="1">
      <c r="A34" s="667" t="s">
        <v>74</v>
      </c>
      <c r="B34" s="656">
        <v>-6.2137253553778464</v>
      </c>
      <c r="C34" s="668"/>
      <c r="D34" s="658">
        <v>0.1491146209831089</v>
      </c>
      <c r="E34" s="659">
        <v>6</v>
      </c>
      <c r="F34" s="659">
        <v>167</v>
      </c>
      <c r="G34" s="660">
        <v>6.32</v>
      </c>
      <c r="H34" s="661">
        <f t="shared" si="0"/>
        <v>-7.24</v>
      </c>
      <c r="I34" s="683" t="s">
        <v>1025</v>
      </c>
      <c r="J34" s="684"/>
      <c r="K34" s="684"/>
      <c r="L34" s="685"/>
      <c r="M34" s="674" t="s">
        <v>75</v>
      </c>
      <c r="N34" s="596"/>
      <c r="O34" s="596"/>
      <c r="P34" s="596"/>
      <c r="Q34" s="596"/>
      <c r="R34" s="596"/>
      <c r="S34" s="596"/>
      <c r="T34" s="596"/>
      <c r="U34" s="596"/>
      <c r="V34" s="596"/>
      <c r="W34" s="596"/>
      <c r="X34" s="596"/>
      <c r="Y34" s="596"/>
      <c r="Z34" s="596"/>
      <c r="AA34" s="596"/>
      <c r="AB34" s="596"/>
    </row>
    <row r="35" spans="1:28" ht="16.25" customHeight="1">
      <c r="A35" s="655" t="s">
        <v>77</v>
      </c>
      <c r="B35" s="656">
        <v>-3.944987058491241</v>
      </c>
      <c r="C35" s="668"/>
      <c r="D35" s="658">
        <v>0.15809078703524679</v>
      </c>
      <c r="E35" s="659">
        <v>15</v>
      </c>
      <c r="F35" s="659">
        <v>191.5</v>
      </c>
      <c r="G35" s="660">
        <v>3.39</v>
      </c>
      <c r="H35" s="661">
        <f t="shared" si="0"/>
        <v>-4.5549999999999997</v>
      </c>
      <c r="I35" s="686" t="s">
        <v>1026</v>
      </c>
      <c r="J35" s="684"/>
      <c r="K35" s="684"/>
      <c r="L35" s="685"/>
      <c r="M35" s="674" t="s">
        <v>78</v>
      </c>
      <c r="N35" s="596"/>
      <c r="O35" s="596"/>
      <c r="P35" s="596"/>
      <c r="Q35" s="596"/>
      <c r="R35" s="596"/>
      <c r="S35" s="596"/>
      <c r="T35" s="596"/>
      <c r="U35" s="596"/>
      <c r="V35" s="596"/>
      <c r="W35" s="596"/>
      <c r="X35" s="596"/>
      <c r="Y35" s="596"/>
      <c r="Z35" s="596"/>
      <c r="AA35" s="596"/>
      <c r="AB35" s="596"/>
    </row>
    <row r="36" spans="1:28" ht="16.25" customHeight="1">
      <c r="A36" s="675" t="s">
        <v>80</v>
      </c>
      <c r="B36" s="656">
        <v>-4.3707903818140821</v>
      </c>
      <c r="C36" s="668"/>
      <c r="D36" s="658">
        <v>0.1911503089068218</v>
      </c>
      <c r="E36" s="659">
        <v>3</v>
      </c>
      <c r="F36" s="659">
        <v>246.2</v>
      </c>
      <c r="G36" s="660">
        <v>3.32</v>
      </c>
      <c r="H36" s="661">
        <f t="shared" si="0"/>
        <v>-5.032</v>
      </c>
      <c r="I36" s="687"/>
      <c r="J36" s="684"/>
      <c r="K36" s="684"/>
      <c r="L36" s="685"/>
      <c r="M36" s="674" t="s">
        <v>81</v>
      </c>
      <c r="N36" s="596"/>
      <c r="O36" s="596"/>
      <c r="P36" s="596"/>
      <c r="Q36" s="596"/>
      <c r="R36" s="596"/>
      <c r="S36" s="596"/>
      <c r="T36" s="596"/>
      <c r="U36" s="596"/>
      <c r="V36" s="596"/>
      <c r="W36" s="596"/>
      <c r="X36" s="596"/>
      <c r="Y36" s="596"/>
      <c r="Z36" s="596"/>
      <c r="AA36" s="596"/>
      <c r="AB36" s="596"/>
    </row>
    <row r="37" spans="1:28" ht="16.25" customHeight="1">
      <c r="A37" s="675" t="s">
        <v>73</v>
      </c>
      <c r="B37" s="656">
        <v>-3.0038485820914098</v>
      </c>
      <c r="C37" s="668"/>
      <c r="D37" s="658">
        <v>0.19050575600734271</v>
      </c>
      <c r="E37" s="659">
        <v>4</v>
      </c>
      <c r="F37" s="659">
        <v>304</v>
      </c>
      <c r="G37" s="660">
        <v>1.74</v>
      </c>
      <c r="H37" s="661">
        <f t="shared" si="0"/>
        <v>-4.03</v>
      </c>
      <c r="I37" s="687"/>
      <c r="J37" s="684"/>
      <c r="K37" s="684"/>
      <c r="L37" s="685"/>
      <c r="M37" s="674" t="s">
        <v>83</v>
      </c>
      <c r="N37" s="596"/>
      <c r="O37" s="596"/>
      <c r="P37" s="596"/>
      <c r="Q37" s="596"/>
      <c r="R37" s="596"/>
      <c r="S37" s="596"/>
      <c r="T37" s="596"/>
      <c r="U37" s="596"/>
      <c r="V37" s="596"/>
      <c r="W37" s="596"/>
      <c r="X37" s="596"/>
      <c r="Y37" s="596"/>
      <c r="Z37" s="596"/>
      <c r="AA37" s="596"/>
      <c r="AB37" s="596"/>
    </row>
    <row r="38" spans="1:28" ht="16.25" customHeight="1">
      <c r="A38" s="667" t="s">
        <v>76</v>
      </c>
      <c r="B38" s="656">
        <v>-1.885368382787445</v>
      </c>
      <c r="C38" s="668"/>
      <c r="D38" s="658">
        <v>0.1368239352749806</v>
      </c>
      <c r="E38" s="659">
        <v>7</v>
      </c>
      <c r="F38" s="659">
        <v>187</v>
      </c>
      <c r="G38" s="660">
        <v>-0.87</v>
      </c>
      <c r="H38" s="661">
        <f t="shared" si="0"/>
        <v>-0.25</v>
      </c>
      <c r="I38" s="687"/>
      <c r="J38" s="684"/>
      <c r="K38" s="684"/>
      <c r="L38" s="685"/>
      <c r="M38" s="674" t="s">
        <v>85</v>
      </c>
      <c r="N38" s="596"/>
      <c r="O38" s="596"/>
      <c r="P38" s="596"/>
      <c r="Q38" s="596"/>
      <c r="R38" s="596"/>
      <c r="S38" s="596"/>
      <c r="T38" s="596"/>
      <c r="U38" s="596"/>
      <c r="V38" s="596"/>
      <c r="W38" s="596"/>
      <c r="X38" s="596"/>
      <c r="Y38" s="596"/>
      <c r="Z38" s="596"/>
      <c r="AA38" s="596"/>
      <c r="AB38" s="596"/>
    </row>
    <row r="39" spans="1:28" ht="16.25" customHeight="1">
      <c r="A39" s="667" t="s">
        <v>87</v>
      </c>
      <c r="B39" s="656">
        <v>-1.975823591601291</v>
      </c>
      <c r="C39" s="668"/>
      <c r="D39" s="658">
        <v>0.20462356367492029</v>
      </c>
      <c r="E39" s="659">
        <v>4</v>
      </c>
      <c r="F39" s="659">
        <v>221.5</v>
      </c>
      <c r="G39" s="660">
        <v>0.71</v>
      </c>
      <c r="H39" s="661">
        <f t="shared" si="0"/>
        <v>-2.1749999999999998</v>
      </c>
      <c r="I39" s="687"/>
      <c r="J39" s="684"/>
      <c r="K39" s="684"/>
      <c r="L39" s="685"/>
      <c r="M39" s="674" t="s">
        <v>88</v>
      </c>
      <c r="N39" s="596"/>
      <c r="O39" s="596"/>
      <c r="P39" s="596"/>
      <c r="Q39" s="596"/>
      <c r="R39" s="596"/>
      <c r="S39" s="596"/>
      <c r="T39" s="596"/>
      <c r="U39" s="596"/>
      <c r="V39" s="596"/>
      <c r="W39" s="596"/>
      <c r="X39" s="596"/>
      <c r="Y39" s="596"/>
      <c r="Z39" s="596"/>
      <c r="AA39" s="596"/>
      <c r="AB39" s="596"/>
    </row>
    <row r="40" spans="1:28" ht="16.25" customHeight="1">
      <c r="A40" s="667" t="s">
        <v>90</v>
      </c>
      <c r="B40" s="656">
        <v>-4.0560214057125039</v>
      </c>
      <c r="C40" s="668"/>
      <c r="D40" s="658">
        <v>0.1827460256446555</v>
      </c>
      <c r="E40" s="659">
        <v>6</v>
      </c>
      <c r="F40" s="659">
        <v>157.83333333333329</v>
      </c>
      <c r="G40" s="660">
        <v>3.51</v>
      </c>
      <c r="H40" s="661">
        <f t="shared" si="0"/>
        <v>-4.3383333333333329</v>
      </c>
      <c r="I40" s="687"/>
      <c r="J40" s="688"/>
      <c r="K40" s="688"/>
      <c r="L40" s="689"/>
      <c r="M40" s="674" t="s">
        <v>91</v>
      </c>
      <c r="N40" s="596"/>
      <c r="O40" s="596"/>
      <c r="P40" s="596"/>
      <c r="Q40" s="596"/>
      <c r="R40" s="596"/>
      <c r="S40" s="596"/>
      <c r="T40" s="596"/>
      <c r="U40" s="596"/>
      <c r="V40" s="596"/>
      <c r="W40" s="596"/>
      <c r="X40" s="596"/>
      <c r="Y40" s="596"/>
      <c r="Z40" s="596"/>
      <c r="AA40" s="596"/>
      <c r="AB40" s="596"/>
    </row>
    <row r="41" spans="1:28" ht="16.25" customHeight="1">
      <c r="A41" s="655" t="s">
        <v>93</v>
      </c>
      <c r="B41" s="656">
        <v>-1.7097545918710699</v>
      </c>
      <c r="C41" s="668"/>
      <c r="D41" s="658">
        <v>0.12610247911779729</v>
      </c>
      <c r="E41" s="659">
        <v>8</v>
      </c>
      <c r="F41" s="659">
        <v>140</v>
      </c>
      <c r="G41" s="660">
        <v>0.35</v>
      </c>
      <c r="H41" s="661">
        <f t="shared" si="0"/>
        <v>-1</v>
      </c>
      <c r="I41" s="687"/>
      <c r="J41" s="688"/>
      <c r="K41" s="688"/>
      <c r="L41" s="689"/>
      <c r="M41" s="674" t="s">
        <v>94</v>
      </c>
      <c r="N41" s="596"/>
      <c r="O41" s="596"/>
      <c r="P41" s="596"/>
      <c r="Q41" s="596"/>
      <c r="R41" s="596"/>
      <c r="S41" s="596"/>
      <c r="T41" s="596"/>
      <c r="U41" s="596"/>
      <c r="V41" s="596"/>
      <c r="W41" s="596"/>
      <c r="X41" s="596"/>
      <c r="Y41" s="596"/>
      <c r="Z41" s="596"/>
      <c r="AA41" s="596"/>
      <c r="AB41" s="596"/>
    </row>
    <row r="42" spans="1:28" ht="16.25" customHeight="1">
      <c r="A42" s="655" t="s">
        <v>96</v>
      </c>
      <c r="B42" s="656">
        <v>-3.1847735054085469</v>
      </c>
      <c r="C42" s="668"/>
      <c r="D42" s="658">
        <v>0.14493441954543959</v>
      </c>
      <c r="E42" s="659">
        <v>7</v>
      </c>
      <c r="F42" s="659">
        <v>127.93333333333329</v>
      </c>
      <c r="G42" s="660">
        <v>1.74</v>
      </c>
      <c r="H42" s="661">
        <f t="shared" si="0"/>
        <v>-2.269333333333333</v>
      </c>
      <c r="I42" s="687"/>
      <c r="J42" s="688"/>
      <c r="K42" s="688"/>
      <c r="L42" s="689"/>
      <c r="M42" s="674" t="s">
        <v>97</v>
      </c>
      <c r="N42" s="596"/>
      <c r="O42" s="596"/>
      <c r="P42" s="596"/>
      <c r="Q42" s="596"/>
      <c r="R42" s="596"/>
      <c r="S42" s="596"/>
      <c r="T42" s="596"/>
      <c r="U42" s="596"/>
      <c r="V42" s="596"/>
      <c r="W42" s="596"/>
      <c r="X42" s="596"/>
      <c r="Y42" s="596"/>
      <c r="Z42" s="596"/>
      <c r="AA42" s="596"/>
      <c r="AB42" s="596"/>
    </row>
    <row r="43" spans="1:28" ht="16.25" customHeight="1">
      <c r="A43" s="655" t="s">
        <v>79</v>
      </c>
      <c r="B43" s="656">
        <v>-5.0130407512589583</v>
      </c>
      <c r="C43" s="668"/>
      <c r="D43" s="658">
        <v>0.14861388626870761</v>
      </c>
      <c r="E43" s="659">
        <v>7</v>
      </c>
      <c r="F43" s="659">
        <v>176</v>
      </c>
      <c r="G43" s="660">
        <v>4.4800000000000004</v>
      </c>
      <c r="H43" s="661">
        <f t="shared" si="0"/>
        <v>-5.49</v>
      </c>
      <c r="I43" s="687"/>
      <c r="J43" s="688"/>
      <c r="K43" s="688"/>
      <c r="L43" s="689"/>
      <c r="M43" s="674" t="s">
        <v>99</v>
      </c>
      <c r="N43" s="596"/>
      <c r="O43" s="596"/>
      <c r="P43" s="596"/>
      <c r="Q43" s="596"/>
      <c r="R43" s="596"/>
      <c r="S43" s="596"/>
      <c r="T43" s="596"/>
      <c r="U43" s="596"/>
      <c r="V43" s="596"/>
      <c r="W43" s="596"/>
      <c r="X43" s="596"/>
      <c r="Y43" s="596"/>
      <c r="Z43" s="596"/>
      <c r="AA43" s="596"/>
      <c r="AB43" s="596"/>
    </row>
    <row r="44" spans="1:28" ht="16.25" customHeight="1">
      <c r="A44" s="667" t="s">
        <v>101</v>
      </c>
      <c r="B44" s="656">
        <v>-4.2082530743750599</v>
      </c>
      <c r="C44" s="668"/>
      <c r="D44" s="658">
        <v>0.1280711495400205</v>
      </c>
      <c r="E44" s="659">
        <v>3</v>
      </c>
      <c r="F44" s="659">
        <v>159.69999999999999</v>
      </c>
      <c r="G44" s="660">
        <v>3.46</v>
      </c>
      <c r="H44" s="661">
        <f t="shared" si="0"/>
        <v>-4.3070000000000004</v>
      </c>
      <c r="I44" s="687"/>
      <c r="J44" s="688"/>
      <c r="K44" s="688"/>
      <c r="L44" s="689"/>
      <c r="M44" s="674" t="s">
        <v>102</v>
      </c>
      <c r="N44" s="596"/>
      <c r="O44" s="596"/>
      <c r="P44" s="596"/>
      <c r="Q44" s="596"/>
      <c r="R44" s="596"/>
      <c r="S44" s="596"/>
      <c r="T44" s="596"/>
      <c r="U44" s="596"/>
      <c r="V44" s="596"/>
      <c r="W44" s="596"/>
      <c r="X44" s="596"/>
      <c r="Y44" s="596"/>
      <c r="Z44" s="596"/>
      <c r="AA44" s="596"/>
      <c r="AB44" s="596"/>
    </row>
    <row r="45" spans="1:28" ht="16.25" customHeight="1">
      <c r="A45" s="655" t="s">
        <v>104</v>
      </c>
      <c r="B45" s="656">
        <v>-2.165054028818405</v>
      </c>
      <c r="C45" s="668"/>
      <c r="D45" s="658">
        <v>0.21683500301481051</v>
      </c>
      <c r="E45" s="659">
        <v>8</v>
      </c>
      <c r="F45" s="659">
        <v>142</v>
      </c>
      <c r="G45" s="660">
        <v>0.6</v>
      </c>
      <c r="H45" s="661">
        <f t="shared" si="0"/>
        <v>-1.27</v>
      </c>
      <c r="I45" s="687"/>
      <c r="J45" s="688"/>
      <c r="K45" s="688"/>
      <c r="L45" s="689"/>
      <c r="M45" s="674" t="s">
        <v>105</v>
      </c>
      <c r="N45" s="596"/>
      <c r="O45" s="596"/>
      <c r="P45" s="596"/>
      <c r="Q45" s="596"/>
      <c r="R45" s="596"/>
      <c r="S45" s="596"/>
      <c r="T45" s="596"/>
      <c r="U45" s="596"/>
      <c r="V45" s="596"/>
      <c r="W45" s="596"/>
      <c r="X45" s="596"/>
      <c r="Y45" s="596"/>
      <c r="Z45" s="596"/>
      <c r="AA45" s="596"/>
      <c r="AB45" s="596"/>
    </row>
    <row r="46" spans="1:28" ht="16.25" customHeight="1">
      <c r="A46" s="655" t="s">
        <v>107</v>
      </c>
      <c r="B46" s="656">
        <v>-3.6709399628324562</v>
      </c>
      <c r="C46" s="668"/>
      <c r="D46" s="658">
        <v>0.18255878892749891</v>
      </c>
      <c r="E46" s="659">
        <v>20</v>
      </c>
      <c r="F46" s="659">
        <v>267</v>
      </c>
      <c r="G46" s="660">
        <v>1.58</v>
      </c>
      <c r="H46" s="661">
        <f t="shared" si="0"/>
        <v>-3.5</v>
      </c>
      <c r="I46" s="687"/>
      <c r="J46" s="688"/>
      <c r="K46" s="688"/>
      <c r="L46" s="689"/>
      <c r="M46" s="674" t="s">
        <v>108</v>
      </c>
      <c r="N46" s="596"/>
      <c r="O46" s="596"/>
      <c r="P46" s="596"/>
      <c r="Q46" s="596"/>
      <c r="R46" s="596"/>
      <c r="S46" s="596"/>
      <c r="T46" s="596"/>
      <c r="U46" s="596"/>
      <c r="V46" s="596"/>
      <c r="W46" s="596"/>
      <c r="X46" s="596"/>
      <c r="Y46" s="596"/>
      <c r="Z46" s="596"/>
      <c r="AA46" s="596"/>
      <c r="AB46" s="596"/>
    </row>
    <row r="47" spans="1:28" ht="16.25" customHeight="1">
      <c r="A47" s="667" t="s">
        <v>110</v>
      </c>
      <c r="B47" s="656">
        <v>-3.486308954635903</v>
      </c>
      <c r="C47" s="668"/>
      <c r="D47" s="658">
        <v>0.16704647063532599</v>
      </c>
      <c r="E47" s="659">
        <v>6</v>
      </c>
      <c r="F47" s="659">
        <v>110</v>
      </c>
      <c r="G47" s="660">
        <v>3.36</v>
      </c>
      <c r="H47" s="661">
        <f t="shared" si="0"/>
        <v>-3.71</v>
      </c>
      <c r="I47" s="687"/>
      <c r="J47" s="688"/>
      <c r="K47" s="688"/>
      <c r="L47" s="689"/>
      <c r="M47" s="674" t="s">
        <v>111</v>
      </c>
      <c r="N47" s="596"/>
      <c r="O47" s="596"/>
      <c r="P47" s="596"/>
      <c r="Q47" s="596"/>
      <c r="R47" s="596"/>
      <c r="S47" s="596"/>
      <c r="T47" s="596"/>
      <c r="U47" s="596"/>
      <c r="V47" s="596"/>
      <c r="W47" s="596"/>
      <c r="X47" s="596"/>
      <c r="Y47" s="596"/>
      <c r="Z47" s="596"/>
      <c r="AA47" s="596"/>
      <c r="AB47" s="596"/>
    </row>
    <row r="48" spans="1:28" ht="16.25" customHeight="1">
      <c r="A48" s="655" t="s">
        <v>82</v>
      </c>
      <c r="B48" s="656">
        <v>-3.419232043449322</v>
      </c>
      <c r="C48" s="668"/>
      <c r="D48" s="658">
        <v>0.1716450131235995</v>
      </c>
      <c r="E48" s="659">
        <v>7</v>
      </c>
      <c r="F48" s="659">
        <v>182</v>
      </c>
      <c r="G48" s="660">
        <v>2.67</v>
      </c>
      <c r="H48" s="661">
        <f t="shared" si="0"/>
        <v>-3.74</v>
      </c>
      <c r="I48" s="687"/>
      <c r="J48" s="688"/>
      <c r="K48" s="688"/>
      <c r="L48" s="689"/>
      <c r="M48" s="674" t="s">
        <v>113</v>
      </c>
      <c r="N48" s="596"/>
      <c r="O48" s="596"/>
      <c r="P48" s="596"/>
      <c r="Q48" s="596"/>
      <c r="R48" s="596"/>
      <c r="S48" s="596"/>
      <c r="T48" s="596"/>
      <c r="U48" s="596"/>
      <c r="V48" s="596"/>
      <c r="W48" s="596"/>
      <c r="X48" s="596"/>
      <c r="Y48" s="596"/>
      <c r="Z48" s="596"/>
      <c r="AA48" s="596"/>
      <c r="AB48" s="596"/>
    </row>
    <row r="49" spans="1:28" ht="16.25" customHeight="1">
      <c r="A49" s="655" t="s">
        <v>115</v>
      </c>
      <c r="B49" s="656">
        <v>-4.2414818665718697</v>
      </c>
      <c r="C49" s="668"/>
      <c r="D49" s="658">
        <v>0.12558353028546049</v>
      </c>
      <c r="E49" s="659">
        <v>4</v>
      </c>
      <c r="F49" s="659">
        <v>222</v>
      </c>
      <c r="G49" s="660">
        <v>2.56</v>
      </c>
      <c r="H49" s="661">
        <f t="shared" si="0"/>
        <v>-4.03</v>
      </c>
      <c r="I49" s="687"/>
      <c r="J49" s="688"/>
      <c r="K49" s="688"/>
      <c r="L49" s="689"/>
      <c r="M49" s="674" t="s">
        <v>116</v>
      </c>
      <c r="N49" s="596"/>
      <c r="O49" s="596"/>
      <c r="P49" s="596"/>
      <c r="Q49" s="596"/>
      <c r="R49" s="596"/>
      <c r="S49" s="596"/>
      <c r="T49" s="596"/>
      <c r="U49" s="596"/>
      <c r="V49" s="596"/>
      <c r="W49" s="596"/>
      <c r="X49" s="596"/>
      <c r="Y49" s="596"/>
      <c r="Z49" s="596"/>
      <c r="AA49" s="596"/>
      <c r="AB49" s="596"/>
    </row>
    <row r="50" spans="1:28" ht="16.25" customHeight="1">
      <c r="A50" s="655" t="s">
        <v>118</v>
      </c>
      <c r="B50" s="656">
        <v>-2.3958429246831021</v>
      </c>
      <c r="C50" s="668"/>
      <c r="D50" s="658">
        <v>0.1568133990664792</v>
      </c>
      <c r="E50" s="659">
        <v>6</v>
      </c>
      <c r="F50" s="659">
        <v>151</v>
      </c>
      <c r="G50" s="660">
        <v>3.27</v>
      </c>
      <c r="H50" s="661">
        <f t="shared" si="0"/>
        <v>-4.03</v>
      </c>
      <c r="I50" s="687"/>
      <c r="J50" s="688"/>
      <c r="K50" s="688"/>
      <c r="L50" s="689"/>
      <c r="M50" s="674" t="s">
        <v>119</v>
      </c>
      <c r="N50" s="596"/>
      <c r="O50" s="596"/>
      <c r="P50" s="596"/>
      <c r="Q50" s="596"/>
      <c r="R50" s="596"/>
      <c r="S50" s="596"/>
      <c r="T50" s="596"/>
      <c r="U50" s="596"/>
      <c r="V50" s="596"/>
      <c r="W50" s="596"/>
      <c r="X50" s="596"/>
      <c r="Y50" s="596"/>
      <c r="Z50" s="596"/>
      <c r="AA50" s="596"/>
      <c r="AB50" s="596"/>
    </row>
    <row r="51" spans="1:28" ht="16.25" customHeight="1">
      <c r="A51" s="667" t="s">
        <v>84</v>
      </c>
      <c r="B51" s="656">
        <v>-3.6061041906869651</v>
      </c>
      <c r="C51" s="668"/>
      <c r="D51" s="658">
        <v>0.12789394574374291</v>
      </c>
      <c r="E51" s="659">
        <v>5</v>
      </c>
      <c r="F51" s="659">
        <v>330</v>
      </c>
      <c r="G51" s="660">
        <v>2.87</v>
      </c>
      <c r="H51" s="661">
        <f t="shared" si="0"/>
        <v>-5.42</v>
      </c>
      <c r="I51" s="687"/>
      <c r="J51" s="688"/>
      <c r="K51" s="688"/>
      <c r="L51" s="689"/>
      <c r="M51" s="674" t="s">
        <v>120</v>
      </c>
      <c r="N51" s="596"/>
      <c r="O51" s="596"/>
      <c r="P51" s="596"/>
      <c r="Q51" s="596"/>
      <c r="R51" s="596"/>
      <c r="S51" s="596"/>
      <c r="T51" s="596"/>
      <c r="U51" s="596"/>
      <c r="V51" s="596"/>
      <c r="W51" s="596"/>
      <c r="X51" s="596"/>
      <c r="Y51" s="596"/>
      <c r="Z51" s="596"/>
      <c r="AA51" s="596"/>
      <c r="AB51" s="596"/>
    </row>
    <row r="52" spans="1:28" ht="16.25" customHeight="1">
      <c r="A52" s="655" t="s">
        <v>121</v>
      </c>
      <c r="B52" s="656">
        <v>-3.5848358416099848</v>
      </c>
      <c r="C52" s="668"/>
      <c r="D52" s="658">
        <v>0.18012800124370359</v>
      </c>
      <c r="E52" s="659">
        <v>3</v>
      </c>
      <c r="F52" s="659">
        <v>100</v>
      </c>
      <c r="G52" s="660">
        <v>3.53</v>
      </c>
      <c r="H52" s="661">
        <f t="shared" si="0"/>
        <v>-3.78</v>
      </c>
      <c r="I52" s="690"/>
      <c r="J52" s="684"/>
      <c r="K52" s="684"/>
      <c r="L52" s="685"/>
      <c r="M52" s="674" t="s">
        <v>122</v>
      </c>
      <c r="N52" s="596"/>
      <c r="O52" s="596"/>
      <c r="P52" s="596"/>
      <c r="Q52" s="596"/>
      <c r="R52" s="596"/>
      <c r="S52" s="596"/>
      <c r="T52" s="596"/>
      <c r="U52" s="596"/>
      <c r="V52" s="596"/>
      <c r="W52" s="596"/>
      <c r="X52" s="596"/>
      <c r="Y52" s="596"/>
      <c r="Z52" s="596"/>
      <c r="AA52" s="596"/>
      <c r="AB52" s="596"/>
    </row>
    <row r="53" spans="1:28" ht="16.25" customHeight="1">
      <c r="A53" s="667" t="s">
        <v>123</v>
      </c>
      <c r="B53" s="656">
        <v>-4.1069859294771129</v>
      </c>
      <c r="C53" s="668"/>
      <c r="D53" s="658">
        <v>0.1806210475072168</v>
      </c>
      <c r="E53" s="659">
        <v>16</v>
      </c>
      <c r="F53" s="659">
        <v>262.5</v>
      </c>
      <c r="G53" s="660">
        <v>1.9</v>
      </c>
      <c r="H53" s="661">
        <f t="shared" si="0"/>
        <v>-3.7749999999999999</v>
      </c>
      <c r="I53" s="690"/>
      <c r="J53" s="684"/>
      <c r="K53" s="684"/>
      <c r="L53" s="685"/>
      <c r="M53" s="674" t="s">
        <v>124</v>
      </c>
      <c r="N53" s="596"/>
      <c r="O53" s="596"/>
      <c r="P53" s="596"/>
      <c r="Q53" s="596"/>
      <c r="R53" s="596"/>
      <c r="S53" s="596"/>
      <c r="T53" s="596"/>
      <c r="U53" s="596"/>
      <c r="V53" s="596"/>
      <c r="W53" s="596"/>
      <c r="X53" s="596"/>
      <c r="Y53" s="596"/>
      <c r="Z53" s="596"/>
      <c r="AA53" s="596"/>
      <c r="AB53" s="596"/>
    </row>
    <row r="54" spans="1:28" ht="16.25" customHeight="1">
      <c r="A54" s="655" t="s">
        <v>125</v>
      </c>
      <c r="B54" s="656">
        <v>-3.2844736400779881</v>
      </c>
      <c r="C54" s="668"/>
      <c r="D54" s="658">
        <v>0.2215624426866003</v>
      </c>
      <c r="E54" s="659">
        <v>4</v>
      </c>
      <c r="F54" s="659">
        <v>328.85</v>
      </c>
      <c r="G54" s="660">
        <v>1.87</v>
      </c>
      <c r="H54" s="661">
        <f t="shared" si="0"/>
        <v>-4.4085000000000001</v>
      </c>
      <c r="I54" s="690"/>
      <c r="J54" s="684"/>
      <c r="K54" s="684"/>
      <c r="L54" s="685"/>
      <c r="M54" s="674" t="s">
        <v>126</v>
      </c>
      <c r="N54" s="596"/>
      <c r="O54" s="596"/>
      <c r="P54" s="596"/>
      <c r="Q54" s="596"/>
      <c r="R54" s="596"/>
      <c r="S54" s="596"/>
      <c r="T54" s="596"/>
      <c r="U54" s="596"/>
      <c r="V54" s="596"/>
      <c r="W54" s="596"/>
      <c r="X54" s="596"/>
      <c r="Y54" s="596"/>
      <c r="Z54" s="596"/>
      <c r="AA54" s="596"/>
      <c r="AB54" s="596"/>
    </row>
    <row r="55" spans="1:28" ht="16.25" customHeight="1">
      <c r="A55" s="655" t="s">
        <v>127</v>
      </c>
      <c r="B55" s="656">
        <v>-4.2028146123604113</v>
      </c>
      <c r="C55" s="668"/>
      <c r="D55" s="658">
        <v>0.1845081178071338</v>
      </c>
      <c r="E55" s="659">
        <v>33</v>
      </c>
      <c r="F55" s="659">
        <v>167.5</v>
      </c>
      <c r="G55" s="660">
        <v>4.3600000000000003</v>
      </c>
      <c r="H55" s="661">
        <f t="shared" si="0"/>
        <v>-5.2850000000000001</v>
      </c>
      <c r="I55" s="690"/>
      <c r="J55" s="684"/>
      <c r="K55" s="684"/>
      <c r="L55" s="685"/>
      <c r="M55" s="674" t="s">
        <v>128</v>
      </c>
      <c r="N55" s="596"/>
      <c r="O55" s="596"/>
      <c r="P55" s="596"/>
      <c r="Q55" s="596"/>
      <c r="R55" s="596"/>
      <c r="S55" s="596"/>
      <c r="T55" s="596"/>
      <c r="U55" s="596"/>
      <c r="V55" s="596"/>
      <c r="W55" s="596"/>
      <c r="X55" s="596"/>
      <c r="Y55" s="596"/>
      <c r="Z55" s="596"/>
      <c r="AA55" s="596"/>
      <c r="AB55" s="596"/>
    </row>
    <row r="56" spans="1:28" ht="16.25" customHeight="1">
      <c r="A56" s="655" t="s">
        <v>86</v>
      </c>
      <c r="B56" s="656">
        <v>-4.6045470804117139</v>
      </c>
      <c r="C56" s="668"/>
      <c r="D56" s="658">
        <v>0.15609203233531491</v>
      </c>
      <c r="E56" s="659">
        <v>3</v>
      </c>
      <c r="F56" s="659">
        <v>223</v>
      </c>
      <c r="G56" s="660">
        <v>2.99</v>
      </c>
      <c r="H56" s="661">
        <f t="shared" si="0"/>
        <v>-4.4700000000000006</v>
      </c>
      <c r="I56" s="690"/>
      <c r="J56" s="684"/>
      <c r="K56" s="684"/>
      <c r="L56" s="685"/>
      <c r="M56" s="674" t="s">
        <v>129</v>
      </c>
      <c r="N56" s="596"/>
      <c r="O56" s="596"/>
      <c r="P56" s="596"/>
      <c r="Q56" s="596"/>
      <c r="R56" s="596"/>
      <c r="S56" s="596"/>
      <c r="T56" s="596"/>
      <c r="U56" s="596"/>
      <c r="V56" s="596"/>
      <c r="W56" s="596"/>
      <c r="X56" s="596"/>
      <c r="Y56" s="596"/>
      <c r="Z56" s="596"/>
      <c r="AA56" s="596"/>
      <c r="AB56" s="596"/>
    </row>
    <row r="57" spans="1:28" ht="16.25" customHeight="1">
      <c r="A57" s="655" t="s">
        <v>89</v>
      </c>
      <c r="B57" s="656">
        <v>-3.2074308681807731</v>
      </c>
      <c r="C57" s="668"/>
      <c r="D57" s="658">
        <v>0.20872343532408039</v>
      </c>
      <c r="E57" s="659">
        <v>3</v>
      </c>
      <c r="F57" s="659">
        <v>210.5</v>
      </c>
      <c r="G57" s="660">
        <v>2.72</v>
      </c>
      <c r="H57" s="661">
        <f t="shared" si="0"/>
        <v>-4.0750000000000002</v>
      </c>
      <c r="I57" s="691"/>
      <c r="J57" s="692"/>
      <c r="K57" s="692"/>
      <c r="L57" s="693"/>
      <c r="M57" s="674" t="s">
        <v>130</v>
      </c>
      <c r="N57" s="596"/>
      <c r="O57" s="596"/>
      <c r="P57" s="596"/>
      <c r="Q57" s="596"/>
      <c r="R57" s="596"/>
      <c r="S57" s="596"/>
      <c r="T57" s="596"/>
      <c r="U57" s="596"/>
      <c r="V57" s="596"/>
      <c r="W57" s="596"/>
      <c r="X57" s="596"/>
      <c r="Y57" s="596"/>
      <c r="Z57" s="596"/>
      <c r="AA57" s="596"/>
      <c r="AB57" s="596"/>
    </row>
    <row r="58" spans="1:28" ht="16.25" customHeight="1">
      <c r="A58" s="655" t="s">
        <v>131</v>
      </c>
      <c r="B58" s="656">
        <v>-4.2112743860558393</v>
      </c>
      <c r="C58" s="668"/>
      <c r="D58" s="658">
        <v>0.1297319013416561</v>
      </c>
      <c r="E58" s="659">
        <v>3</v>
      </c>
      <c r="F58" s="659">
        <v>209.75</v>
      </c>
      <c r="G58" s="660">
        <v>3.37</v>
      </c>
      <c r="H58" s="665">
        <f t="shared" si="0"/>
        <v>-4.7175000000000002</v>
      </c>
      <c r="I58" s="626"/>
      <c r="J58" s="676"/>
      <c r="K58" s="676"/>
      <c r="L58" s="694"/>
      <c r="M58" s="666" t="s">
        <v>132</v>
      </c>
      <c r="N58" s="596"/>
      <c r="O58" s="596"/>
      <c r="P58" s="596"/>
      <c r="Q58" s="596"/>
      <c r="R58" s="596"/>
      <c r="S58" s="596"/>
      <c r="T58" s="596"/>
      <c r="U58" s="596"/>
      <c r="V58" s="596"/>
      <c r="W58" s="596"/>
      <c r="X58" s="596"/>
      <c r="Y58" s="596"/>
      <c r="Z58" s="596"/>
      <c r="AA58" s="596"/>
      <c r="AB58" s="596"/>
    </row>
    <row r="59" spans="1:28" ht="16.25" customHeight="1">
      <c r="A59" s="667" t="s">
        <v>92</v>
      </c>
      <c r="B59" s="656">
        <v>-3.5637179869819109</v>
      </c>
      <c r="C59" s="668"/>
      <c r="D59" s="658">
        <v>0.14124198841117769</v>
      </c>
      <c r="E59" s="659">
        <v>3</v>
      </c>
      <c r="F59" s="659">
        <v>53.5</v>
      </c>
      <c r="G59" s="660">
        <v>3.43</v>
      </c>
      <c r="H59" s="661">
        <f t="shared" si="0"/>
        <v>-3.2150000000000003</v>
      </c>
      <c r="I59" s="695" t="s">
        <v>133</v>
      </c>
      <c r="J59" s="696"/>
      <c r="K59" s="697">
        <v>10720</v>
      </c>
      <c r="L59" s="664"/>
      <c r="M59" s="666" t="s">
        <v>134</v>
      </c>
      <c r="N59" s="596"/>
      <c r="O59" s="596"/>
      <c r="P59" s="596"/>
      <c r="Q59" s="596"/>
      <c r="R59" s="596"/>
      <c r="S59" s="596"/>
      <c r="T59" s="596"/>
      <c r="U59" s="596"/>
      <c r="V59" s="596"/>
      <c r="W59" s="596"/>
      <c r="X59" s="596"/>
      <c r="Y59" s="596"/>
      <c r="Z59" s="596"/>
      <c r="AA59" s="596"/>
      <c r="AB59" s="596"/>
    </row>
    <row r="60" spans="1:28" ht="16.25" customHeight="1">
      <c r="A60" s="667" t="s">
        <v>135</v>
      </c>
      <c r="B60" s="656">
        <v>-1.2239663988838621</v>
      </c>
      <c r="C60" s="668"/>
      <c r="D60" s="658">
        <v>0.17069281866408889</v>
      </c>
      <c r="E60" s="659">
        <v>6</v>
      </c>
      <c r="F60" s="659">
        <v>270</v>
      </c>
      <c r="G60" s="660">
        <v>0.05</v>
      </c>
      <c r="H60" s="661">
        <f t="shared" si="0"/>
        <v>-2</v>
      </c>
      <c r="I60" s="695" t="s">
        <v>136</v>
      </c>
      <c r="J60" s="696"/>
      <c r="K60" s="697">
        <v>1340</v>
      </c>
      <c r="L60" s="664"/>
      <c r="M60" s="666" t="s">
        <v>137</v>
      </c>
      <c r="N60" s="596"/>
      <c r="O60" s="596"/>
      <c r="P60" s="596"/>
      <c r="Q60" s="596"/>
      <c r="R60" s="596"/>
      <c r="S60" s="596"/>
      <c r="T60" s="596"/>
      <c r="U60" s="596"/>
      <c r="V60" s="596"/>
      <c r="W60" s="596"/>
      <c r="X60" s="596"/>
      <c r="Y60" s="596"/>
      <c r="Z60" s="596"/>
      <c r="AA60" s="596"/>
      <c r="AB60" s="596"/>
    </row>
    <row r="61" spans="1:28" ht="16.25" customHeight="1">
      <c r="A61" s="655" t="s">
        <v>138</v>
      </c>
      <c r="B61" s="656">
        <v>-1.721266915677887</v>
      </c>
      <c r="C61" s="668"/>
      <c r="D61" s="658">
        <v>0.2061475968316322</v>
      </c>
      <c r="E61" s="659">
        <v>3</v>
      </c>
      <c r="F61" s="659">
        <v>143.75</v>
      </c>
      <c r="G61" s="660">
        <v>1.6</v>
      </c>
      <c r="H61" s="661">
        <f t="shared" si="0"/>
        <v>-2.2875000000000001</v>
      </c>
      <c r="I61" s="695" t="s">
        <v>139</v>
      </c>
      <c r="J61" s="698">
        <f>COUNTA(A23:A122)</f>
        <v>100</v>
      </c>
      <c r="K61" s="697"/>
      <c r="L61" s="664"/>
      <c r="M61" s="666" t="s">
        <v>140</v>
      </c>
      <c r="N61" s="596"/>
      <c r="O61" s="596"/>
      <c r="P61" s="596"/>
      <c r="Q61" s="596"/>
      <c r="R61" s="596"/>
      <c r="S61" s="596"/>
      <c r="T61" s="596"/>
      <c r="U61" s="596"/>
      <c r="V61" s="596"/>
      <c r="W61" s="596"/>
      <c r="X61" s="596"/>
      <c r="Y61" s="596"/>
      <c r="Z61" s="596"/>
      <c r="AA61" s="596"/>
      <c r="AB61" s="596"/>
    </row>
    <row r="62" spans="1:28" ht="16.25" customHeight="1">
      <c r="A62" s="667" t="s">
        <v>141</v>
      </c>
      <c r="B62" s="656">
        <v>-4.5093037666870561</v>
      </c>
      <c r="C62" s="668"/>
      <c r="D62" s="658">
        <v>0.18021422622763519</v>
      </c>
      <c r="E62" s="659">
        <v>5</v>
      </c>
      <c r="F62" s="659">
        <v>214.5</v>
      </c>
      <c r="G62" s="660">
        <v>3.61</v>
      </c>
      <c r="H62" s="665">
        <f t="shared" si="0"/>
        <v>-5.0049999999999999</v>
      </c>
      <c r="I62" s="676"/>
      <c r="J62" s="676"/>
      <c r="K62" s="676"/>
      <c r="L62" s="670"/>
      <c r="M62" s="666" t="s">
        <v>142</v>
      </c>
      <c r="N62" s="596"/>
      <c r="O62" s="596"/>
      <c r="P62" s="596"/>
      <c r="Q62" s="596"/>
      <c r="R62" s="596"/>
      <c r="S62" s="596"/>
      <c r="T62" s="596"/>
      <c r="U62" s="596"/>
      <c r="V62" s="596"/>
      <c r="W62" s="596"/>
      <c r="X62" s="596"/>
      <c r="Y62" s="596"/>
      <c r="Z62" s="596"/>
      <c r="AA62" s="596"/>
      <c r="AB62" s="596"/>
    </row>
    <row r="63" spans="1:28" ht="16.25" customHeight="1">
      <c r="A63" s="655" t="s">
        <v>143</v>
      </c>
      <c r="B63" s="656">
        <v>-4.700959221846273</v>
      </c>
      <c r="C63" s="668"/>
      <c r="D63" s="658">
        <v>0.19225415374507379</v>
      </c>
      <c r="E63" s="659">
        <v>8</v>
      </c>
      <c r="F63" s="659">
        <v>255.3</v>
      </c>
      <c r="G63" s="660">
        <v>3.82</v>
      </c>
      <c r="H63" s="661">
        <f t="shared" si="0"/>
        <v>-5.6230000000000002</v>
      </c>
      <c r="I63" s="699" t="s">
        <v>144</v>
      </c>
      <c r="J63" s="676"/>
      <c r="K63" s="676"/>
      <c r="L63" s="678"/>
      <c r="M63" s="674" t="s">
        <v>145</v>
      </c>
      <c r="N63" s="596"/>
      <c r="O63" s="596"/>
      <c r="P63" s="596"/>
      <c r="Q63" s="596"/>
      <c r="R63" s="596"/>
      <c r="S63" s="596"/>
      <c r="T63" s="596"/>
      <c r="U63" s="596"/>
      <c r="V63" s="596"/>
      <c r="W63" s="596"/>
      <c r="X63" s="596"/>
      <c r="Y63" s="596"/>
      <c r="Z63" s="596"/>
      <c r="AA63" s="596"/>
      <c r="AB63" s="596"/>
    </row>
    <row r="64" spans="1:28" ht="21" customHeight="1">
      <c r="A64" s="655" t="s">
        <v>146</v>
      </c>
      <c r="B64" s="656">
        <v>-2.8498716686941168</v>
      </c>
      <c r="C64" s="668"/>
      <c r="D64" s="658">
        <v>0.17</v>
      </c>
      <c r="E64" s="659">
        <v>3</v>
      </c>
      <c r="F64" s="659">
        <v>189</v>
      </c>
      <c r="G64" s="660">
        <v>1.34</v>
      </c>
      <c r="H64" s="661">
        <f t="shared" si="0"/>
        <v>-2.4800000000000004</v>
      </c>
      <c r="I64" s="700" t="s">
        <v>1027</v>
      </c>
      <c r="J64" s="681"/>
      <c r="K64" s="681"/>
      <c r="L64" s="682"/>
      <c r="M64" s="674" t="s">
        <v>148</v>
      </c>
      <c r="N64" s="596"/>
      <c r="O64" s="596"/>
      <c r="P64" s="596"/>
      <c r="Q64" s="596"/>
      <c r="R64" s="596"/>
      <c r="S64" s="596"/>
      <c r="T64" s="596"/>
      <c r="U64" s="596"/>
      <c r="V64" s="596"/>
      <c r="W64" s="596"/>
      <c r="X64" s="596"/>
      <c r="Y64" s="596"/>
      <c r="Z64" s="596"/>
      <c r="AA64" s="596"/>
      <c r="AB64" s="596"/>
    </row>
    <row r="65" spans="1:28" ht="16.25" customHeight="1">
      <c r="A65" s="655" t="s">
        <v>149</v>
      </c>
      <c r="B65" s="656">
        <v>-4.3505974590406744</v>
      </c>
      <c r="C65" s="668"/>
      <c r="D65" s="658">
        <v>0.1979449316051069</v>
      </c>
      <c r="E65" s="659">
        <v>4</v>
      </c>
      <c r="F65" s="659">
        <v>243.5</v>
      </c>
      <c r="G65" s="660">
        <v>1.34</v>
      </c>
      <c r="H65" s="661">
        <f t="shared" si="0"/>
        <v>-3.0250000000000004</v>
      </c>
      <c r="I65" s="701"/>
      <c r="J65" s="702" t="s">
        <v>1028</v>
      </c>
      <c r="K65" s="684"/>
      <c r="L65" s="685"/>
      <c r="M65" s="674" t="s">
        <v>151</v>
      </c>
      <c r="N65" s="596"/>
      <c r="O65" s="596"/>
      <c r="P65" s="596"/>
      <c r="Q65" s="596"/>
      <c r="R65" s="596"/>
      <c r="S65" s="596"/>
      <c r="T65" s="596"/>
      <c r="U65" s="596"/>
      <c r="V65" s="596"/>
      <c r="W65" s="596"/>
      <c r="X65" s="596"/>
      <c r="Y65" s="596"/>
      <c r="Z65" s="596"/>
      <c r="AA65" s="596"/>
      <c r="AB65" s="596"/>
    </row>
    <row r="66" spans="1:28" ht="16.25" customHeight="1">
      <c r="A66" s="667" t="s">
        <v>95</v>
      </c>
      <c r="B66" s="656">
        <v>-2.2150760226696899</v>
      </c>
      <c r="C66" s="668"/>
      <c r="D66" s="658">
        <v>0.2105609907429338</v>
      </c>
      <c r="E66" s="659">
        <v>3</v>
      </c>
      <c r="F66" s="659">
        <v>36.5</v>
      </c>
      <c r="G66" s="660">
        <v>2.74</v>
      </c>
      <c r="H66" s="661">
        <f t="shared" si="0"/>
        <v>-2.3550000000000004</v>
      </c>
      <c r="I66" s="690"/>
      <c r="J66" s="684"/>
      <c r="K66" s="684"/>
      <c r="L66" s="685"/>
      <c r="M66" s="674" t="s">
        <v>152</v>
      </c>
      <c r="N66" s="596"/>
      <c r="O66" s="596"/>
      <c r="P66" s="596"/>
      <c r="Q66" s="596"/>
      <c r="R66" s="596"/>
      <c r="S66" s="596"/>
      <c r="T66" s="596"/>
      <c r="U66" s="596"/>
      <c r="V66" s="596"/>
      <c r="W66" s="596"/>
      <c r="X66" s="596"/>
      <c r="Y66" s="596"/>
      <c r="Z66" s="596"/>
      <c r="AA66" s="596"/>
      <c r="AB66" s="596"/>
    </row>
    <row r="67" spans="1:28" ht="16.25" customHeight="1">
      <c r="A67" s="675" t="s">
        <v>153</v>
      </c>
      <c r="B67" s="656">
        <v>-3.5857173617356128</v>
      </c>
      <c r="C67" s="668"/>
      <c r="D67" s="658">
        <v>0.21092434073951921</v>
      </c>
      <c r="E67" s="659">
        <v>10</v>
      </c>
      <c r="F67" s="659">
        <v>186</v>
      </c>
      <c r="G67" s="660">
        <v>3.4</v>
      </c>
      <c r="H67" s="661">
        <f t="shared" si="0"/>
        <v>-4.51</v>
      </c>
      <c r="I67" s="690"/>
      <c r="J67" s="684"/>
      <c r="K67" s="684"/>
      <c r="L67" s="685"/>
      <c r="M67" s="674" t="s">
        <v>154</v>
      </c>
      <c r="N67" s="596"/>
      <c r="O67" s="596"/>
      <c r="P67" s="596"/>
      <c r="Q67" s="596"/>
      <c r="R67" s="596"/>
      <c r="S67" s="596"/>
      <c r="T67" s="596"/>
      <c r="U67" s="596"/>
      <c r="V67" s="596"/>
      <c r="W67" s="596"/>
      <c r="X67" s="596"/>
      <c r="Y67" s="596"/>
      <c r="Z67" s="596"/>
      <c r="AA67" s="596"/>
      <c r="AB67" s="596"/>
    </row>
    <row r="68" spans="1:28" ht="16.25" customHeight="1">
      <c r="A68" s="667" t="s">
        <v>98</v>
      </c>
      <c r="B68" s="656">
        <v>-3.8774005780818932</v>
      </c>
      <c r="C68" s="668"/>
      <c r="D68" s="658">
        <v>0.1869547869395719</v>
      </c>
      <c r="E68" s="659">
        <v>3</v>
      </c>
      <c r="F68" s="659">
        <v>253</v>
      </c>
      <c r="G68" s="660">
        <v>2.35</v>
      </c>
      <c r="H68" s="661">
        <f t="shared" si="0"/>
        <v>-4.1300000000000008</v>
      </c>
      <c r="I68" s="690"/>
      <c r="J68" s="684"/>
      <c r="K68" s="684"/>
      <c r="L68" s="685"/>
      <c r="M68" s="674" t="s">
        <v>155</v>
      </c>
      <c r="N68" s="596"/>
      <c r="O68" s="596"/>
      <c r="P68" s="596"/>
      <c r="Q68" s="596"/>
      <c r="R68" s="596"/>
      <c r="S68" s="596"/>
      <c r="T68" s="596"/>
      <c r="U68" s="596"/>
      <c r="V68" s="596"/>
      <c r="W68" s="596"/>
      <c r="X68" s="596"/>
      <c r="Y68" s="596"/>
      <c r="Z68" s="596"/>
      <c r="AA68" s="596"/>
      <c r="AB68" s="596"/>
    </row>
    <row r="69" spans="1:28" ht="16.25" customHeight="1">
      <c r="A69" s="675" t="s">
        <v>156</v>
      </c>
      <c r="B69" s="656">
        <v>-4.231113300576733</v>
      </c>
      <c r="C69" s="668"/>
      <c r="D69" s="658">
        <v>0.20491085989689109</v>
      </c>
      <c r="E69" s="659">
        <v>23</v>
      </c>
      <c r="F69" s="659">
        <v>111</v>
      </c>
      <c r="G69" s="660">
        <v>3.68</v>
      </c>
      <c r="H69" s="661">
        <f t="shared" si="0"/>
        <v>-4.04</v>
      </c>
      <c r="I69" s="690"/>
      <c r="J69" s="684"/>
      <c r="K69" s="684"/>
      <c r="L69" s="685"/>
      <c r="M69" s="674" t="s">
        <v>157</v>
      </c>
      <c r="N69" s="596"/>
      <c r="O69" s="596"/>
      <c r="P69" s="596"/>
      <c r="Q69" s="596"/>
      <c r="R69" s="596"/>
      <c r="S69" s="596"/>
      <c r="T69" s="596"/>
      <c r="U69" s="596"/>
      <c r="V69" s="596"/>
      <c r="W69" s="596"/>
      <c r="X69" s="596"/>
      <c r="Y69" s="596"/>
      <c r="Z69" s="596"/>
      <c r="AA69" s="596"/>
      <c r="AB69" s="596"/>
    </row>
    <row r="70" spans="1:28" ht="16.25" customHeight="1">
      <c r="A70" s="667" t="s">
        <v>158</v>
      </c>
      <c r="B70" s="656">
        <v>-3.5123038563599729</v>
      </c>
      <c r="C70" s="668"/>
      <c r="D70" s="658">
        <v>0.15545016183846919</v>
      </c>
      <c r="E70" s="659">
        <v>6</v>
      </c>
      <c r="F70" s="659">
        <v>250</v>
      </c>
      <c r="G70" s="660">
        <v>-0.04</v>
      </c>
      <c r="H70" s="661">
        <f t="shared" si="0"/>
        <v>-1.71</v>
      </c>
      <c r="I70" s="690"/>
      <c r="J70" s="684"/>
      <c r="K70" s="684"/>
      <c r="L70" s="685"/>
      <c r="M70" s="674" t="s">
        <v>159</v>
      </c>
      <c r="N70" s="596"/>
      <c r="O70" s="596"/>
      <c r="P70" s="596"/>
      <c r="Q70" s="596"/>
      <c r="R70" s="596"/>
      <c r="S70" s="596"/>
      <c r="T70" s="596"/>
      <c r="U70" s="596"/>
      <c r="V70" s="596"/>
      <c r="W70" s="596"/>
      <c r="X70" s="596"/>
      <c r="Y70" s="596"/>
      <c r="Z70" s="596"/>
      <c r="AA70" s="596"/>
      <c r="AB70" s="596"/>
    </row>
    <row r="71" spans="1:28" ht="16.25" customHeight="1">
      <c r="A71" s="655" t="s">
        <v>160</v>
      </c>
      <c r="B71" s="656">
        <v>-1.584028779345698</v>
      </c>
      <c r="C71" s="668"/>
      <c r="D71" s="658">
        <v>0.13261436390895151</v>
      </c>
      <c r="E71" s="659">
        <v>3</v>
      </c>
      <c r="F71" s="659">
        <v>250</v>
      </c>
      <c r="G71" s="660">
        <v>-1.97</v>
      </c>
      <c r="H71" s="661">
        <f t="shared" si="0"/>
        <v>0.21999999999999975</v>
      </c>
      <c r="I71" s="690"/>
      <c r="J71" s="684"/>
      <c r="K71" s="684"/>
      <c r="L71" s="685"/>
      <c r="M71" s="674" t="s">
        <v>161</v>
      </c>
      <c r="N71" s="596"/>
      <c r="O71" s="596"/>
      <c r="P71" s="596"/>
      <c r="Q71" s="596"/>
      <c r="R71" s="596"/>
      <c r="S71" s="596"/>
      <c r="T71" s="596"/>
      <c r="U71" s="596"/>
      <c r="V71" s="596"/>
      <c r="W71" s="596"/>
      <c r="X71" s="596"/>
      <c r="Y71" s="596"/>
      <c r="Z71" s="596"/>
      <c r="AA71" s="596"/>
      <c r="AB71" s="596"/>
    </row>
    <row r="72" spans="1:28" ht="16.25" customHeight="1">
      <c r="A72" s="655" t="s">
        <v>162</v>
      </c>
      <c r="B72" s="656">
        <v>-4.1223480725592312</v>
      </c>
      <c r="C72" s="668"/>
      <c r="D72" s="658">
        <v>0.21159815676624971</v>
      </c>
      <c r="E72" s="659">
        <v>9</v>
      </c>
      <c r="F72" s="659">
        <v>208.5</v>
      </c>
      <c r="G72" s="660">
        <v>2.08</v>
      </c>
      <c r="H72" s="661">
        <f t="shared" si="0"/>
        <v>-3.415</v>
      </c>
      <c r="I72" s="690"/>
      <c r="J72" s="684"/>
      <c r="K72" s="684"/>
      <c r="L72" s="685"/>
      <c r="M72" s="674" t="s">
        <v>163</v>
      </c>
      <c r="N72" s="596"/>
      <c r="O72" s="596"/>
      <c r="P72" s="596"/>
      <c r="Q72" s="596"/>
      <c r="R72" s="596"/>
      <c r="S72" s="596"/>
      <c r="T72" s="596"/>
      <c r="U72" s="596"/>
      <c r="V72" s="596"/>
      <c r="W72" s="596"/>
      <c r="X72" s="596"/>
      <c r="Y72" s="596"/>
      <c r="Z72" s="596"/>
      <c r="AA72" s="596"/>
      <c r="AB72" s="596"/>
    </row>
    <row r="73" spans="1:28" ht="16.25" customHeight="1">
      <c r="A73" s="655" t="s">
        <v>164</v>
      </c>
      <c r="B73" s="656">
        <v>-4.271952751609172</v>
      </c>
      <c r="C73" s="668"/>
      <c r="D73" s="658">
        <v>0.1900151243705871</v>
      </c>
      <c r="E73" s="659">
        <v>15</v>
      </c>
      <c r="F73" s="659">
        <v>220</v>
      </c>
      <c r="G73" s="660">
        <v>2.69</v>
      </c>
      <c r="H73" s="661">
        <f t="shared" si="0"/>
        <v>-4.1399999999999997</v>
      </c>
      <c r="I73" s="690"/>
      <c r="J73" s="684"/>
      <c r="K73" s="684"/>
      <c r="L73" s="685"/>
      <c r="M73" s="674" t="s">
        <v>165</v>
      </c>
      <c r="N73" s="596"/>
      <c r="O73" s="596"/>
      <c r="P73" s="596"/>
      <c r="Q73" s="596"/>
      <c r="R73" s="596"/>
      <c r="S73" s="596"/>
      <c r="T73" s="596"/>
      <c r="U73" s="596"/>
      <c r="V73" s="596"/>
      <c r="W73" s="596"/>
      <c r="X73" s="596"/>
      <c r="Y73" s="596"/>
      <c r="Z73" s="596"/>
      <c r="AA73" s="596"/>
      <c r="AB73" s="596"/>
    </row>
    <row r="74" spans="1:28" ht="16.25" customHeight="1">
      <c r="A74" s="655" t="s">
        <v>166</v>
      </c>
      <c r="B74" s="656">
        <v>-3.7087716947908822</v>
      </c>
      <c r="C74" s="668"/>
      <c r="D74" s="658">
        <v>0.16978183023026611</v>
      </c>
      <c r="E74" s="659">
        <v>10</v>
      </c>
      <c r="F74" s="659">
        <v>151</v>
      </c>
      <c r="G74" s="660">
        <v>4.43</v>
      </c>
      <c r="H74" s="661">
        <f t="shared" si="0"/>
        <v>-5.1899999999999995</v>
      </c>
      <c r="I74" s="690"/>
      <c r="J74" s="684"/>
      <c r="K74" s="684"/>
      <c r="L74" s="685"/>
      <c r="M74" s="674" t="s">
        <v>167</v>
      </c>
      <c r="N74" s="596"/>
      <c r="O74" s="596"/>
      <c r="P74" s="596"/>
      <c r="Q74" s="596"/>
      <c r="R74" s="596"/>
      <c r="S74" s="596"/>
      <c r="T74" s="596"/>
      <c r="U74" s="596"/>
      <c r="V74" s="596"/>
      <c r="W74" s="596"/>
      <c r="X74" s="596"/>
      <c r="Y74" s="596"/>
      <c r="Z74" s="596"/>
      <c r="AA74" s="596"/>
      <c r="AB74" s="596"/>
    </row>
    <row r="75" spans="1:28" ht="16.25" customHeight="1">
      <c r="A75" s="675" t="s">
        <v>100</v>
      </c>
      <c r="B75" s="656">
        <v>-3.7645040573809139</v>
      </c>
      <c r="C75" s="668"/>
      <c r="D75" s="658">
        <v>0.1941621460414564</v>
      </c>
      <c r="E75" s="659">
        <v>7</v>
      </c>
      <c r="F75" s="659">
        <v>154.5</v>
      </c>
      <c r="G75" s="660">
        <v>4.22</v>
      </c>
      <c r="H75" s="661">
        <f t="shared" si="0"/>
        <v>-5.0149999999999997</v>
      </c>
      <c r="I75" s="690"/>
      <c r="J75" s="684"/>
      <c r="K75" s="684"/>
      <c r="L75" s="685"/>
      <c r="M75" s="674" t="s">
        <v>168</v>
      </c>
      <c r="N75" s="596"/>
      <c r="O75" s="596"/>
      <c r="P75" s="596"/>
      <c r="Q75" s="596"/>
      <c r="R75" s="596"/>
      <c r="S75" s="596"/>
      <c r="T75" s="596"/>
      <c r="U75" s="596"/>
      <c r="V75" s="596"/>
      <c r="W75" s="596"/>
      <c r="X75" s="596"/>
      <c r="Y75" s="596"/>
      <c r="Z75" s="596"/>
      <c r="AA75" s="596"/>
      <c r="AB75" s="596"/>
    </row>
    <row r="76" spans="1:28" ht="16.25" customHeight="1">
      <c r="A76" s="655" t="s">
        <v>169</v>
      </c>
      <c r="B76" s="656">
        <v>-3.5563142230425879</v>
      </c>
      <c r="C76" s="668"/>
      <c r="D76" s="658">
        <v>0.16048013551961601</v>
      </c>
      <c r="E76" s="659">
        <v>5</v>
      </c>
      <c r="F76" s="659">
        <v>167.75</v>
      </c>
      <c r="G76" s="660">
        <v>2.87</v>
      </c>
      <c r="H76" s="661">
        <f t="shared" si="0"/>
        <v>-3.7975000000000003</v>
      </c>
      <c r="I76" s="690"/>
      <c r="J76" s="684"/>
      <c r="K76" s="684"/>
      <c r="L76" s="685"/>
      <c r="M76" s="674" t="s">
        <v>170</v>
      </c>
      <c r="N76" s="596"/>
      <c r="O76" s="596"/>
      <c r="P76" s="596"/>
      <c r="Q76" s="596"/>
      <c r="R76" s="596"/>
      <c r="S76" s="596"/>
      <c r="T76" s="596"/>
      <c r="U76" s="596"/>
      <c r="V76" s="596"/>
      <c r="W76" s="596"/>
      <c r="X76" s="596"/>
      <c r="Y76" s="596"/>
      <c r="Z76" s="596"/>
      <c r="AA76" s="596"/>
      <c r="AB76" s="596"/>
    </row>
    <row r="77" spans="1:28" ht="16.25" customHeight="1">
      <c r="A77" s="655" t="s">
        <v>171</v>
      </c>
      <c r="B77" s="656">
        <v>-4.8409749718883406</v>
      </c>
      <c r="C77" s="668"/>
      <c r="D77" s="658">
        <v>0.22239504833634871</v>
      </c>
      <c r="E77" s="659">
        <v>21</v>
      </c>
      <c r="F77" s="659">
        <v>159</v>
      </c>
      <c r="G77" s="660">
        <v>3.93</v>
      </c>
      <c r="H77" s="661">
        <f t="shared" si="0"/>
        <v>-4.7700000000000005</v>
      </c>
      <c r="I77" s="690"/>
      <c r="J77" s="684"/>
      <c r="K77" s="684"/>
      <c r="L77" s="685"/>
      <c r="M77" s="674" t="s">
        <v>172</v>
      </c>
      <c r="N77" s="596"/>
      <c r="O77" s="596"/>
      <c r="P77" s="596"/>
      <c r="Q77" s="596"/>
      <c r="R77" s="596"/>
      <c r="S77" s="596"/>
      <c r="T77" s="596"/>
      <c r="U77" s="596"/>
      <c r="V77" s="596"/>
      <c r="W77" s="596"/>
      <c r="X77" s="596"/>
      <c r="Y77" s="596"/>
      <c r="Z77" s="596"/>
      <c r="AA77" s="596"/>
      <c r="AB77" s="596"/>
    </row>
    <row r="78" spans="1:28" ht="16.25" customHeight="1">
      <c r="A78" s="655" t="s">
        <v>173</v>
      </c>
      <c r="B78" s="656">
        <v>-3.7855191418029142</v>
      </c>
      <c r="C78" s="668"/>
      <c r="D78" s="658">
        <v>0.21209434799218391</v>
      </c>
      <c r="E78" s="659">
        <v>5</v>
      </c>
      <c r="F78" s="659">
        <v>213.5</v>
      </c>
      <c r="G78" s="660">
        <v>3.04</v>
      </c>
      <c r="H78" s="661">
        <f t="shared" si="0"/>
        <v>-4.4249999999999998</v>
      </c>
      <c r="I78" s="690"/>
      <c r="J78" s="684"/>
      <c r="K78" s="684"/>
      <c r="L78" s="685"/>
      <c r="M78" s="674" t="s">
        <v>174</v>
      </c>
      <c r="N78" s="596"/>
      <c r="O78" s="596"/>
      <c r="P78" s="596"/>
      <c r="Q78" s="596"/>
      <c r="R78" s="596"/>
      <c r="S78" s="596"/>
      <c r="T78" s="596"/>
      <c r="U78" s="596"/>
      <c r="V78" s="596"/>
      <c r="W78" s="596"/>
      <c r="X78" s="596"/>
      <c r="Y78" s="596"/>
      <c r="Z78" s="596"/>
      <c r="AA78" s="596"/>
      <c r="AB78" s="596"/>
    </row>
    <row r="79" spans="1:28" ht="16.25" customHeight="1">
      <c r="A79" s="655" t="s">
        <v>175</v>
      </c>
      <c r="B79" s="656">
        <v>-3.3095207099532642</v>
      </c>
      <c r="C79" s="668"/>
      <c r="D79" s="658">
        <v>0.1407224156406931</v>
      </c>
      <c r="E79" s="659">
        <v>11</v>
      </c>
      <c r="F79" s="659">
        <v>146</v>
      </c>
      <c r="G79" s="660">
        <v>4.21</v>
      </c>
      <c r="H79" s="661">
        <f t="shared" si="0"/>
        <v>-4.92</v>
      </c>
      <c r="I79" s="690"/>
      <c r="J79" s="684"/>
      <c r="K79" s="684"/>
      <c r="L79" s="685"/>
      <c r="M79" s="674" t="s">
        <v>176</v>
      </c>
      <c r="N79" s="596"/>
      <c r="O79" s="596"/>
      <c r="P79" s="596"/>
      <c r="Q79" s="596"/>
      <c r="R79" s="596"/>
      <c r="S79" s="596"/>
      <c r="T79" s="596"/>
      <c r="U79" s="596"/>
      <c r="V79" s="596"/>
      <c r="W79" s="596"/>
      <c r="X79" s="596"/>
      <c r="Y79" s="596"/>
      <c r="Z79" s="596"/>
      <c r="AA79" s="596"/>
      <c r="AB79" s="596"/>
    </row>
    <row r="80" spans="1:28" ht="16.25" customHeight="1">
      <c r="A80" s="655" t="s">
        <v>177</v>
      </c>
      <c r="B80" s="656">
        <v>-4.3222442502781373</v>
      </c>
      <c r="C80" s="668"/>
      <c r="D80" s="658">
        <v>0.21748916450754369</v>
      </c>
      <c r="E80" s="659">
        <v>5</v>
      </c>
      <c r="F80" s="659">
        <v>92.333333333333329</v>
      </c>
      <c r="G80" s="660">
        <v>4.21</v>
      </c>
      <c r="H80" s="661">
        <f t="shared" si="0"/>
        <v>-4.3833333333333329</v>
      </c>
      <c r="I80" s="690"/>
      <c r="J80" s="684"/>
      <c r="K80" s="684"/>
      <c r="L80" s="685"/>
      <c r="M80" s="674" t="s">
        <v>178</v>
      </c>
      <c r="N80" s="596"/>
      <c r="O80" s="596"/>
      <c r="P80" s="596"/>
      <c r="Q80" s="596"/>
      <c r="R80" s="596"/>
      <c r="S80" s="596"/>
      <c r="T80" s="596"/>
      <c r="U80" s="596"/>
      <c r="V80" s="596"/>
      <c r="W80" s="596"/>
      <c r="X80" s="596"/>
      <c r="Y80" s="596"/>
      <c r="Z80" s="596"/>
      <c r="AA80" s="596"/>
      <c r="AB80" s="596"/>
    </row>
    <row r="81" spans="1:28" ht="16.25" customHeight="1">
      <c r="A81" s="667" t="s">
        <v>179</v>
      </c>
      <c r="B81" s="656">
        <v>-3.5183111334850632</v>
      </c>
      <c r="C81" s="668"/>
      <c r="D81" s="658">
        <v>0.20531013145176411</v>
      </c>
      <c r="E81" s="659">
        <v>8</v>
      </c>
      <c r="F81" s="659">
        <v>256</v>
      </c>
      <c r="G81" s="660">
        <v>2.71</v>
      </c>
      <c r="H81" s="661">
        <f t="shared" si="0"/>
        <v>-4.5199999999999996</v>
      </c>
      <c r="I81" s="690"/>
      <c r="J81" s="684"/>
      <c r="K81" s="684"/>
      <c r="L81" s="685"/>
      <c r="M81" s="674" t="s">
        <v>180</v>
      </c>
      <c r="N81" s="596"/>
      <c r="O81" s="596"/>
      <c r="P81" s="596"/>
      <c r="Q81" s="596"/>
      <c r="R81" s="596"/>
      <c r="S81" s="596"/>
      <c r="T81" s="596"/>
      <c r="U81" s="596"/>
      <c r="V81" s="596"/>
      <c r="W81" s="596"/>
      <c r="X81" s="596"/>
      <c r="Y81" s="596"/>
      <c r="Z81" s="596"/>
      <c r="AA81" s="596"/>
      <c r="AB81" s="596"/>
    </row>
    <row r="82" spans="1:28" ht="16.25" customHeight="1">
      <c r="A82" s="667" t="s">
        <v>181</v>
      </c>
      <c r="B82" s="656">
        <v>-4.4035827912860501</v>
      </c>
      <c r="C82" s="668"/>
      <c r="D82" s="658">
        <v>0.21176785142223761</v>
      </c>
      <c r="E82" s="659">
        <v>3</v>
      </c>
      <c r="F82" s="659">
        <v>80</v>
      </c>
      <c r="G82" s="660">
        <v>3.37</v>
      </c>
      <c r="H82" s="661">
        <f t="shared" si="0"/>
        <v>-3.42</v>
      </c>
      <c r="I82" s="690"/>
      <c r="J82" s="684"/>
      <c r="K82" s="684"/>
      <c r="L82" s="685"/>
      <c r="M82" s="674" t="s">
        <v>182</v>
      </c>
      <c r="N82" s="596"/>
      <c r="O82" s="596"/>
      <c r="P82" s="596"/>
      <c r="Q82" s="596"/>
      <c r="R82" s="596"/>
      <c r="S82" s="596"/>
      <c r="T82" s="596"/>
      <c r="U82" s="596"/>
      <c r="V82" s="596"/>
      <c r="W82" s="596"/>
      <c r="X82" s="596"/>
      <c r="Y82" s="596"/>
      <c r="Z82" s="596"/>
      <c r="AA82" s="596"/>
      <c r="AB82" s="596"/>
    </row>
    <row r="83" spans="1:28" ht="16.25" customHeight="1">
      <c r="A83" s="667" t="s">
        <v>183</v>
      </c>
      <c r="B83" s="656">
        <v>-4.0169180826616993</v>
      </c>
      <c r="C83" s="668"/>
      <c r="D83" s="658">
        <v>0.1621765776241221</v>
      </c>
      <c r="E83" s="659">
        <v>17</v>
      </c>
      <c r="F83" s="659">
        <v>153</v>
      </c>
      <c r="G83" s="660">
        <v>3.04</v>
      </c>
      <c r="H83" s="661">
        <f t="shared" si="0"/>
        <v>-3.8200000000000003</v>
      </c>
      <c r="I83" s="690"/>
      <c r="J83" s="684"/>
      <c r="K83" s="684"/>
      <c r="L83" s="685"/>
      <c r="M83" s="674" t="s">
        <v>184</v>
      </c>
      <c r="N83" s="596"/>
      <c r="O83" s="596"/>
      <c r="P83" s="596"/>
      <c r="Q83" s="596"/>
      <c r="R83" s="596"/>
      <c r="S83" s="596"/>
      <c r="T83" s="596"/>
      <c r="U83" s="596"/>
      <c r="V83" s="596"/>
      <c r="W83" s="596"/>
      <c r="X83" s="596"/>
      <c r="Y83" s="596"/>
      <c r="Z83" s="596"/>
      <c r="AA83" s="596"/>
      <c r="AB83" s="596"/>
    </row>
    <row r="84" spans="1:28" ht="16.25" customHeight="1">
      <c r="A84" s="655" t="s">
        <v>185</v>
      </c>
      <c r="B84" s="656">
        <v>-5.1081721033913414</v>
      </c>
      <c r="C84" s="668"/>
      <c r="D84" s="658">
        <v>0.2044882749662387</v>
      </c>
      <c r="E84" s="659">
        <v>3</v>
      </c>
      <c r="F84" s="659">
        <v>349.84</v>
      </c>
      <c r="G84" s="660">
        <v>4.75</v>
      </c>
      <c r="H84" s="661">
        <f t="shared" si="0"/>
        <v>-7.4984000000000002</v>
      </c>
      <c r="I84" s="690"/>
      <c r="J84" s="684"/>
      <c r="K84" s="684"/>
      <c r="L84" s="685"/>
      <c r="M84" s="674" t="s">
        <v>186</v>
      </c>
      <c r="N84" s="596"/>
      <c r="O84" s="596"/>
      <c r="P84" s="596"/>
      <c r="Q84" s="596"/>
      <c r="R84" s="596"/>
      <c r="S84" s="596"/>
      <c r="T84" s="596"/>
      <c r="U84" s="596"/>
      <c r="V84" s="596"/>
      <c r="W84" s="596"/>
      <c r="X84" s="596"/>
      <c r="Y84" s="596"/>
      <c r="Z84" s="596"/>
      <c r="AA84" s="596"/>
      <c r="AB84" s="596"/>
    </row>
    <row r="85" spans="1:28" ht="16.25" customHeight="1">
      <c r="A85" s="655" t="s">
        <v>187</v>
      </c>
      <c r="B85" s="656">
        <v>-4.9352065371238556</v>
      </c>
      <c r="C85" s="668"/>
      <c r="D85" s="658">
        <v>0.1435829444657773</v>
      </c>
      <c r="E85" s="659">
        <v>6</v>
      </c>
      <c r="F85" s="659">
        <v>248</v>
      </c>
      <c r="G85" s="660">
        <v>2.65</v>
      </c>
      <c r="H85" s="661">
        <f t="shared" si="0"/>
        <v>-4.38</v>
      </c>
      <c r="I85" s="690"/>
      <c r="J85" s="684"/>
      <c r="K85" s="684"/>
      <c r="L85" s="685"/>
      <c r="M85" s="674" t="s">
        <v>188</v>
      </c>
      <c r="N85" s="596"/>
      <c r="O85" s="596"/>
      <c r="P85" s="596"/>
      <c r="Q85" s="596"/>
      <c r="R85" s="596"/>
      <c r="S85" s="596"/>
      <c r="T85" s="596"/>
      <c r="U85" s="596"/>
      <c r="V85" s="596"/>
      <c r="W85" s="596"/>
      <c r="X85" s="596"/>
      <c r="Y85" s="596"/>
      <c r="Z85" s="596"/>
      <c r="AA85" s="596"/>
      <c r="AB85" s="596"/>
    </row>
    <row r="86" spans="1:28" ht="16.25" customHeight="1">
      <c r="A86" s="655" t="s">
        <v>189</v>
      </c>
      <c r="B86" s="656">
        <v>-3.311534024417774</v>
      </c>
      <c r="C86" s="668"/>
      <c r="D86" s="658">
        <v>0.15384096988991311</v>
      </c>
      <c r="E86" s="659">
        <v>11</v>
      </c>
      <c r="F86" s="659">
        <v>173</v>
      </c>
      <c r="G86" s="660">
        <v>2.1800000000000002</v>
      </c>
      <c r="H86" s="661">
        <f t="shared" si="0"/>
        <v>-3.16</v>
      </c>
      <c r="I86" s="690"/>
      <c r="J86" s="684"/>
      <c r="K86" s="684"/>
      <c r="L86" s="685"/>
      <c r="M86" s="674" t="s">
        <v>190</v>
      </c>
      <c r="N86" s="596"/>
      <c r="O86" s="596"/>
      <c r="P86" s="596"/>
      <c r="Q86" s="596"/>
      <c r="R86" s="596"/>
      <c r="S86" s="596"/>
      <c r="T86" s="596"/>
      <c r="U86" s="596"/>
      <c r="V86" s="596"/>
      <c r="W86" s="596"/>
      <c r="X86" s="596"/>
      <c r="Y86" s="596"/>
      <c r="Z86" s="596"/>
      <c r="AA86" s="596"/>
      <c r="AB86" s="596"/>
    </row>
    <row r="87" spans="1:28" ht="16.25" customHeight="1">
      <c r="A87" s="655" t="s">
        <v>191</v>
      </c>
      <c r="B87" s="656">
        <v>-4.0548040349280381</v>
      </c>
      <c r="C87" s="668"/>
      <c r="D87" s="658">
        <v>0.14176528631434951</v>
      </c>
      <c r="E87" s="659">
        <v>5</v>
      </c>
      <c r="F87" s="659">
        <v>143.75</v>
      </c>
      <c r="G87" s="660">
        <v>2.76</v>
      </c>
      <c r="H87" s="661">
        <f t="shared" ref="H87:H122" si="1">0.5-G87-0.01*(F87-25)</f>
        <v>-3.4474999999999998</v>
      </c>
      <c r="I87" s="690"/>
      <c r="J87" s="684"/>
      <c r="K87" s="684"/>
      <c r="L87" s="685"/>
      <c r="M87" s="674" t="s">
        <v>192</v>
      </c>
      <c r="N87" s="596"/>
      <c r="O87" s="596"/>
      <c r="P87" s="596"/>
      <c r="Q87" s="596"/>
      <c r="R87" s="596"/>
      <c r="S87" s="596"/>
      <c r="T87" s="596"/>
      <c r="U87" s="596"/>
      <c r="V87" s="596"/>
      <c r="W87" s="596"/>
      <c r="X87" s="596"/>
      <c r="Y87" s="596"/>
      <c r="Z87" s="596"/>
      <c r="AA87" s="596"/>
      <c r="AB87" s="596"/>
    </row>
    <row r="88" spans="1:28" ht="16.25" customHeight="1">
      <c r="A88" s="655" t="s">
        <v>193</v>
      </c>
      <c r="B88" s="656">
        <v>-2.915020239252792</v>
      </c>
      <c r="C88" s="668"/>
      <c r="D88" s="658">
        <v>0.1621392819146934</v>
      </c>
      <c r="E88" s="659">
        <v>19</v>
      </c>
      <c r="F88" s="659">
        <v>220.5</v>
      </c>
      <c r="G88" s="660">
        <v>1.27</v>
      </c>
      <c r="H88" s="661">
        <f t="shared" si="1"/>
        <v>-2.7250000000000001</v>
      </c>
      <c r="I88" s="690"/>
      <c r="J88" s="684"/>
      <c r="K88" s="684"/>
      <c r="L88" s="685"/>
      <c r="M88" s="674" t="s">
        <v>194</v>
      </c>
      <c r="N88" s="596"/>
      <c r="O88" s="596"/>
      <c r="P88" s="596"/>
      <c r="Q88" s="596"/>
      <c r="R88" s="596"/>
      <c r="S88" s="596"/>
      <c r="T88" s="596"/>
      <c r="U88" s="596"/>
      <c r="V88" s="596"/>
      <c r="W88" s="596"/>
      <c r="X88" s="596"/>
      <c r="Y88" s="596"/>
      <c r="Z88" s="596"/>
      <c r="AA88" s="596"/>
      <c r="AB88" s="596"/>
    </row>
    <row r="89" spans="1:28" ht="16.25" customHeight="1">
      <c r="A89" s="655" t="s">
        <v>195</v>
      </c>
      <c r="B89" s="656">
        <v>-3.4441206241779492</v>
      </c>
      <c r="C89" s="668"/>
      <c r="D89" s="658">
        <v>0.1612792019813569</v>
      </c>
      <c r="E89" s="659">
        <v>5</v>
      </c>
      <c r="F89" s="659">
        <v>214</v>
      </c>
      <c r="G89" s="660">
        <v>3.83</v>
      </c>
      <c r="H89" s="661">
        <f t="shared" si="1"/>
        <v>-5.2200000000000006</v>
      </c>
      <c r="I89" s="690"/>
      <c r="J89" s="684"/>
      <c r="K89" s="684"/>
      <c r="L89" s="685"/>
      <c r="M89" s="674" t="s">
        <v>196</v>
      </c>
      <c r="N89" s="596"/>
      <c r="O89" s="596"/>
      <c r="P89" s="596"/>
      <c r="Q89" s="596"/>
      <c r="R89" s="596"/>
      <c r="S89" s="596"/>
      <c r="T89" s="596"/>
      <c r="U89" s="596"/>
      <c r="V89" s="596"/>
      <c r="W89" s="596"/>
      <c r="X89" s="596"/>
      <c r="Y89" s="596"/>
      <c r="Z89" s="596"/>
      <c r="AA89" s="596"/>
      <c r="AB89" s="596"/>
    </row>
    <row r="90" spans="1:28" ht="16.25" customHeight="1">
      <c r="A90" s="675" t="s">
        <v>197</v>
      </c>
      <c r="B90" s="656">
        <v>-3.2188754963534989</v>
      </c>
      <c r="C90" s="668"/>
      <c r="D90" s="658">
        <v>0.13869006117838051</v>
      </c>
      <c r="E90" s="659">
        <v>3</v>
      </c>
      <c r="F90" s="659">
        <v>176</v>
      </c>
      <c r="G90" s="660">
        <v>2.88</v>
      </c>
      <c r="H90" s="661">
        <f t="shared" si="1"/>
        <v>-3.8899999999999997</v>
      </c>
      <c r="I90" s="690"/>
      <c r="J90" s="684"/>
      <c r="K90" s="684"/>
      <c r="L90" s="685"/>
      <c r="M90" s="674" t="s">
        <v>198</v>
      </c>
      <c r="N90" s="596"/>
      <c r="O90" s="596"/>
      <c r="P90" s="596"/>
      <c r="Q90" s="596"/>
      <c r="R90" s="596"/>
      <c r="S90" s="596"/>
      <c r="T90" s="596"/>
      <c r="U90" s="596"/>
      <c r="V90" s="596"/>
      <c r="W90" s="596"/>
      <c r="X90" s="596"/>
      <c r="Y90" s="596"/>
      <c r="Z90" s="596"/>
      <c r="AA90" s="596"/>
      <c r="AB90" s="596"/>
    </row>
    <row r="91" spans="1:28" ht="16.25" customHeight="1">
      <c r="A91" s="667" t="s">
        <v>199</v>
      </c>
      <c r="B91" s="656">
        <v>-3.0021583619961731</v>
      </c>
      <c r="C91" s="668"/>
      <c r="D91" s="658">
        <v>0.1259834086188602</v>
      </c>
      <c r="E91" s="659">
        <v>14</v>
      </c>
      <c r="F91" s="659">
        <v>253.5</v>
      </c>
      <c r="G91" s="660">
        <v>1.54</v>
      </c>
      <c r="H91" s="661">
        <f t="shared" si="1"/>
        <v>-3.3250000000000002</v>
      </c>
      <c r="I91" s="690"/>
      <c r="J91" s="684"/>
      <c r="K91" s="684"/>
      <c r="L91" s="685"/>
      <c r="M91" s="674" t="s">
        <v>200</v>
      </c>
      <c r="N91" s="596"/>
      <c r="O91" s="596"/>
      <c r="P91" s="596"/>
      <c r="Q91" s="596"/>
      <c r="R91" s="596"/>
      <c r="S91" s="596"/>
      <c r="T91" s="596"/>
      <c r="U91" s="596"/>
      <c r="V91" s="596"/>
      <c r="W91" s="596"/>
      <c r="X91" s="596"/>
      <c r="Y91" s="596"/>
      <c r="Z91" s="596"/>
      <c r="AA91" s="596"/>
      <c r="AB91" s="596"/>
    </row>
    <row r="92" spans="1:28" ht="16.25" customHeight="1">
      <c r="A92" s="655" t="s">
        <v>201</v>
      </c>
      <c r="B92" s="656">
        <v>-3.4641397848869921</v>
      </c>
      <c r="C92" s="668"/>
      <c r="D92" s="658">
        <v>0.16504944177542519</v>
      </c>
      <c r="E92" s="659">
        <v>5</v>
      </c>
      <c r="F92" s="659">
        <v>205.5</v>
      </c>
      <c r="G92" s="660">
        <v>2.4500000000000002</v>
      </c>
      <c r="H92" s="661">
        <f t="shared" si="1"/>
        <v>-3.7549999999999999</v>
      </c>
      <c r="I92" s="690"/>
      <c r="J92" s="684"/>
      <c r="K92" s="684"/>
      <c r="L92" s="685"/>
      <c r="M92" s="674" t="s">
        <v>202</v>
      </c>
      <c r="N92" s="596"/>
      <c r="O92" s="596"/>
      <c r="P92" s="596"/>
      <c r="Q92" s="596"/>
      <c r="R92" s="596"/>
      <c r="S92" s="596"/>
      <c r="T92" s="596"/>
      <c r="U92" s="596"/>
      <c r="V92" s="596"/>
      <c r="W92" s="596"/>
      <c r="X92" s="596"/>
      <c r="Y92" s="596"/>
      <c r="Z92" s="596"/>
      <c r="AA92" s="596"/>
      <c r="AB92" s="596"/>
    </row>
    <row r="93" spans="1:28" ht="16.25" customHeight="1">
      <c r="A93" s="675" t="s">
        <v>203</v>
      </c>
      <c r="B93" s="656">
        <v>-4.1057967537986491</v>
      </c>
      <c r="C93" s="668"/>
      <c r="D93" s="658">
        <v>0.19426266518058349</v>
      </c>
      <c r="E93" s="659">
        <v>3</v>
      </c>
      <c r="F93" s="659">
        <v>96</v>
      </c>
      <c r="G93" s="660">
        <v>3.49</v>
      </c>
      <c r="H93" s="661">
        <f t="shared" si="1"/>
        <v>-3.7</v>
      </c>
      <c r="I93" s="690"/>
      <c r="J93" s="684"/>
      <c r="K93" s="684"/>
      <c r="L93" s="685"/>
      <c r="M93" s="674" t="s">
        <v>204</v>
      </c>
      <c r="N93" s="596"/>
      <c r="O93" s="596"/>
      <c r="P93" s="596"/>
      <c r="Q93" s="596"/>
      <c r="R93" s="596"/>
      <c r="S93" s="596"/>
      <c r="T93" s="596"/>
      <c r="U93" s="596"/>
      <c r="V93" s="596"/>
      <c r="W93" s="596"/>
      <c r="X93" s="596"/>
      <c r="Y93" s="596"/>
      <c r="Z93" s="596"/>
      <c r="AA93" s="596"/>
      <c r="AB93" s="596"/>
    </row>
    <row r="94" spans="1:28" ht="16.25" customHeight="1">
      <c r="A94" s="655" t="s">
        <v>205</v>
      </c>
      <c r="B94" s="656">
        <v>-5.1047049787735954</v>
      </c>
      <c r="C94" s="668"/>
      <c r="D94" s="658">
        <v>0.18894337149737059</v>
      </c>
      <c r="E94" s="659">
        <v>12</v>
      </c>
      <c r="F94" s="659">
        <v>147.25</v>
      </c>
      <c r="G94" s="660">
        <v>3.86</v>
      </c>
      <c r="H94" s="661">
        <f t="shared" si="1"/>
        <v>-4.5824999999999996</v>
      </c>
      <c r="I94" s="690"/>
      <c r="J94" s="684"/>
      <c r="K94" s="684"/>
      <c r="L94" s="685"/>
      <c r="M94" s="674" t="s">
        <v>206</v>
      </c>
      <c r="N94" s="596"/>
      <c r="O94" s="596"/>
      <c r="P94" s="596"/>
      <c r="Q94" s="596"/>
      <c r="R94" s="596"/>
      <c r="S94" s="596"/>
      <c r="T94" s="596"/>
      <c r="U94" s="596"/>
      <c r="V94" s="596"/>
      <c r="W94" s="596"/>
      <c r="X94" s="596"/>
      <c r="Y94" s="596"/>
      <c r="Z94" s="596"/>
      <c r="AA94" s="596"/>
      <c r="AB94" s="596"/>
    </row>
    <row r="95" spans="1:28" ht="16.25" customHeight="1">
      <c r="A95" s="655" t="s">
        <v>207</v>
      </c>
      <c r="B95" s="656">
        <v>-3.996862969268935</v>
      </c>
      <c r="C95" s="668"/>
      <c r="D95" s="658">
        <v>0.17391407185160321</v>
      </c>
      <c r="E95" s="659">
        <v>6</v>
      </c>
      <c r="F95" s="659">
        <v>97</v>
      </c>
      <c r="G95" s="660">
        <v>3.94</v>
      </c>
      <c r="H95" s="661">
        <f t="shared" si="1"/>
        <v>-4.16</v>
      </c>
      <c r="I95" s="690"/>
      <c r="J95" s="684"/>
      <c r="K95" s="684"/>
      <c r="L95" s="685"/>
      <c r="M95" s="674" t="s">
        <v>208</v>
      </c>
      <c r="N95" s="596"/>
      <c r="O95" s="596"/>
      <c r="P95" s="596"/>
      <c r="Q95" s="596"/>
      <c r="R95" s="596"/>
      <c r="S95" s="596"/>
      <c r="T95" s="596"/>
      <c r="U95" s="596"/>
      <c r="V95" s="596"/>
      <c r="W95" s="596"/>
      <c r="X95" s="596"/>
      <c r="Y95" s="596"/>
      <c r="Z95" s="596"/>
      <c r="AA95" s="596"/>
      <c r="AB95" s="596"/>
    </row>
    <row r="96" spans="1:28" ht="16.25" customHeight="1">
      <c r="A96" s="667" t="s">
        <v>209</v>
      </c>
      <c r="B96" s="656">
        <v>-2.3759873827603331</v>
      </c>
      <c r="C96" s="668"/>
      <c r="D96" s="658">
        <v>0.13764369691033659</v>
      </c>
      <c r="E96" s="659">
        <v>10</v>
      </c>
      <c r="F96" s="659">
        <v>134.5</v>
      </c>
      <c r="G96" s="660">
        <v>2.04</v>
      </c>
      <c r="H96" s="661">
        <f t="shared" si="1"/>
        <v>-2.6349999999999998</v>
      </c>
      <c r="I96" s="690"/>
      <c r="J96" s="684"/>
      <c r="K96" s="684"/>
      <c r="L96" s="685"/>
      <c r="M96" s="674" t="s">
        <v>210</v>
      </c>
      <c r="N96" s="596"/>
      <c r="O96" s="596"/>
      <c r="P96" s="596"/>
      <c r="Q96" s="596"/>
      <c r="R96" s="596"/>
      <c r="S96" s="596"/>
      <c r="T96" s="596"/>
      <c r="U96" s="596"/>
      <c r="V96" s="596"/>
      <c r="W96" s="596"/>
      <c r="X96" s="596"/>
      <c r="Y96" s="596"/>
      <c r="Z96" s="596"/>
      <c r="AA96" s="596"/>
      <c r="AB96" s="596"/>
    </row>
    <row r="97" spans="1:28" ht="16.25" customHeight="1">
      <c r="A97" s="655" t="s">
        <v>211</v>
      </c>
      <c r="B97" s="656">
        <v>-3.1151018529324288</v>
      </c>
      <c r="C97" s="668"/>
      <c r="D97" s="658">
        <v>0.1624574688859145</v>
      </c>
      <c r="E97" s="659">
        <v>7</v>
      </c>
      <c r="F97" s="659">
        <v>139</v>
      </c>
      <c r="G97" s="660">
        <v>2.66</v>
      </c>
      <c r="H97" s="661">
        <f t="shared" si="1"/>
        <v>-3.3000000000000003</v>
      </c>
      <c r="I97" s="690"/>
      <c r="J97" s="684"/>
      <c r="K97" s="684"/>
      <c r="L97" s="685"/>
      <c r="M97" s="674" t="s">
        <v>212</v>
      </c>
      <c r="N97" s="596"/>
      <c r="O97" s="596"/>
      <c r="P97" s="596"/>
      <c r="Q97" s="596"/>
      <c r="R97" s="596"/>
      <c r="S97" s="596"/>
      <c r="T97" s="596"/>
      <c r="U97" s="596"/>
      <c r="V97" s="596"/>
      <c r="W97" s="596"/>
      <c r="X97" s="596"/>
      <c r="Y97" s="596"/>
      <c r="Z97" s="596"/>
      <c r="AA97" s="596"/>
      <c r="AB97" s="596"/>
    </row>
    <row r="98" spans="1:28" ht="16.25" customHeight="1">
      <c r="A98" s="655" t="s">
        <v>213</v>
      </c>
      <c r="B98" s="656">
        <v>-2.3599541183663502</v>
      </c>
      <c r="C98" s="668"/>
      <c r="D98" s="658">
        <v>0.15322122505052199</v>
      </c>
      <c r="E98" s="659">
        <v>9</v>
      </c>
      <c r="F98" s="659">
        <v>170</v>
      </c>
      <c r="G98" s="660">
        <v>1.91</v>
      </c>
      <c r="H98" s="661">
        <f t="shared" si="1"/>
        <v>-2.86</v>
      </c>
      <c r="I98" s="690"/>
      <c r="J98" s="684"/>
      <c r="K98" s="684"/>
      <c r="L98" s="685"/>
      <c r="M98" s="674" t="s">
        <v>214</v>
      </c>
      <c r="N98" s="596"/>
      <c r="O98" s="596"/>
      <c r="P98" s="596"/>
      <c r="Q98" s="596"/>
      <c r="R98" s="596"/>
      <c r="S98" s="596"/>
      <c r="T98" s="596"/>
      <c r="U98" s="596"/>
      <c r="V98" s="596"/>
      <c r="W98" s="596"/>
      <c r="X98" s="596"/>
      <c r="Y98" s="596"/>
      <c r="Z98" s="596"/>
      <c r="AA98" s="596"/>
      <c r="AB98" s="596"/>
    </row>
    <row r="99" spans="1:28" ht="16.25" customHeight="1">
      <c r="A99" s="667" t="s">
        <v>215</v>
      </c>
      <c r="B99" s="656">
        <v>-3.7855762689634771</v>
      </c>
      <c r="C99" s="668"/>
      <c r="D99" s="658">
        <v>0.15273607916541071</v>
      </c>
      <c r="E99" s="659">
        <v>10</v>
      </c>
      <c r="F99" s="659">
        <v>326</v>
      </c>
      <c r="G99" s="660">
        <v>2.44</v>
      </c>
      <c r="H99" s="661">
        <f t="shared" si="1"/>
        <v>-4.95</v>
      </c>
      <c r="I99" s="690"/>
      <c r="J99" s="684"/>
      <c r="K99" s="684"/>
      <c r="L99" s="685"/>
      <c r="M99" s="674" t="s">
        <v>216</v>
      </c>
      <c r="N99" s="596"/>
      <c r="O99" s="596"/>
      <c r="P99" s="596"/>
      <c r="Q99" s="596"/>
      <c r="R99" s="596"/>
      <c r="S99" s="596"/>
      <c r="T99" s="596"/>
      <c r="U99" s="596"/>
      <c r="V99" s="596"/>
      <c r="W99" s="596"/>
      <c r="X99" s="596"/>
      <c r="Y99" s="596"/>
      <c r="Z99" s="596"/>
      <c r="AA99" s="596"/>
      <c r="AB99" s="596"/>
    </row>
    <row r="100" spans="1:28" ht="16.25" customHeight="1">
      <c r="A100" s="655" t="s">
        <v>217</v>
      </c>
      <c r="B100" s="656">
        <v>-3.6315517818689802</v>
      </c>
      <c r="C100" s="668"/>
      <c r="D100" s="658">
        <v>0.1840470151210245</v>
      </c>
      <c r="E100" s="659">
        <v>5</v>
      </c>
      <c r="F100" s="659">
        <v>232.5</v>
      </c>
      <c r="G100" s="660">
        <v>1.8</v>
      </c>
      <c r="H100" s="661">
        <f t="shared" si="1"/>
        <v>-3.375</v>
      </c>
      <c r="I100" s="690"/>
      <c r="J100" s="684"/>
      <c r="K100" s="684"/>
      <c r="L100" s="685"/>
      <c r="M100" s="674" t="s">
        <v>218</v>
      </c>
      <c r="N100" s="596"/>
      <c r="O100" s="596"/>
      <c r="P100" s="596"/>
      <c r="Q100" s="596"/>
      <c r="R100" s="596"/>
      <c r="S100" s="596"/>
      <c r="T100" s="596"/>
      <c r="U100" s="596"/>
      <c r="V100" s="596"/>
      <c r="W100" s="596"/>
      <c r="X100" s="596"/>
      <c r="Y100" s="596"/>
      <c r="Z100" s="596"/>
      <c r="AA100" s="596"/>
      <c r="AB100" s="596"/>
    </row>
    <row r="101" spans="1:28" ht="16.25" customHeight="1">
      <c r="A101" s="655" t="s">
        <v>219</v>
      </c>
      <c r="B101" s="656">
        <v>-2.070398643101552</v>
      </c>
      <c r="C101" s="668"/>
      <c r="D101" s="658">
        <v>0.13604063752604381</v>
      </c>
      <c r="E101" s="659">
        <v>4</v>
      </c>
      <c r="F101" s="659">
        <v>281.5</v>
      </c>
      <c r="G101" s="660">
        <v>0.54</v>
      </c>
      <c r="H101" s="661">
        <f t="shared" si="1"/>
        <v>-2.605</v>
      </c>
      <c r="I101" s="690"/>
      <c r="J101" s="684"/>
      <c r="K101" s="684"/>
      <c r="L101" s="685"/>
      <c r="M101" s="674" t="s">
        <v>220</v>
      </c>
      <c r="N101" s="596"/>
      <c r="O101" s="596"/>
      <c r="P101" s="596"/>
      <c r="Q101" s="596"/>
      <c r="R101" s="596"/>
      <c r="S101" s="596"/>
      <c r="T101" s="596"/>
      <c r="U101" s="596"/>
      <c r="V101" s="596"/>
      <c r="W101" s="596"/>
      <c r="X101" s="596"/>
      <c r="Y101" s="596"/>
      <c r="Z101" s="596"/>
      <c r="AA101" s="596"/>
      <c r="AB101" s="596"/>
    </row>
    <row r="102" spans="1:28" ht="16.25" customHeight="1">
      <c r="A102" s="655" t="s">
        <v>221</v>
      </c>
      <c r="B102" s="656">
        <v>-2.820135931639542</v>
      </c>
      <c r="C102" s="668"/>
      <c r="D102" s="658">
        <v>0.19798964803022481</v>
      </c>
      <c r="E102" s="659">
        <v>4</v>
      </c>
      <c r="F102" s="659">
        <v>197.1</v>
      </c>
      <c r="G102" s="660">
        <v>2.2000000000000002</v>
      </c>
      <c r="H102" s="661">
        <f t="shared" si="1"/>
        <v>-3.4210000000000003</v>
      </c>
      <c r="I102" s="690"/>
      <c r="J102" s="684"/>
      <c r="K102" s="684"/>
      <c r="L102" s="685"/>
      <c r="M102" s="674" t="s">
        <v>222</v>
      </c>
      <c r="N102" s="596"/>
      <c r="O102" s="596"/>
      <c r="P102" s="596"/>
      <c r="Q102" s="596"/>
      <c r="R102" s="596"/>
      <c r="S102" s="596"/>
      <c r="T102" s="596"/>
      <c r="U102" s="596"/>
      <c r="V102" s="596"/>
      <c r="W102" s="596"/>
      <c r="X102" s="596"/>
      <c r="Y102" s="596"/>
      <c r="Z102" s="596"/>
      <c r="AA102" s="596"/>
      <c r="AB102" s="596"/>
    </row>
    <row r="103" spans="1:28" ht="16.25" customHeight="1">
      <c r="A103" s="675" t="s">
        <v>223</v>
      </c>
      <c r="B103" s="656">
        <v>-4.2046194539716293</v>
      </c>
      <c r="C103" s="668"/>
      <c r="D103" s="658">
        <v>0.1348672002073914</v>
      </c>
      <c r="E103" s="659">
        <v>4</v>
      </c>
      <c r="F103" s="659">
        <v>33</v>
      </c>
      <c r="G103" s="660">
        <v>4.24</v>
      </c>
      <c r="H103" s="661">
        <f t="shared" si="1"/>
        <v>-3.8200000000000003</v>
      </c>
      <c r="I103" s="690"/>
      <c r="J103" s="684"/>
      <c r="K103" s="684"/>
      <c r="L103" s="685"/>
      <c r="M103" s="674" t="s">
        <v>224</v>
      </c>
      <c r="N103" s="596"/>
      <c r="O103" s="596"/>
      <c r="P103" s="596"/>
      <c r="Q103" s="596"/>
      <c r="R103" s="596"/>
      <c r="S103" s="596"/>
      <c r="T103" s="596"/>
      <c r="U103" s="596"/>
      <c r="V103" s="596"/>
      <c r="W103" s="596"/>
      <c r="X103" s="596"/>
      <c r="Y103" s="596"/>
      <c r="Z103" s="596"/>
      <c r="AA103" s="596"/>
      <c r="AB103" s="596"/>
    </row>
    <row r="104" spans="1:28" ht="16.25" customHeight="1">
      <c r="A104" s="655" t="s">
        <v>225</v>
      </c>
      <c r="B104" s="656">
        <v>-4.0172721727973872</v>
      </c>
      <c r="C104" s="668"/>
      <c r="D104" s="658">
        <v>0.18801274760604281</v>
      </c>
      <c r="E104" s="659">
        <v>11</v>
      </c>
      <c r="F104" s="659">
        <v>60</v>
      </c>
      <c r="G104" s="660">
        <v>4.24</v>
      </c>
      <c r="H104" s="661">
        <f t="shared" si="1"/>
        <v>-4.09</v>
      </c>
      <c r="I104" s="690"/>
      <c r="J104" s="684"/>
      <c r="K104" s="684"/>
      <c r="L104" s="685"/>
      <c r="M104" s="674" t="s">
        <v>226</v>
      </c>
      <c r="N104" s="596"/>
      <c r="O104" s="596"/>
      <c r="P104" s="596"/>
      <c r="Q104" s="596"/>
      <c r="R104" s="596"/>
      <c r="S104" s="596"/>
      <c r="T104" s="596"/>
      <c r="U104" s="596"/>
      <c r="V104" s="596"/>
      <c r="W104" s="596"/>
      <c r="X104" s="596"/>
      <c r="Y104" s="596"/>
      <c r="Z104" s="596"/>
      <c r="AA104" s="596"/>
      <c r="AB104" s="596"/>
    </row>
    <row r="105" spans="1:28" ht="16.25" customHeight="1">
      <c r="A105" s="655" t="s">
        <v>227</v>
      </c>
      <c r="B105" s="656">
        <v>-4.9638959172543249</v>
      </c>
      <c r="C105" s="668"/>
      <c r="D105" s="658">
        <v>0.1664014074224209</v>
      </c>
      <c r="E105" s="659">
        <v>4</v>
      </c>
      <c r="F105" s="659">
        <v>130.5</v>
      </c>
      <c r="G105" s="660">
        <v>5.22</v>
      </c>
      <c r="H105" s="661">
        <f t="shared" si="1"/>
        <v>-5.7749999999999995</v>
      </c>
      <c r="I105" s="690"/>
      <c r="J105" s="684"/>
      <c r="K105" s="684"/>
      <c r="L105" s="685"/>
      <c r="M105" s="674" t="s">
        <v>228</v>
      </c>
      <c r="N105" s="596"/>
      <c r="O105" s="596"/>
      <c r="P105" s="596"/>
      <c r="Q105" s="596"/>
      <c r="R105" s="596"/>
      <c r="S105" s="596"/>
      <c r="T105" s="596"/>
      <c r="U105" s="596"/>
      <c r="V105" s="596"/>
      <c r="W105" s="596"/>
      <c r="X105" s="596"/>
      <c r="Y105" s="596"/>
      <c r="Z105" s="596"/>
      <c r="AA105" s="596"/>
      <c r="AB105" s="596"/>
    </row>
    <row r="106" spans="1:28" ht="16.25" customHeight="1">
      <c r="A106" s="675" t="s">
        <v>103</v>
      </c>
      <c r="B106" s="656">
        <v>-2.831058404889883</v>
      </c>
      <c r="C106" s="668"/>
      <c r="D106" s="658">
        <v>0.1750647213610001</v>
      </c>
      <c r="E106" s="659">
        <v>7</v>
      </c>
      <c r="F106" s="659">
        <v>254</v>
      </c>
      <c r="G106" s="660">
        <v>2.97</v>
      </c>
      <c r="H106" s="661">
        <f t="shared" si="1"/>
        <v>-4.76</v>
      </c>
      <c r="I106" s="690"/>
      <c r="J106" s="684"/>
      <c r="K106" s="684"/>
      <c r="L106" s="685"/>
      <c r="M106" s="674" t="s">
        <v>229</v>
      </c>
      <c r="N106" s="596"/>
      <c r="O106" s="596"/>
      <c r="P106" s="596"/>
      <c r="Q106" s="596"/>
      <c r="R106" s="596"/>
      <c r="S106" s="596"/>
      <c r="T106" s="596"/>
      <c r="U106" s="596"/>
      <c r="V106" s="596"/>
      <c r="W106" s="596"/>
      <c r="X106" s="596"/>
      <c r="Y106" s="596"/>
      <c r="Z106" s="596"/>
      <c r="AA106" s="596"/>
      <c r="AB106" s="596"/>
    </row>
    <row r="107" spans="1:28" ht="16.25" customHeight="1">
      <c r="A107" s="675" t="s">
        <v>230</v>
      </c>
      <c r="B107" s="656">
        <v>-4.3113586875740566</v>
      </c>
      <c r="C107" s="668"/>
      <c r="D107" s="658">
        <v>0.1605416460069265</v>
      </c>
      <c r="E107" s="659">
        <v>5</v>
      </c>
      <c r="F107" s="659">
        <v>121</v>
      </c>
      <c r="G107" s="660">
        <v>5.91</v>
      </c>
      <c r="H107" s="661">
        <f t="shared" si="1"/>
        <v>-6.37</v>
      </c>
      <c r="I107" s="690"/>
      <c r="J107" s="684"/>
      <c r="K107" s="684"/>
      <c r="L107" s="685"/>
      <c r="M107" s="674" t="s">
        <v>231</v>
      </c>
      <c r="N107" s="596"/>
      <c r="O107" s="596"/>
      <c r="P107" s="596"/>
      <c r="Q107" s="596"/>
      <c r="R107" s="596"/>
      <c r="S107" s="596"/>
      <c r="T107" s="596"/>
      <c r="U107" s="596"/>
      <c r="V107" s="596"/>
      <c r="W107" s="596"/>
      <c r="X107" s="596"/>
      <c r="Y107" s="596"/>
      <c r="Z107" s="596"/>
      <c r="AA107" s="596"/>
      <c r="AB107" s="596"/>
    </row>
    <row r="108" spans="1:28" ht="16.25" customHeight="1">
      <c r="A108" s="655" t="s">
        <v>232</v>
      </c>
      <c r="B108" s="656">
        <v>-4.2468414205018608</v>
      </c>
      <c r="C108" s="668"/>
      <c r="D108" s="658">
        <v>0.15756984748208769</v>
      </c>
      <c r="E108" s="659">
        <v>5</v>
      </c>
      <c r="F108" s="659">
        <v>207</v>
      </c>
      <c r="G108" s="660">
        <v>2.56</v>
      </c>
      <c r="H108" s="661">
        <f t="shared" si="1"/>
        <v>-3.88</v>
      </c>
      <c r="I108" s="690"/>
      <c r="J108" s="684"/>
      <c r="K108" s="684"/>
      <c r="L108" s="685"/>
      <c r="M108" s="674" t="s">
        <v>233</v>
      </c>
      <c r="N108" s="596"/>
      <c r="O108" s="596"/>
      <c r="P108" s="596"/>
      <c r="Q108" s="596"/>
      <c r="R108" s="596"/>
      <c r="S108" s="596"/>
      <c r="T108" s="596"/>
      <c r="U108" s="596"/>
      <c r="V108" s="596"/>
      <c r="W108" s="596"/>
      <c r="X108" s="596"/>
      <c r="Y108" s="596"/>
      <c r="Z108" s="596"/>
      <c r="AA108" s="596"/>
      <c r="AB108" s="596"/>
    </row>
    <row r="109" spans="1:28" ht="16.25" customHeight="1">
      <c r="A109" s="667" t="s">
        <v>234</v>
      </c>
      <c r="B109" s="656">
        <v>-4.8746327773243978</v>
      </c>
      <c r="C109" s="668"/>
      <c r="D109" s="658">
        <v>0.16160362353179639</v>
      </c>
      <c r="E109" s="659">
        <v>6</v>
      </c>
      <c r="F109" s="659">
        <v>134.5</v>
      </c>
      <c r="G109" s="660">
        <v>4.8499999999999996</v>
      </c>
      <c r="H109" s="661">
        <f t="shared" si="1"/>
        <v>-5.4449999999999994</v>
      </c>
      <c r="I109" s="690"/>
      <c r="J109" s="684"/>
      <c r="K109" s="684"/>
      <c r="L109" s="685"/>
      <c r="M109" s="674" t="s">
        <v>235</v>
      </c>
      <c r="N109" s="596"/>
      <c r="O109" s="596"/>
      <c r="P109" s="596"/>
      <c r="Q109" s="596"/>
      <c r="R109" s="596"/>
      <c r="S109" s="596"/>
      <c r="T109" s="596"/>
      <c r="U109" s="596"/>
      <c r="V109" s="596"/>
      <c r="W109" s="596"/>
      <c r="X109" s="596"/>
      <c r="Y109" s="596"/>
      <c r="Z109" s="596"/>
      <c r="AA109" s="596"/>
      <c r="AB109" s="596"/>
    </row>
    <row r="110" spans="1:28" ht="16.25" customHeight="1">
      <c r="A110" s="667" t="s">
        <v>236</v>
      </c>
      <c r="B110" s="656">
        <v>-2.8310380675831919</v>
      </c>
      <c r="C110" s="668"/>
      <c r="D110" s="658">
        <v>0.1868576582767395</v>
      </c>
      <c r="E110" s="659">
        <v>6</v>
      </c>
      <c r="F110" s="659">
        <v>275</v>
      </c>
      <c r="G110" s="660">
        <v>2.09</v>
      </c>
      <c r="H110" s="661">
        <f t="shared" si="1"/>
        <v>-4.09</v>
      </c>
      <c r="I110" s="690"/>
      <c r="J110" s="684"/>
      <c r="K110" s="684"/>
      <c r="L110" s="685"/>
      <c r="M110" s="674" t="s">
        <v>237</v>
      </c>
      <c r="N110" s="596"/>
      <c r="O110" s="596"/>
      <c r="P110" s="596"/>
      <c r="Q110" s="596"/>
      <c r="R110" s="596"/>
      <c r="S110" s="596"/>
      <c r="T110" s="596"/>
      <c r="U110" s="596"/>
      <c r="V110" s="596"/>
      <c r="W110" s="596"/>
      <c r="X110" s="596"/>
      <c r="Y110" s="596"/>
      <c r="Z110" s="596"/>
      <c r="AA110" s="596"/>
      <c r="AB110" s="596"/>
    </row>
    <row r="111" spans="1:28" ht="16.25" customHeight="1">
      <c r="A111" s="655" t="s">
        <v>238</v>
      </c>
      <c r="B111" s="656">
        <v>-4.6007853128420892</v>
      </c>
      <c r="C111" s="668"/>
      <c r="D111" s="658">
        <v>0.13950112944748669</v>
      </c>
      <c r="E111" s="659">
        <v>9</v>
      </c>
      <c r="F111" s="659">
        <v>220</v>
      </c>
      <c r="G111" s="660">
        <v>1.8</v>
      </c>
      <c r="H111" s="661">
        <f t="shared" si="1"/>
        <v>-3.25</v>
      </c>
      <c r="I111" s="690"/>
      <c r="J111" s="684"/>
      <c r="K111" s="684"/>
      <c r="L111" s="685"/>
      <c r="M111" s="674" t="s">
        <v>239</v>
      </c>
      <c r="N111" s="596"/>
      <c r="O111" s="596"/>
      <c r="P111" s="596"/>
      <c r="Q111" s="596"/>
      <c r="R111" s="596"/>
      <c r="S111" s="596"/>
      <c r="T111" s="596"/>
      <c r="U111" s="596"/>
      <c r="V111" s="596"/>
      <c r="W111" s="596"/>
      <c r="X111" s="596"/>
      <c r="Y111" s="596"/>
      <c r="Z111" s="596"/>
      <c r="AA111" s="596"/>
      <c r="AB111" s="596"/>
    </row>
    <row r="112" spans="1:28" ht="16.25" customHeight="1">
      <c r="A112" s="667" t="s">
        <v>240</v>
      </c>
      <c r="B112" s="656">
        <v>-3.1394766909553011</v>
      </c>
      <c r="C112" s="668"/>
      <c r="D112" s="658">
        <v>0.2201400504687098</v>
      </c>
      <c r="E112" s="659">
        <v>9</v>
      </c>
      <c r="F112" s="659">
        <v>202</v>
      </c>
      <c r="G112" s="660">
        <v>1.53</v>
      </c>
      <c r="H112" s="661">
        <f t="shared" si="1"/>
        <v>-2.8</v>
      </c>
      <c r="I112" s="690"/>
      <c r="J112" s="684"/>
      <c r="K112" s="684"/>
      <c r="L112" s="685"/>
      <c r="M112" s="674" t="s">
        <v>241</v>
      </c>
      <c r="N112" s="596"/>
      <c r="O112" s="596"/>
      <c r="P112" s="596"/>
      <c r="Q112" s="596"/>
      <c r="R112" s="596"/>
      <c r="S112" s="596"/>
      <c r="T112" s="596"/>
      <c r="U112" s="596"/>
      <c r="V112" s="596"/>
      <c r="W112" s="596"/>
      <c r="X112" s="596"/>
      <c r="Y112" s="596"/>
      <c r="Z112" s="596"/>
      <c r="AA112" s="596"/>
      <c r="AB112" s="596"/>
    </row>
    <row r="113" spans="1:28" ht="16.25" customHeight="1">
      <c r="A113" s="655" t="s">
        <v>242</v>
      </c>
      <c r="B113" s="656">
        <v>-2.528010034387675</v>
      </c>
      <c r="C113" s="668"/>
      <c r="D113" s="658">
        <v>0.14014083879485539</v>
      </c>
      <c r="E113" s="659">
        <v>3</v>
      </c>
      <c r="F113" s="659">
        <v>243</v>
      </c>
      <c r="G113" s="660">
        <v>1.48</v>
      </c>
      <c r="H113" s="661">
        <f t="shared" si="1"/>
        <v>-3.16</v>
      </c>
      <c r="I113" s="690"/>
      <c r="J113" s="684"/>
      <c r="K113" s="684"/>
      <c r="L113" s="685"/>
      <c r="M113" s="674" t="s">
        <v>243</v>
      </c>
      <c r="N113" s="596"/>
      <c r="O113" s="596"/>
      <c r="P113" s="596"/>
      <c r="Q113" s="596"/>
      <c r="R113" s="596"/>
      <c r="S113" s="596"/>
      <c r="T113" s="596"/>
      <c r="U113" s="596"/>
      <c r="V113" s="596"/>
      <c r="W113" s="596"/>
      <c r="X113" s="596"/>
      <c r="Y113" s="596"/>
      <c r="Z113" s="596"/>
      <c r="AA113" s="596"/>
      <c r="AB113" s="596"/>
    </row>
    <row r="114" spans="1:28" ht="16.25" customHeight="1">
      <c r="A114" s="675" t="s">
        <v>244</v>
      </c>
      <c r="B114" s="656">
        <v>-2.7152113826881248</v>
      </c>
      <c r="C114" s="668"/>
      <c r="D114" s="658">
        <v>0.13726989684757951</v>
      </c>
      <c r="E114" s="659">
        <v>3</v>
      </c>
      <c r="F114" s="659">
        <v>191</v>
      </c>
      <c r="G114" s="660">
        <v>1.67</v>
      </c>
      <c r="H114" s="661">
        <f t="shared" si="1"/>
        <v>-2.83</v>
      </c>
      <c r="I114" s="690"/>
      <c r="J114" s="684"/>
      <c r="K114" s="684"/>
      <c r="L114" s="685"/>
      <c r="M114" s="674" t="s">
        <v>245</v>
      </c>
      <c r="N114" s="596"/>
      <c r="O114" s="596"/>
      <c r="P114" s="596"/>
      <c r="Q114" s="596"/>
      <c r="R114" s="596"/>
      <c r="S114" s="596"/>
      <c r="T114" s="596"/>
      <c r="U114" s="596"/>
      <c r="V114" s="596"/>
      <c r="W114" s="596"/>
      <c r="X114" s="596"/>
      <c r="Y114" s="596"/>
      <c r="Z114" s="596"/>
      <c r="AA114" s="596"/>
      <c r="AB114" s="596"/>
    </row>
    <row r="115" spans="1:28" ht="16.25" customHeight="1">
      <c r="A115" s="655" t="s">
        <v>246</v>
      </c>
      <c r="B115" s="656">
        <v>-4.8139553534275574</v>
      </c>
      <c r="C115" s="668"/>
      <c r="D115" s="658">
        <v>0.21357402153711519</v>
      </c>
      <c r="E115" s="659">
        <v>7</v>
      </c>
      <c r="F115" s="659">
        <v>183.5</v>
      </c>
      <c r="G115" s="660">
        <v>4.37</v>
      </c>
      <c r="H115" s="661">
        <f t="shared" si="1"/>
        <v>-5.4550000000000001</v>
      </c>
      <c r="I115" s="690"/>
      <c r="J115" s="684"/>
      <c r="K115" s="684"/>
      <c r="L115" s="685"/>
      <c r="M115" s="674" t="s">
        <v>247</v>
      </c>
      <c r="N115" s="596"/>
      <c r="O115" s="596"/>
      <c r="P115" s="596"/>
      <c r="Q115" s="596"/>
      <c r="R115" s="596"/>
      <c r="S115" s="596"/>
      <c r="T115" s="596"/>
      <c r="U115" s="596"/>
      <c r="V115" s="596"/>
      <c r="W115" s="596"/>
      <c r="X115" s="596"/>
      <c r="Y115" s="596"/>
      <c r="Z115" s="596"/>
      <c r="AA115" s="596"/>
      <c r="AB115" s="596"/>
    </row>
    <row r="116" spans="1:28" ht="16.25" customHeight="1">
      <c r="A116" s="655" t="s">
        <v>248</v>
      </c>
      <c r="B116" s="656">
        <v>-2.9037986173436661</v>
      </c>
      <c r="C116" s="668"/>
      <c r="D116" s="658">
        <v>0.10564411177747909</v>
      </c>
      <c r="E116" s="659">
        <v>3</v>
      </c>
      <c r="F116" s="659">
        <v>149</v>
      </c>
      <c r="G116" s="660">
        <v>2.62</v>
      </c>
      <c r="H116" s="661">
        <f t="shared" si="1"/>
        <v>-3.3600000000000003</v>
      </c>
      <c r="I116" s="690"/>
      <c r="J116" s="684"/>
      <c r="K116" s="684"/>
      <c r="L116" s="685"/>
      <c r="M116" s="674" t="s">
        <v>249</v>
      </c>
      <c r="N116" s="596"/>
      <c r="O116" s="596"/>
      <c r="P116" s="596"/>
      <c r="Q116" s="596"/>
      <c r="R116" s="596"/>
      <c r="S116" s="596"/>
      <c r="T116" s="596"/>
      <c r="U116" s="596"/>
      <c r="V116" s="596"/>
      <c r="W116" s="596"/>
      <c r="X116" s="596"/>
      <c r="Y116" s="596"/>
      <c r="Z116" s="596"/>
      <c r="AA116" s="596"/>
      <c r="AB116" s="596"/>
    </row>
    <row r="117" spans="1:28" ht="16.25" customHeight="1">
      <c r="A117" s="667" t="s">
        <v>250</v>
      </c>
      <c r="B117" s="656">
        <v>-1.83214921949355</v>
      </c>
      <c r="C117" s="668"/>
      <c r="D117" s="658">
        <v>0.1462391764045339</v>
      </c>
      <c r="E117" s="659">
        <v>8</v>
      </c>
      <c r="F117" s="659">
        <v>165</v>
      </c>
      <c r="G117" s="660">
        <v>-0.37</v>
      </c>
      <c r="H117" s="661">
        <f t="shared" si="1"/>
        <v>-0.53000000000000014</v>
      </c>
      <c r="I117" s="690"/>
      <c r="J117" s="684"/>
      <c r="K117" s="684"/>
      <c r="L117" s="685"/>
      <c r="M117" s="674" t="s">
        <v>251</v>
      </c>
      <c r="N117" s="596"/>
      <c r="O117" s="596"/>
      <c r="P117" s="596"/>
      <c r="Q117" s="596"/>
      <c r="R117" s="596"/>
      <c r="S117" s="596"/>
      <c r="T117" s="596"/>
      <c r="U117" s="596"/>
      <c r="V117" s="596"/>
      <c r="W117" s="596"/>
      <c r="X117" s="596"/>
      <c r="Y117" s="596"/>
      <c r="Z117" s="596"/>
      <c r="AA117" s="596"/>
      <c r="AB117" s="596"/>
    </row>
    <row r="118" spans="1:28" ht="16.25" customHeight="1">
      <c r="A118" s="655" t="s">
        <v>252</v>
      </c>
      <c r="B118" s="656">
        <v>-3.0449493649772972</v>
      </c>
      <c r="C118" s="668"/>
      <c r="D118" s="658">
        <v>0.16291639539032499</v>
      </c>
      <c r="E118" s="659">
        <v>10</v>
      </c>
      <c r="F118" s="659">
        <v>225</v>
      </c>
      <c r="G118" s="660">
        <v>0.81</v>
      </c>
      <c r="H118" s="661">
        <f t="shared" si="1"/>
        <v>-2.31</v>
      </c>
      <c r="I118" s="690"/>
      <c r="J118" s="684"/>
      <c r="K118" s="684"/>
      <c r="L118" s="685"/>
      <c r="M118" s="674" t="s">
        <v>253</v>
      </c>
      <c r="N118" s="596"/>
      <c r="O118" s="596"/>
      <c r="P118" s="596"/>
      <c r="Q118" s="596"/>
      <c r="R118" s="596"/>
      <c r="S118" s="596"/>
      <c r="T118" s="596"/>
      <c r="U118" s="596"/>
      <c r="V118" s="596"/>
      <c r="W118" s="596"/>
      <c r="X118" s="596"/>
      <c r="Y118" s="596"/>
      <c r="Z118" s="596"/>
      <c r="AA118" s="596"/>
      <c r="AB118" s="596"/>
    </row>
    <row r="119" spans="1:28" ht="16.25" customHeight="1">
      <c r="A119" s="655" t="s">
        <v>254</v>
      </c>
      <c r="B119" s="656">
        <v>-3.664551997187556</v>
      </c>
      <c r="C119" s="668"/>
      <c r="D119" s="658">
        <v>0.21166647357477791</v>
      </c>
      <c r="E119" s="659">
        <v>5</v>
      </c>
      <c r="F119" s="659">
        <v>270</v>
      </c>
      <c r="G119" s="660">
        <v>0.62</v>
      </c>
      <c r="H119" s="661">
        <f t="shared" si="1"/>
        <v>-2.5700000000000003</v>
      </c>
      <c r="I119" s="690"/>
      <c r="J119" s="684"/>
      <c r="K119" s="684"/>
      <c r="L119" s="685"/>
      <c r="M119" s="674" t="s">
        <v>255</v>
      </c>
      <c r="N119" s="596"/>
      <c r="O119" s="596"/>
      <c r="P119" s="596"/>
      <c r="Q119" s="596"/>
      <c r="R119" s="596"/>
      <c r="S119" s="596"/>
      <c r="T119" s="596"/>
      <c r="U119" s="596"/>
      <c r="V119" s="596"/>
      <c r="W119" s="596"/>
      <c r="X119" s="596"/>
      <c r="Y119" s="596"/>
      <c r="Z119" s="596"/>
      <c r="AA119" s="596"/>
      <c r="AB119" s="596"/>
    </row>
    <row r="120" spans="1:28" ht="16.25" customHeight="1">
      <c r="A120" s="667" t="s">
        <v>256</v>
      </c>
      <c r="B120" s="656">
        <v>-3.9076798837880919</v>
      </c>
      <c r="C120" s="668"/>
      <c r="D120" s="658">
        <v>0.14175650298978679</v>
      </c>
      <c r="E120" s="659">
        <v>9</v>
      </c>
      <c r="F120" s="659">
        <v>312.66666666666669</v>
      </c>
      <c r="G120" s="660">
        <v>0.83</v>
      </c>
      <c r="H120" s="661">
        <f t="shared" si="1"/>
        <v>-3.206666666666667</v>
      </c>
      <c r="I120" s="690"/>
      <c r="J120" s="684"/>
      <c r="K120" s="684"/>
      <c r="L120" s="685"/>
      <c r="M120" s="674" t="s">
        <v>257</v>
      </c>
      <c r="N120" s="596"/>
      <c r="O120" s="596"/>
      <c r="P120" s="596"/>
      <c r="Q120" s="596"/>
      <c r="R120" s="596"/>
      <c r="S120" s="596"/>
      <c r="T120" s="596"/>
      <c r="U120" s="596"/>
      <c r="V120" s="596"/>
      <c r="W120" s="596"/>
      <c r="X120" s="596"/>
      <c r="Y120" s="596"/>
      <c r="Z120" s="596"/>
      <c r="AA120" s="596"/>
      <c r="AB120" s="596"/>
    </row>
    <row r="121" spans="1:28" ht="16.25" customHeight="1">
      <c r="A121" s="655" t="s">
        <v>258</v>
      </c>
      <c r="B121" s="656">
        <v>-4.3724021156082973</v>
      </c>
      <c r="C121" s="668"/>
      <c r="D121" s="658">
        <v>0.2034688635346244</v>
      </c>
      <c r="E121" s="659">
        <v>11</v>
      </c>
      <c r="F121" s="659">
        <v>161</v>
      </c>
      <c r="G121" s="660">
        <v>3.61</v>
      </c>
      <c r="H121" s="661">
        <f t="shared" si="1"/>
        <v>-4.47</v>
      </c>
      <c r="I121" s="690"/>
      <c r="J121" s="684"/>
      <c r="K121" s="684"/>
      <c r="L121" s="685"/>
      <c r="M121" s="674" t="s">
        <v>259</v>
      </c>
      <c r="N121" s="596"/>
      <c r="O121" s="596"/>
      <c r="P121" s="596"/>
      <c r="Q121" s="596"/>
      <c r="R121" s="596"/>
      <c r="S121" s="596"/>
      <c r="T121" s="596"/>
      <c r="U121" s="596"/>
      <c r="V121" s="596"/>
      <c r="W121" s="596"/>
      <c r="X121" s="596"/>
      <c r="Y121" s="596"/>
      <c r="Z121" s="596"/>
      <c r="AA121" s="596"/>
      <c r="AB121" s="596"/>
    </row>
    <row r="122" spans="1:28" ht="16.25" customHeight="1">
      <c r="A122" s="667" t="s">
        <v>109</v>
      </c>
      <c r="B122" s="656">
        <v>-2.8910682736576452</v>
      </c>
      <c r="C122" s="668"/>
      <c r="D122" s="658">
        <v>0.20579636821699751</v>
      </c>
      <c r="E122" s="659">
        <v>3</v>
      </c>
      <c r="F122" s="659">
        <v>300</v>
      </c>
      <c r="G122" s="660">
        <v>-1.06</v>
      </c>
      <c r="H122" s="661">
        <f t="shared" si="1"/>
        <v>-1.19</v>
      </c>
      <c r="I122" s="703"/>
      <c r="J122" s="692"/>
      <c r="K122" s="692"/>
      <c r="L122" s="693"/>
      <c r="M122" s="674" t="s">
        <v>260</v>
      </c>
      <c r="N122" s="596"/>
      <c r="O122" s="596"/>
      <c r="P122" s="596"/>
      <c r="Q122" s="596"/>
      <c r="R122" s="596"/>
      <c r="S122" s="596"/>
      <c r="T122" s="596"/>
      <c r="U122" s="596"/>
      <c r="V122" s="596"/>
      <c r="W122" s="596"/>
      <c r="X122" s="596"/>
      <c r="Y122" s="596"/>
      <c r="Z122" s="596"/>
      <c r="AA122" s="596"/>
      <c r="AB122" s="596"/>
    </row>
    <row r="123" spans="1:28" ht="15" customHeight="1">
      <c r="A123" s="704"/>
      <c r="B123" s="619"/>
      <c r="C123" s="705" t="s">
        <v>261</v>
      </c>
      <c r="D123" s="706">
        <f>AVERAGE(D23:D122)</f>
        <v>0.17115851538193166</v>
      </c>
      <c r="E123" s="707"/>
      <c r="F123" s="708"/>
      <c r="G123" s="708"/>
      <c r="H123" s="709" t="s">
        <v>262</v>
      </c>
      <c r="I123" s="710"/>
      <c r="J123" s="711"/>
      <c r="K123" s="711"/>
      <c r="L123" s="711"/>
      <c r="M123" s="704"/>
      <c r="N123" s="596"/>
      <c r="O123" s="596"/>
      <c r="P123" s="596"/>
      <c r="Q123" s="596"/>
      <c r="R123" s="596"/>
      <c r="S123" s="596"/>
      <c r="T123" s="596"/>
      <c r="U123" s="596"/>
      <c r="V123" s="596"/>
      <c r="W123" s="596"/>
      <c r="X123" s="596"/>
      <c r="Y123" s="596"/>
      <c r="Z123" s="596"/>
      <c r="AA123" s="596"/>
      <c r="AB123" s="596"/>
    </row>
    <row r="124" spans="1:28" ht="15" customHeight="1">
      <c r="A124" s="704"/>
      <c r="B124" s="596"/>
      <c r="C124" s="712" t="s">
        <v>263</v>
      </c>
      <c r="D124" s="706">
        <f>MIN(D23:D122)</f>
        <v>0.10564411177747909</v>
      </c>
      <c r="E124" s="707"/>
      <c r="F124" s="708"/>
      <c r="G124" s="708"/>
      <c r="H124" s="709" t="s">
        <v>264</v>
      </c>
      <c r="I124" s="708"/>
      <c r="J124" s="713"/>
      <c r="K124" s="713"/>
      <c r="L124" s="713"/>
      <c r="M124" s="704"/>
      <c r="N124" s="596"/>
      <c r="O124" s="596"/>
      <c r="P124" s="596"/>
      <c r="Q124" s="596"/>
      <c r="R124" s="596"/>
      <c r="S124" s="596"/>
      <c r="T124" s="596"/>
      <c r="U124" s="596"/>
      <c r="V124" s="596"/>
      <c r="W124" s="596"/>
      <c r="X124" s="596"/>
      <c r="Y124" s="596"/>
      <c r="Z124" s="596"/>
      <c r="AA124" s="596"/>
      <c r="AB124" s="596"/>
    </row>
    <row r="125" spans="1:28" ht="15" customHeight="1">
      <c r="A125" s="704"/>
      <c r="B125" s="596"/>
      <c r="C125" s="712" t="s">
        <v>265</v>
      </c>
      <c r="D125" s="706">
        <f>MAX(D23:D122)</f>
        <v>0.22239504833634871</v>
      </c>
      <c r="E125" s="707"/>
      <c r="F125" s="708"/>
      <c r="G125" s="708"/>
      <c r="H125" s="714"/>
      <c r="I125" s="708"/>
      <c r="J125" s="713"/>
      <c r="K125" s="713"/>
      <c r="L125" s="713"/>
      <c r="M125" s="704"/>
      <c r="N125" s="596"/>
      <c r="O125" s="596"/>
      <c r="P125" s="596"/>
      <c r="Q125" s="596"/>
      <c r="R125" s="596"/>
      <c r="S125" s="596"/>
      <c r="T125" s="596"/>
      <c r="U125" s="596"/>
      <c r="V125" s="596"/>
      <c r="W125" s="596"/>
      <c r="X125" s="596"/>
      <c r="Y125" s="596"/>
      <c r="Z125" s="596"/>
      <c r="AA125" s="596"/>
      <c r="AB125" s="596"/>
    </row>
    <row r="126" spans="1:28" ht="15" customHeight="1">
      <c r="A126" s="704"/>
      <c r="B126" s="713"/>
      <c r="C126" s="713"/>
      <c r="D126" s="713"/>
      <c r="E126" s="713"/>
      <c r="F126" s="713"/>
      <c r="G126" s="713"/>
      <c r="H126" s="713"/>
      <c r="I126" s="713"/>
      <c r="J126" s="713"/>
      <c r="K126" s="713"/>
      <c r="L126" s="713"/>
      <c r="M126" s="704"/>
      <c r="N126" s="596"/>
      <c r="O126" s="596"/>
      <c r="P126" s="596"/>
      <c r="Q126" s="596"/>
      <c r="R126" s="596"/>
      <c r="S126" s="596"/>
      <c r="T126" s="596"/>
      <c r="U126" s="596"/>
      <c r="V126" s="596"/>
      <c r="W126" s="596"/>
      <c r="X126" s="596"/>
      <c r="Y126" s="596"/>
      <c r="Z126" s="596"/>
      <c r="AA126" s="596"/>
      <c r="AB126" s="596"/>
    </row>
    <row r="127" spans="1:28" ht="32.25" customHeight="1" thickBot="1">
      <c r="A127" s="628" t="s">
        <v>1029</v>
      </c>
      <c r="B127" s="715"/>
      <c r="C127" s="715"/>
      <c r="D127" s="715"/>
      <c r="E127" s="715"/>
      <c r="F127" s="715"/>
      <c r="G127" s="715"/>
      <c r="H127" s="715"/>
      <c r="I127" s="715"/>
      <c r="J127" s="715"/>
      <c r="K127" s="715"/>
      <c r="L127" s="715"/>
      <c r="M127" s="716"/>
      <c r="N127" s="631"/>
      <c r="O127" s="631"/>
      <c r="P127" s="631"/>
      <c r="Q127" s="631"/>
      <c r="R127" s="631"/>
      <c r="S127" s="631"/>
      <c r="T127" s="631"/>
      <c r="U127" s="631"/>
      <c r="V127" s="631"/>
      <c r="W127" s="596"/>
      <c r="X127" s="596"/>
      <c r="Y127" s="596"/>
      <c r="Z127" s="596"/>
      <c r="AA127" s="596"/>
      <c r="AB127" s="596"/>
    </row>
    <row r="128" spans="1:28" ht="43.5" customHeight="1" thickBot="1">
      <c r="A128" s="632" t="s">
        <v>18</v>
      </c>
      <c r="B128" s="633" t="s">
        <v>1030</v>
      </c>
      <c r="C128" s="633" t="s">
        <v>1020</v>
      </c>
      <c r="D128" s="633" t="s">
        <v>21</v>
      </c>
      <c r="E128" s="633" t="s">
        <v>22</v>
      </c>
      <c r="F128" s="633" t="s">
        <v>23</v>
      </c>
      <c r="G128" s="633" t="s">
        <v>1021</v>
      </c>
      <c r="H128" s="633" t="s">
        <v>1022</v>
      </c>
      <c r="I128" s="634"/>
      <c r="J128" s="635" t="s">
        <v>27</v>
      </c>
      <c r="K128" s="636"/>
      <c r="L128" s="636"/>
      <c r="M128" s="637" t="s">
        <v>28</v>
      </c>
      <c r="N128" s="638"/>
      <c r="O128" s="638"/>
      <c r="P128" s="638"/>
      <c r="Q128" s="638"/>
      <c r="R128" s="638"/>
      <c r="S128" s="638"/>
      <c r="T128" s="638"/>
      <c r="U128" s="638"/>
      <c r="V128" s="639"/>
      <c r="W128" s="640"/>
      <c r="X128" s="641"/>
      <c r="Y128" s="641"/>
      <c r="Z128" s="641"/>
      <c r="AA128" s="641"/>
      <c r="AB128" s="641"/>
    </row>
    <row r="129" spans="1:28" ht="16.5" customHeight="1">
      <c r="A129" s="717" t="s">
        <v>268</v>
      </c>
      <c r="B129" s="643">
        <v>-1.1960749156882999</v>
      </c>
      <c r="C129" s="644" t="s">
        <v>30</v>
      </c>
      <c r="D129" s="645">
        <v>0.50033555401430185</v>
      </c>
      <c r="E129" s="646">
        <v>3</v>
      </c>
      <c r="F129" s="646">
        <v>180</v>
      </c>
      <c r="G129" s="647">
        <v>1.91</v>
      </c>
      <c r="H129" s="648">
        <f t="shared" ref="H129:H160" si="2">0.5-G129-0.01*(F129-25)</f>
        <v>-2.96</v>
      </c>
      <c r="I129" s="649" t="s">
        <v>31</v>
      </c>
      <c r="J129" s="650"/>
      <c r="K129" s="651"/>
      <c r="L129" s="652"/>
      <c r="M129" s="653" t="s">
        <v>269</v>
      </c>
      <c r="N129" s="654"/>
      <c r="O129" s="654"/>
      <c r="P129" s="654"/>
      <c r="Q129" s="654"/>
      <c r="R129" s="654"/>
      <c r="S129" s="654"/>
      <c r="T129" s="654"/>
      <c r="U129" s="654"/>
      <c r="V129" s="654"/>
      <c r="W129" s="596"/>
      <c r="X129" s="596"/>
      <c r="Y129" s="596"/>
      <c r="Z129" s="596"/>
      <c r="AA129" s="596"/>
      <c r="AB129" s="596"/>
    </row>
    <row r="130" spans="1:28" ht="16.25" customHeight="1">
      <c r="A130" s="655" t="s">
        <v>270</v>
      </c>
      <c r="B130" s="656">
        <v>-3.943244673270446</v>
      </c>
      <c r="C130" s="657" t="s">
        <v>36</v>
      </c>
      <c r="D130" s="658">
        <v>0.5</v>
      </c>
      <c r="E130" s="660">
        <v>5</v>
      </c>
      <c r="F130" s="659">
        <v>156</v>
      </c>
      <c r="G130" s="660">
        <v>6.94</v>
      </c>
      <c r="H130" s="661">
        <f t="shared" si="2"/>
        <v>-7.75</v>
      </c>
      <c r="I130" s="662" t="s">
        <v>37</v>
      </c>
      <c r="J130" s="663"/>
      <c r="K130" s="664"/>
      <c r="L130" s="665"/>
      <c r="M130" s="666" t="s">
        <v>271</v>
      </c>
      <c r="N130" s="596"/>
      <c r="O130" s="596"/>
      <c r="P130" s="596"/>
      <c r="Q130" s="596"/>
      <c r="R130" s="596"/>
      <c r="S130" s="596"/>
      <c r="T130" s="596"/>
      <c r="U130" s="596"/>
      <c r="V130" s="596"/>
      <c r="W130" s="596"/>
      <c r="X130" s="596"/>
      <c r="Y130" s="596"/>
      <c r="Z130" s="596"/>
      <c r="AA130" s="596"/>
      <c r="AB130" s="596"/>
    </row>
    <row r="131" spans="1:28" ht="16.25" customHeight="1">
      <c r="A131" s="675" t="s">
        <v>272</v>
      </c>
      <c r="B131" s="656">
        <v>-3.4417108373590271</v>
      </c>
      <c r="C131" s="657" t="s">
        <v>41</v>
      </c>
      <c r="D131" s="658">
        <v>0.6530957900260097</v>
      </c>
      <c r="E131" s="659">
        <v>3</v>
      </c>
      <c r="F131" s="659">
        <v>208</v>
      </c>
      <c r="G131" s="660">
        <v>5.18</v>
      </c>
      <c r="H131" s="661">
        <f t="shared" si="2"/>
        <v>-6.51</v>
      </c>
      <c r="I131" s="662" t="s">
        <v>42</v>
      </c>
      <c r="J131" s="663"/>
      <c r="K131" s="664"/>
      <c r="L131" s="665"/>
      <c r="M131" s="666" t="s">
        <v>273</v>
      </c>
      <c r="N131" s="596"/>
      <c r="O131" s="596"/>
      <c r="P131" s="596"/>
      <c r="Q131" s="596"/>
      <c r="R131" s="596"/>
      <c r="S131" s="596"/>
      <c r="T131" s="596"/>
      <c r="U131" s="596"/>
      <c r="V131" s="596"/>
      <c r="W131" s="596"/>
      <c r="X131" s="596"/>
      <c r="Y131" s="596"/>
      <c r="Z131" s="596"/>
      <c r="AA131" s="596"/>
      <c r="AB131" s="596"/>
    </row>
    <row r="132" spans="1:28" ht="16.25" customHeight="1">
      <c r="A132" s="655" t="s">
        <v>274</v>
      </c>
      <c r="B132" s="656">
        <v>-1.210255389049506</v>
      </c>
      <c r="C132" s="657" t="s">
        <v>46</v>
      </c>
      <c r="D132" s="658">
        <v>0.59285217963150294</v>
      </c>
      <c r="E132" s="659">
        <v>3</v>
      </c>
      <c r="F132" s="659">
        <v>100</v>
      </c>
      <c r="G132" s="660">
        <v>2.37</v>
      </c>
      <c r="H132" s="661">
        <f t="shared" si="2"/>
        <v>-2.62</v>
      </c>
      <c r="I132" s="662" t="s">
        <v>47</v>
      </c>
      <c r="J132" s="663"/>
      <c r="K132" s="664"/>
      <c r="L132" s="665"/>
      <c r="M132" s="666" t="s">
        <v>275</v>
      </c>
      <c r="N132" s="596"/>
      <c r="O132" s="596"/>
      <c r="P132" s="596"/>
      <c r="Q132" s="596"/>
      <c r="R132" s="596"/>
      <c r="S132" s="596"/>
      <c r="T132" s="596"/>
      <c r="U132" s="596"/>
      <c r="V132" s="596"/>
      <c r="W132" s="596"/>
      <c r="X132" s="596"/>
      <c r="Y132" s="596"/>
      <c r="Z132" s="596"/>
      <c r="AA132" s="596"/>
      <c r="AB132" s="596"/>
    </row>
    <row r="133" spans="1:28" ht="16.25" customHeight="1">
      <c r="A133" s="655" t="s">
        <v>276</v>
      </c>
      <c r="B133" s="656">
        <v>-3.601766641113572</v>
      </c>
      <c r="C133" s="657" t="s">
        <v>51</v>
      </c>
      <c r="D133" s="658">
        <v>0.51067901383936642</v>
      </c>
      <c r="E133" s="659">
        <v>5</v>
      </c>
      <c r="F133" s="659">
        <v>217</v>
      </c>
      <c r="G133" s="660">
        <v>3.19</v>
      </c>
      <c r="H133" s="661">
        <f t="shared" si="2"/>
        <v>-4.6099999999999994</v>
      </c>
      <c r="I133" s="662" t="s">
        <v>52</v>
      </c>
      <c r="J133" s="663"/>
      <c r="K133" s="664"/>
      <c r="L133" s="665"/>
      <c r="M133" s="666" t="s">
        <v>277</v>
      </c>
      <c r="N133" s="596"/>
      <c r="O133" s="596"/>
      <c r="P133" s="596"/>
      <c r="Q133" s="596"/>
      <c r="R133" s="596"/>
      <c r="S133" s="596"/>
      <c r="T133" s="596"/>
      <c r="U133" s="596"/>
      <c r="V133" s="596"/>
      <c r="W133" s="596"/>
      <c r="X133" s="596"/>
      <c r="Y133" s="596"/>
      <c r="Z133" s="596"/>
      <c r="AA133" s="596"/>
      <c r="AB133" s="596"/>
    </row>
    <row r="134" spans="1:28" ht="16.25" customHeight="1">
      <c r="A134" s="655" t="s">
        <v>278</v>
      </c>
      <c r="B134" s="656">
        <v>-4.9911200525875898</v>
      </c>
      <c r="C134" s="668"/>
      <c r="D134" s="658">
        <v>0.83065522865171437</v>
      </c>
      <c r="E134" s="659">
        <v>3</v>
      </c>
      <c r="F134" s="659">
        <v>209.5</v>
      </c>
      <c r="G134" s="660">
        <v>4.41</v>
      </c>
      <c r="H134" s="661">
        <f t="shared" si="2"/>
        <v>-5.7549999999999999</v>
      </c>
      <c r="I134" s="662" t="s">
        <v>56</v>
      </c>
      <c r="J134" s="663"/>
      <c r="K134" s="664"/>
      <c r="L134" s="665"/>
      <c r="M134" s="666" t="s">
        <v>279</v>
      </c>
      <c r="N134" s="596"/>
      <c r="O134" s="596"/>
      <c r="P134" s="596"/>
      <c r="Q134" s="596"/>
      <c r="R134" s="596"/>
      <c r="S134" s="596"/>
      <c r="T134" s="596"/>
      <c r="U134" s="596"/>
      <c r="V134" s="596"/>
      <c r="W134" s="596"/>
      <c r="X134" s="596"/>
      <c r="Y134" s="596"/>
      <c r="Z134" s="596"/>
      <c r="AA134" s="596"/>
      <c r="AB134" s="596"/>
    </row>
    <row r="135" spans="1:28" ht="16.25" customHeight="1">
      <c r="A135" s="655" t="s">
        <v>280</v>
      </c>
      <c r="B135" s="656">
        <v>-4.5681234251483414</v>
      </c>
      <c r="C135" s="668"/>
      <c r="D135" s="658">
        <v>0.51097181417141646</v>
      </c>
      <c r="E135" s="659">
        <v>6</v>
      </c>
      <c r="F135" s="659">
        <v>97.5</v>
      </c>
      <c r="G135" s="660">
        <v>5.19</v>
      </c>
      <c r="H135" s="661">
        <f t="shared" si="2"/>
        <v>-5.415</v>
      </c>
      <c r="I135" s="662" t="s">
        <v>60</v>
      </c>
      <c r="J135" s="663"/>
      <c r="K135" s="669"/>
      <c r="L135" s="670"/>
      <c r="M135" s="666" t="s">
        <v>281</v>
      </c>
      <c r="N135" s="596"/>
      <c r="O135" s="596"/>
      <c r="P135" s="596"/>
      <c r="Q135" s="596"/>
      <c r="R135" s="596"/>
      <c r="S135" s="596"/>
      <c r="T135" s="596"/>
      <c r="U135" s="596"/>
      <c r="V135" s="596"/>
      <c r="W135" s="596"/>
      <c r="X135" s="596"/>
      <c r="Y135" s="596"/>
      <c r="Z135" s="596"/>
      <c r="AA135" s="596"/>
      <c r="AB135" s="596"/>
    </row>
    <row r="136" spans="1:28" ht="16.25" customHeight="1">
      <c r="A136" s="667" t="s">
        <v>282</v>
      </c>
      <c r="B136" s="656">
        <v>-5.9417257757615136</v>
      </c>
      <c r="C136" s="668"/>
      <c r="D136" s="658">
        <v>0.92735432696895004</v>
      </c>
      <c r="E136" s="659">
        <v>5</v>
      </c>
      <c r="F136" s="659">
        <v>211</v>
      </c>
      <c r="G136" s="660">
        <v>7.49</v>
      </c>
      <c r="H136" s="661">
        <f t="shared" si="2"/>
        <v>-8.85</v>
      </c>
      <c r="I136" s="662" t="s">
        <v>64</v>
      </c>
      <c r="J136" s="696"/>
      <c r="K136" s="672" t="s">
        <v>1023</v>
      </c>
      <c r="L136" s="697"/>
      <c r="M136" s="674" t="s">
        <v>283</v>
      </c>
      <c r="N136" s="596"/>
      <c r="O136" s="596"/>
      <c r="P136" s="596"/>
      <c r="Q136" s="596"/>
      <c r="R136" s="596"/>
      <c r="S136" s="596"/>
      <c r="T136" s="596"/>
      <c r="U136" s="596"/>
      <c r="V136" s="596"/>
      <c r="W136" s="596"/>
      <c r="X136" s="596"/>
      <c r="Y136" s="596"/>
      <c r="Z136" s="596"/>
      <c r="AA136" s="596"/>
      <c r="AB136" s="596"/>
    </row>
    <row r="137" spans="1:28" ht="16.25" customHeight="1">
      <c r="A137" s="655" t="s">
        <v>112</v>
      </c>
      <c r="B137" s="656">
        <v>-4.6171842743115734</v>
      </c>
      <c r="C137" s="668"/>
      <c r="D137" s="658">
        <v>0.68239272333923895</v>
      </c>
      <c r="E137" s="659">
        <v>3</v>
      </c>
      <c r="F137" s="659">
        <v>177</v>
      </c>
      <c r="G137" s="660">
        <v>3.37</v>
      </c>
      <c r="H137" s="665">
        <f t="shared" si="2"/>
        <v>-4.3900000000000006</v>
      </c>
      <c r="I137" s="626"/>
      <c r="J137" s="676"/>
      <c r="K137" s="676"/>
      <c r="L137" s="676"/>
      <c r="M137" s="666" t="s">
        <v>284</v>
      </c>
      <c r="N137" s="596"/>
      <c r="O137" s="596"/>
      <c r="P137" s="596"/>
      <c r="Q137" s="596"/>
      <c r="R137" s="596"/>
      <c r="S137" s="596"/>
      <c r="T137" s="596"/>
      <c r="U137" s="596"/>
      <c r="V137" s="596"/>
      <c r="W137" s="596"/>
      <c r="X137" s="596"/>
      <c r="Y137" s="596"/>
      <c r="Z137" s="596"/>
      <c r="AA137" s="596"/>
      <c r="AB137" s="596"/>
    </row>
    <row r="138" spans="1:28" ht="16.25" customHeight="1">
      <c r="A138" s="655" t="s">
        <v>285</v>
      </c>
      <c r="B138" s="656">
        <v>-5.5015095536900906</v>
      </c>
      <c r="C138" s="668"/>
      <c r="D138" s="658">
        <v>0.520951861602862</v>
      </c>
      <c r="E138" s="659">
        <v>10</v>
      </c>
      <c r="F138" s="659">
        <v>228.6</v>
      </c>
      <c r="G138" s="660">
        <v>4.22</v>
      </c>
      <c r="H138" s="661">
        <f t="shared" si="2"/>
        <v>-5.7560000000000002</v>
      </c>
      <c r="I138" s="677" t="s">
        <v>286</v>
      </c>
      <c r="J138" s="676"/>
      <c r="K138" s="676"/>
      <c r="L138" s="678"/>
      <c r="M138" s="674" t="s">
        <v>287</v>
      </c>
      <c r="N138" s="596"/>
      <c r="O138" s="596"/>
      <c r="P138" s="596"/>
      <c r="Q138" s="596"/>
      <c r="R138" s="596"/>
      <c r="S138" s="596"/>
      <c r="T138" s="596"/>
      <c r="U138" s="596"/>
      <c r="V138" s="596"/>
      <c r="W138" s="596"/>
      <c r="X138" s="596"/>
      <c r="Y138" s="596"/>
      <c r="Z138" s="596"/>
      <c r="AA138" s="596"/>
      <c r="AB138" s="596"/>
    </row>
    <row r="139" spans="1:28" ht="16.25" customHeight="1">
      <c r="A139" s="667" t="s">
        <v>288</v>
      </c>
      <c r="B139" s="656">
        <v>-1.688796197899376</v>
      </c>
      <c r="C139" s="668"/>
      <c r="D139" s="658">
        <v>0.53906642829149898</v>
      </c>
      <c r="E139" s="659">
        <v>3</v>
      </c>
      <c r="F139" s="659">
        <v>161.5</v>
      </c>
      <c r="G139" s="660">
        <v>-0.21</v>
      </c>
      <c r="H139" s="661">
        <f t="shared" si="2"/>
        <v>-0.65500000000000003</v>
      </c>
      <c r="I139" s="700" t="s">
        <v>1024</v>
      </c>
      <c r="J139" s="681"/>
      <c r="K139" s="681"/>
      <c r="L139" s="682"/>
      <c r="M139" s="674" t="s">
        <v>289</v>
      </c>
      <c r="N139" s="596"/>
      <c r="O139" s="596"/>
      <c r="P139" s="596"/>
      <c r="Q139" s="596"/>
      <c r="R139" s="596"/>
      <c r="S139" s="596"/>
      <c r="T139" s="596"/>
      <c r="U139" s="596"/>
      <c r="V139" s="596"/>
      <c r="W139" s="596"/>
      <c r="X139" s="596"/>
      <c r="Y139" s="596"/>
      <c r="Z139" s="596"/>
      <c r="AA139" s="596"/>
      <c r="AB139" s="596"/>
    </row>
    <row r="140" spans="1:28" ht="16.25" customHeight="1">
      <c r="A140" s="667" t="s">
        <v>290</v>
      </c>
      <c r="B140" s="656">
        <v>-4.0986242381760878</v>
      </c>
      <c r="C140" s="668"/>
      <c r="D140" s="658">
        <v>0.56233984781338708</v>
      </c>
      <c r="E140" s="659">
        <v>11</v>
      </c>
      <c r="F140" s="659">
        <v>213.5</v>
      </c>
      <c r="G140" s="660">
        <v>3.04</v>
      </c>
      <c r="H140" s="661">
        <f t="shared" si="2"/>
        <v>-4.4249999999999998</v>
      </c>
      <c r="I140" s="683" t="s">
        <v>1025</v>
      </c>
      <c r="J140" s="684"/>
      <c r="K140" s="684"/>
      <c r="L140" s="685"/>
      <c r="M140" s="674" t="s">
        <v>291</v>
      </c>
      <c r="N140" s="596"/>
      <c r="O140" s="596"/>
      <c r="P140" s="596"/>
      <c r="Q140" s="596"/>
      <c r="R140" s="596"/>
      <c r="S140" s="596"/>
      <c r="T140" s="596"/>
      <c r="U140" s="596"/>
      <c r="V140" s="596"/>
      <c r="W140" s="596"/>
      <c r="X140" s="596"/>
      <c r="Y140" s="596"/>
      <c r="Z140" s="596"/>
      <c r="AA140" s="596"/>
      <c r="AB140" s="596"/>
    </row>
    <row r="141" spans="1:28" ht="16.25" customHeight="1">
      <c r="A141" s="675" t="s">
        <v>292</v>
      </c>
      <c r="B141" s="656">
        <v>-2.8697723521279599</v>
      </c>
      <c r="C141" s="668"/>
      <c r="D141" s="658">
        <v>0.54710381306524825</v>
      </c>
      <c r="E141" s="659">
        <v>4</v>
      </c>
      <c r="F141" s="659">
        <v>168.5</v>
      </c>
      <c r="G141" s="660">
        <v>3.35</v>
      </c>
      <c r="H141" s="661">
        <f t="shared" si="2"/>
        <v>-4.2850000000000001</v>
      </c>
      <c r="I141" s="686" t="s">
        <v>1026</v>
      </c>
      <c r="J141" s="684"/>
      <c r="K141" s="684"/>
      <c r="L141" s="685"/>
      <c r="M141" s="674" t="s">
        <v>293</v>
      </c>
      <c r="N141" s="596"/>
      <c r="O141" s="596"/>
      <c r="P141" s="596"/>
      <c r="Q141" s="596"/>
      <c r="R141" s="596"/>
      <c r="S141" s="596"/>
      <c r="T141" s="596"/>
      <c r="U141" s="596"/>
      <c r="V141" s="596"/>
      <c r="W141" s="596"/>
      <c r="X141" s="596"/>
      <c r="Y141" s="596"/>
      <c r="Z141" s="596"/>
      <c r="AA141" s="596"/>
      <c r="AB141" s="596"/>
    </row>
    <row r="142" spans="1:28" ht="16.25" customHeight="1">
      <c r="A142" s="667" t="s">
        <v>114</v>
      </c>
      <c r="B142" s="656">
        <v>-2.3587511453731862</v>
      </c>
      <c r="C142" s="668"/>
      <c r="D142" s="658">
        <v>0.54612637818466869</v>
      </c>
      <c r="E142" s="659">
        <v>3</v>
      </c>
      <c r="F142" s="679">
        <v>124.1</v>
      </c>
      <c r="G142" s="660">
        <v>2.81</v>
      </c>
      <c r="H142" s="661">
        <f t="shared" si="2"/>
        <v>-3.3010000000000002</v>
      </c>
      <c r="I142" s="687"/>
      <c r="J142" s="684"/>
      <c r="K142" s="684"/>
      <c r="L142" s="685"/>
      <c r="M142" s="674" t="s">
        <v>294</v>
      </c>
      <c r="N142" s="596"/>
      <c r="O142" s="596"/>
      <c r="P142" s="596"/>
      <c r="Q142" s="596"/>
      <c r="R142" s="596"/>
      <c r="S142" s="596"/>
      <c r="T142" s="596"/>
      <c r="U142" s="596"/>
      <c r="V142" s="596"/>
      <c r="W142" s="596"/>
      <c r="X142" s="596"/>
      <c r="Y142" s="596"/>
      <c r="Z142" s="596"/>
      <c r="AA142" s="596"/>
      <c r="AB142" s="596"/>
    </row>
    <row r="143" spans="1:28" ht="16.25" customHeight="1">
      <c r="A143" s="667" t="s">
        <v>295</v>
      </c>
      <c r="B143" s="656">
        <v>-4.0164715873649568</v>
      </c>
      <c r="C143" s="668"/>
      <c r="D143" s="658">
        <v>0.51160213896594608</v>
      </c>
      <c r="E143" s="659">
        <v>4</v>
      </c>
      <c r="F143" s="659">
        <v>165</v>
      </c>
      <c r="G143" s="660">
        <v>4.8899999999999997</v>
      </c>
      <c r="H143" s="661">
        <f t="shared" si="2"/>
        <v>-5.79</v>
      </c>
      <c r="I143" s="687"/>
      <c r="J143" s="684"/>
      <c r="K143" s="684"/>
      <c r="L143" s="685"/>
      <c r="M143" s="674" t="s">
        <v>296</v>
      </c>
      <c r="N143" s="596"/>
      <c r="O143" s="596"/>
      <c r="P143" s="596"/>
      <c r="Q143" s="596"/>
      <c r="R143" s="596"/>
      <c r="S143" s="596"/>
      <c r="T143" s="596"/>
      <c r="U143" s="596"/>
      <c r="V143" s="596"/>
      <c r="W143" s="596"/>
      <c r="X143" s="596"/>
      <c r="Y143" s="596"/>
      <c r="Z143" s="596"/>
      <c r="AA143" s="596"/>
      <c r="AB143" s="596"/>
    </row>
    <row r="144" spans="1:28" ht="16.25" customHeight="1">
      <c r="A144" s="667" t="s">
        <v>117</v>
      </c>
      <c r="B144" s="656">
        <v>-4.4350293552746631</v>
      </c>
      <c r="C144" s="668"/>
      <c r="D144" s="658">
        <v>0.65141515533308314</v>
      </c>
      <c r="E144" s="659">
        <v>4</v>
      </c>
      <c r="F144" s="659">
        <v>161.1</v>
      </c>
      <c r="G144" s="660">
        <v>4.76</v>
      </c>
      <c r="H144" s="661">
        <f t="shared" si="2"/>
        <v>-5.6209999999999996</v>
      </c>
      <c r="I144" s="687"/>
      <c r="J144" s="684"/>
      <c r="K144" s="684"/>
      <c r="L144" s="685"/>
      <c r="M144" s="674" t="s">
        <v>297</v>
      </c>
      <c r="N144" s="596"/>
      <c r="O144" s="596"/>
      <c r="P144" s="596"/>
      <c r="Q144" s="596"/>
      <c r="R144" s="596"/>
      <c r="S144" s="596"/>
      <c r="T144" s="596"/>
      <c r="U144" s="596"/>
      <c r="V144" s="596"/>
      <c r="W144" s="596"/>
      <c r="X144" s="596"/>
      <c r="Y144" s="596"/>
      <c r="Z144" s="596"/>
      <c r="AA144" s="596"/>
      <c r="AB144" s="596"/>
    </row>
    <row r="145" spans="1:28" ht="16.25" customHeight="1">
      <c r="A145" s="675" t="s">
        <v>298</v>
      </c>
      <c r="B145" s="656">
        <v>-4.2643234234100316</v>
      </c>
      <c r="C145" s="668"/>
      <c r="D145" s="658">
        <v>0.65883215509381909</v>
      </c>
      <c r="E145" s="659">
        <v>3</v>
      </c>
      <c r="F145" s="659">
        <v>155</v>
      </c>
      <c r="G145" s="660">
        <v>3.74</v>
      </c>
      <c r="H145" s="661">
        <f t="shared" si="2"/>
        <v>-4.54</v>
      </c>
      <c r="I145" s="687"/>
      <c r="J145" s="684"/>
      <c r="K145" s="684"/>
      <c r="L145" s="685"/>
      <c r="M145" s="674" t="s">
        <v>299</v>
      </c>
      <c r="N145" s="596"/>
      <c r="O145" s="596"/>
      <c r="P145" s="596"/>
      <c r="Q145" s="596"/>
      <c r="R145" s="596"/>
      <c r="S145" s="596"/>
      <c r="T145" s="596"/>
      <c r="U145" s="596"/>
      <c r="V145" s="596"/>
      <c r="W145" s="596"/>
      <c r="X145" s="596"/>
      <c r="Y145" s="596"/>
      <c r="Z145" s="596"/>
      <c r="AA145" s="596"/>
      <c r="AB145" s="596"/>
    </row>
    <row r="146" spans="1:28" ht="16.25" customHeight="1">
      <c r="A146" s="655" t="s">
        <v>300</v>
      </c>
      <c r="B146" s="656">
        <v>-4.99267162954383</v>
      </c>
      <c r="C146" s="668"/>
      <c r="D146" s="658">
        <v>0.61400477095750339</v>
      </c>
      <c r="E146" s="659">
        <v>3</v>
      </c>
      <c r="F146" s="659">
        <v>165.4</v>
      </c>
      <c r="G146" s="660">
        <v>5.58</v>
      </c>
      <c r="H146" s="661">
        <f t="shared" si="2"/>
        <v>-6.484</v>
      </c>
      <c r="I146" s="687"/>
      <c r="J146" s="684"/>
      <c r="K146" s="684"/>
      <c r="L146" s="685"/>
      <c r="M146" s="674" t="s">
        <v>301</v>
      </c>
      <c r="N146" s="596"/>
      <c r="O146" s="596"/>
      <c r="P146" s="596"/>
      <c r="Q146" s="596"/>
      <c r="R146" s="596"/>
      <c r="S146" s="596"/>
      <c r="T146" s="596"/>
      <c r="U146" s="596"/>
      <c r="V146" s="596"/>
      <c r="W146" s="596"/>
      <c r="X146" s="596"/>
      <c r="Y146" s="596"/>
      <c r="Z146" s="596"/>
      <c r="AA146" s="596"/>
      <c r="AB146" s="596"/>
    </row>
    <row r="147" spans="1:28" ht="16.25" customHeight="1">
      <c r="A147" s="655" t="s">
        <v>302</v>
      </c>
      <c r="B147" s="656">
        <v>-3.9878811221078192</v>
      </c>
      <c r="C147" s="668"/>
      <c r="D147" s="658">
        <v>0.50406532001413251</v>
      </c>
      <c r="E147" s="659">
        <v>6</v>
      </c>
      <c r="F147" s="659">
        <v>161</v>
      </c>
      <c r="G147" s="660">
        <v>6.45</v>
      </c>
      <c r="H147" s="661">
        <f t="shared" si="2"/>
        <v>-7.3100000000000005</v>
      </c>
      <c r="I147" s="691"/>
      <c r="J147" s="692"/>
      <c r="K147" s="692"/>
      <c r="L147" s="693"/>
      <c r="M147" s="674" t="s">
        <v>303</v>
      </c>
      <c r="N147" s="596"/>
      <c r="O147" s="596"/>
      <c r="P147" s="596"/>
      <c r="Q147" s="596"/>
      <c r="R147" s="596"/>
      <c r="S147" s="596"/>
      <c r="T147" s="596"/>
      <c r="U147" s="596"/>
      <c r="V147" s="596"/>
      <c r="W147" s="596"/>
      <c r="X147" s="596"/>
      <c r="Y147" s="596"/>
      <c r="Z147" s="596"/>
      <c r="AA147" s="596"/>
      <c r="AB147" s="596"/>
    </row>
    <row r="148" spans="1:28" ht="16.25" customHeight="1">
      <c r="A148" s="655" t="s">
        <v>304</v>
      </c>
      <c r="B148" s="656">
        <v>-5.629279948110872</v>
      </c>
      <c r="C148" s="668"/>
      <c r="D148" s="658">
        <v>0.75493366325441691</v>
      </c>
      <c r="E148" s="659">
        <v>4</v>
      </c>
      <c r="F148" s="659">
        <v>193.5</v>
      </c>
      <c r="G148" s="660">
        <v>5.41</v>
      </c>
      <c r="H148" s="665">
        <f t="shared" si="2"/>
        <v>-6.5950000000000006</v>
      </c>
      <c r="I148" s="626"/>
      <c r="J148" s="676"/>
      <c r="K148" s="676"/>
      <c r="L148" s="694"/>
      <c r="M148" s="666" t="s">
        <v>305</v>
      </c>
      <c r="N148" s="596"/>
      <c r="O148" s="596"/>
      <c r="P148" s="596"/>
      <c r="Q148" s="596"/>
      <c r="R148" s="596"/>
      <c r="S148" s="596"/>
      <c r="T148" s="596"/>
      <c r="U148" s="596"/>
      <c r="V148" s="596"/>
      <c r="W148" s="596"/>
      <c r="X148" s="596"/>
      <c r="Y148" s="596"/>
      <c r="Z148" s="596"/>
      <c r="AA148" s="596"/>
      <c r="AB148" s="596"/>
    </row>
    <row r="149" spans="1:28" ht="16.25" customHeight="1">
      <c r="A149" s="655" t="s">
        <v>306</v>
      </c>
      <c r="B149" s="656">
        <v>-4.1438800854541977</v>
      </c>
      <c r="C149" s="668"/>
      <c r="D149" s="658">
        <v>0.50089358058597189</v>
      </c>
      <c r="E149" s="659">
        <v>3</v>
      </c>
      <c r="F149" s="659">
        <v>156</v>
      </c>
      <c r="G149" s="660">
        <v>2.9</v>
      </c>
      <c r="H149" s="661">
        <f t="shared" si="2"/>
        <v>-3.71</v>
      </c>
      <c r="I149" s="695" t="s">
        <v>133</v>
      </c>
      <c r="J149" s="696"/>
      <c r="K149" s="697">
        <v>10720</v>
      </c>
      <c r="L149" s="664"/>
      <c r="M149" s="666" t="s">
        <v>307</v>
      </c>
      <c r="N149" s="596"/>
      <c r="O149" s="596"/>
      <c r="P149" s="596"/>
      <c r="Q149" s="596"/>
      <c r="R149" s="596"/>
      <c r="S149" s="596"/>
      <c r="T149" s="596"/>
      <c r="U149" s="596"/>
      <c r="V149" s="596"/>
      <c r="W149" s="596"/>
      <c r="X149" s="596"/>
      <c r="Y149" s="596"/>
      <c r="Z149" s="596"/>
      <c r="AA149" s="596"/>
      <c r="AB149" s="596"/>
    </row>
    <row r="150" spans="1:28" ht="16.25" customHeight="1">
      <c r="A150" s="675" t="s">
        <v>308</v>
      </c>
      <c r="B150" s="656">
        <v>-5.3934763339473921</v>
      </c>
      <c r="C150" s="668"/>
      <c r="D150" s="658">
        <v>0.6587984329866341</v>
      </c>
      <c r="E150" s="659">
        <v>4</v>
      </c>
      <c r="F150" s="659">
        <v>183.5</v>
      </c>
      <c r="G150" s="660">
        <v>3.16</v>
      </c>
      <c r="H150" s="661">
        <f t="shared" si="2"/>
        <v>-4.2450000000000001</v>
      </c>
      <c r="I150" s="695" t="s">
        <v>136</v>
      </c>
      <c r="J150" s="696"/>
      <c r="K150" s="697">
        <v>1340</v>
      </c>
      <c r="L150" s="664"/>
      <c r="M150" s="666" t="s">
        <v>309</v>
      </c>
      <c r="N150" s="596"/>
      <c r="O150" s="596"/>
      <c r="P150" s="596"/>
      <c r="Q150" s="596"/>
      <c r="R150" s="596"/>
      <c r="S150" s="596"/>
      <c r="T150" s="596"/>
      <c r="U150" s="596"/>
      <c r="V150" s="596"/>
      <c r="W150" s="596"/>
      <c r="X150" s="596"/>
      <c r="Y150" s="596"/>
      <c r="Z150" s="596"/>
      <c r="AA150" s="596"/>
      <c r="AB150" s="596"/>
    </row>
    <row r="151" spans="1:28" ht="16.25" customHeight="1">
      <c r="A151" s="675" t="s">
        <v>310</v>
      </c>
      <c r="B151" s="656">
        <v>-2.5723636263324221</v>
      </c>
      <c r="C151" s="668"/>
      <c r="D151" s="658">
        <v>0.59871706042825668</v>
      </c>
      <c r="E151" s="659">
        <v>3</v>
      </c>
      <c r="F151" s="659">
        <v>61</v>
      </c>
      <c r="G151" s="660">
        <v>1.77</v>
      </c>
      <c r="H151" s="661">
        <f t="shared" si="2"/>
        <v>-1.63</v>
      </c>
      <c r="I151" s="695" t="s">
        <v>139</v>
      </c>
      <c r="J151" s="698">
        <f>COUNTA(A129:A160)</f>
        <v>32</v>
      </c>
      <c r="K151" s="697"/>
      <c r="L151" s="664"/>
      <c r="M151" s="666" t="s">
        <v>311</v>
      </c>
      <c r="N151" s="596"/>
      <c r="O151" s="596"/>
      <c r="P151" s="596"/>
      <c r="Q151" s="596"/>
      <c r="R151" s="596"/>
      <c r="S151" s="596"/>
      <c r="T151" s="596"/>
      <c r="U151" s="596"/>
      <c r="V151" s="596"/>
      <c r="W151" s="596"/>
      <c r="X151" s="596"/>
      <c r="Y151" s="596"/>
      <c r="Z151" s="596"/>
      <c r="AA151" s="596"/>
      <c r="AB151" s="596"/>
    </row>
    <row r="152" spans="1:28" ht="16.25" customHeight="1">
      <c r="A152" s="655" t="s">
        <v>312</v>
      </c>
      <c r="B152" s="656">
        <v>-3.3477896844098489</v>
      </c>
      <c r="C152" s="668"/>
      <c r="D152" s="658">
        <v>0.57115657899345518</v>
      </c>
      <c r="E152" s="659">
        <v>7</v>
      </c>
      <c r="F152" s="659">
        <v>177</v>
      </c>
      <c r="G152" s="660">
        <v>3.17</v>
      </c>
      <c r="H152" s="665">
        <f t="shared" si="2"/>
        <v>-4.1899999999999995</v>
      </c>
      <c r="I152" s="676"/>
      <c r="J152" s="676"/>
      <c r="K152" s="676"/>
      <c r="L152" s="670"/>
      <c r="M152" s="666" t="s">
        <v>313</v>
      </c>
      <c r="N152" s="596"/>
      <c r="O152" s="596"/>
      <c r="P152" s="596"/>
      <c r="Q152" s="596"/>
      <c r="R152" s="596"/>
      <c r="S152" s="596"/>
      <c r="T152" s="596"/>
      <c r="U152" s="596"/>
      <c r="V152" s="596"/>
      <c r="W152" s="596"/>
      <c r="X152" s="596"/>
      <c r="Y152" s="596"/>
      <c r="Z152" s="596"/>
      <c r="AA152" s="596"/>
      <c r="AB152" s="596"/>
    </row>
    <row r="153" spans="1:28" ht="16.25" customHeight="1">
      <c r="A153" s="667" t="s">
        <v>314</v>
      </c>
      <c r="B153" s="656">
        <v>-4.2789752981998577</v>
      </c>
      <c r="C153" s="668"/>
      <c r="D153" s="658">
        <v>0.55807775121880254</v>
      </c>
      <c r="E153" s="659">
        <v>6</v>
      </c>
      <c r="F153" s="659">
        <v>145</v>
      </c>
      <c r="G153" s="660">
        <v>6.08</v>
      </c>
      <c r="H153" s="661">
        <f t="shared" si="2"/>
        <v>-6.78</v>
      </c>
      <c r="I153" s="699" t="s">
        <v>144</v>
      </c>
      <c r="J153" s="676"/>
      <c r="K153" s="676"/>
      <c r="L153" s="678"/>
      <c r="M153" s="674" t="s">
        <v>315</v>
      </c>
      <c r="N153" s="596"/>
      <c r="O153" s="596"/>
      <c r="P153" s="596"/>
      <c r="Q153" s="596"/>
      <c r="R153" s="596"/>
      <c r="S153" s="596"/>
      <c r="T153" s="596"/>
      <c r="U153" s="596"/>
      <c r="V153" s="596"/>
      <c r="W153" s="596"/>
      <c r="X153" s="596"/>
      <c r="Y153" s="596"/>
      <c r="Z153" s="596"/>
      <c r="AA153" s="596"/>
      <c r="AB153" s="596"/>
    </row>
    <row r="154" spans="1:28" ht="21" customHeight="1">
      <c r="A154" s="667" t="s">
        <v>316</v>
      </c>
      <c r="B154" s="656">
        <v>-3.911195592421989</v>
      </c>
      <c r="C154" s="668"/>
      <c r="D154" s="658">
        <v>0.66417698790166113</v>
      </c>
      <c r="E154" s="659">
        <v>3</v>
      </c>
      <c r="F154" s="679">
        <v>175.8</v>
      </c>
      <c r="G154" s="660">
        <v>4.62</v>
      </c>
      <c r="H154" s="661">
        <f t="shared" si="2"/>
        <v>-5.6280000000000001</v>
      </c>
      <c r="I154" s="700" t="s">
        <v>1027</v>
      </c>
      <c r="J154" s="681"/>
      <c r="K154" s="681"/>
      <c r="L154" s="682"/>
      <c r="M154" s="674" t="s">
        <v>317</v>
      </c>
      <c r="N154" s="596"/>
      <c r="O154" s="596"/>
      <c r="P154" s="596"/>
      <c r="Q154" s="596"/>
      <c r="R154" s="596"/>
      <c r="S154" s="596"/>
      <c r="T154" s="596"/>
      <c r="U154" s="596"/>
      <c r="V154" s="596"/>
      <c r="W154" s="596"/>
      <c r="X154" s="596"/>
      <c r="Y154" s="596"/>
      <c r="Z154" s="596"/>
      <c r="AA154" s="596"/>
      <c r="AB154" s="596"/>
    </row>
    <row r="155" spans="1:28" ht="16.25" customHeight="1">
      <c r="A155" s="655" t="s">
        <v>318</v>
      </c>
      <c r="B155" s="656">
        <v>-3.9714525735183859</v>
      </c>
      <c r="C155" s="668"/>
      <c r="D155" s="658">
        <v>0.57716593661781801</v>
      </c>
      <c r="E155" s="659">
        <v>3</v>
      </c>
      <c r="F155" s="659">
        <v>349.84</v>
      </c>
      <c r="G155" s="660">
        <v>3.09</v>
      </c>
      <c r="H155" s="661">
        <f t="shared" si="2"/>
        <v>-5.8384</v>
      </c>
      <c r="I155" s="690"/>
      <c r="J155" s="702" t="s">
        <v>1028</v>
      </c>
      <c r="K155" s="684"/>
      <c r="L155" s="685"/>
      <c r="M155" s="674" t="s">
        <v>319</v>
      </c>
      <c r="N155" s="596"/>
      <c r="O155" s="596"/>
      <c r="P155" s="596"/>
      <c r="Q155" s="596"/>
      <c r="R155" s="596"/>
      <c r="S155" s="596"/>
      <c r="T155" s="596"/>
      <c r="U155" s="596"/>
      <c r="V155" s="596"/>
      <c r="W155" s="596"/>
      <c r="X155" s="596"/>
      <c r="Y155" s="596"/>
      <c r="Z155" s="596"/>
      <c r="AA155" s="596"/>
      <c r="AB155" s="596"/>
    </row>
    <row r="156" spans="1:28" ht="16.25" customHeight="1">
      <c r="A156" s="675" t="s">
        <v>320</v>
      </c>
      <c r="B156" s="656">
        <v>-2.9171023799362499</v>
      </c>
      <c r="C156" s="668"/>
      <c r="D156" s="658">
        <v>0.70324590282883903</v>
      </c>
      <c r="E156" s="659">
        <v>3</v>
      </c>
      <c r="F156" s="659">
        <v>204</v>
      </c>
      <c r="G156" s="660">
        <v>0.88</v>
      </c>
      <c r="H156" s="661">
        <f t="shared" si="2"/>
        <v>-2.17</v>
      </c>
      <c r="I156" s="690"/>
      <c r="J156" s="684"/>
      <c r="K156" s="684"/>
      <c r="L156" s="685"/>
      <c r="M156" s="674" t="s">
        <v>321</v>
      </c>
      <c r="N156" s="596"/>
      <c r="O156" s="596"/>
      <c r="P156" s="596"/>
      <c r="Q156" s="596"/>
      <c r="R156" s="596"/>
      <c r="S156" s="596"/>
      <c r="T156" s="596"/>
      <c r="U156" s="596"/>
      <c r="V156" s="596"/>
      <c r="W156" s="596"/>
      <c r="X156" s="596"/>
      <c r="Y156" s="596"/>
      <c r="Z156" s="596"/>
      <c r="AA156" s="596"/>
      <c r="AB156" s="596"/>
    </row>
    <row r="157" spans="1:28" ht="16.25" customHeight="1">
      <c r="A157" s="655" t="s">
        <v>322</v>
      </c>
      <c r="B157" s="656">
        <v>-5.0626384265062656</v>
      </c>
      <c r="C157" s="668"/>
      <c r="D157" s="658">
        <v>0.7237903588794764</v>
      </c>
      <c r="E157" s="659">
        <v>7</v>
      </c>
      <c r="F157" s="659">
        <v>97.8</v>
      </c>
      <c r="G157" s="660">
        <v>6</v>
      </c>
      <c r="H157" s="661">
        <f t="shared" si="2"/>
        <v>-6.2279999999999998</v>
      </c>
      <c r="I157" s="690"/>
      <c r="J157" s="684"/>
      <c r="K157" s="684"/>
      <c r="L157" s="685"/>
      <c r="M157" s="674" t="s">
        <v>323</v>
      </c>
      <c r="N157" s="596"/>
      <c r="O157" s="596"/>
      <c r="P157" s="596"/>
      <c r="Q157" s="596"/>
      <c r="R157" s="596"/>
      <c r="S157" s="596"/>
      <c r="T157" s="596"/>
      <c r="U157" s="596"/>
      <c r="V157" s="596"/>
      <c r="W157" s="596"/>
      <c r="X157" s="596"/>
      <c r="Y157" s="596"/>
      <c r="Z157" s="596"/>
      <c r="AA157" s="596"/>
      <c r="AB157" s="596"/>
    </row>
    <row r="158" spans="1:28" ht="16.25" customHeight="1">
      <c r="A158" s="655" t="s">
        <v>324</v>
      </c>
      <c r="B158" s="656">
        <v>-5.9253310176282588</v>
      </c>
      <c r="C158" s="668"/>
      <c r="D158" s="658">
        <v>0.84033450922624497</v>
      </c>
      <c r="E158" s="659">
        <v>5</v>
      </c>
      <c r="F158" s="659">
        <v>262</v>
      </c>
      <c r="G158" s="660">
        <v>7.26</v>
      </c>
      <c r="H158" s="661">
        <f t="shared" si="2"/>
        <v>-9.129999999999999</v>
      </c>
      <c r="I158" s="690"/>
      <c r="J158" s="684"/>
      <c r="K158" s="684"/>
      <c r="L158" s="685"/>
      <c r="M158" s="674" t="s">
        <v>325</v>
      </c>
      <c r="N158" s="596"/>
      <c r="O158" s="596"/>
      <c r="P158" s="596"/>
      <c r="Q158" s="596"/>
      <c r="R158" s="596"/>
      <c r="S158" s="596"/>
      <c r="T158" s="596"/>
      <c r="U158" s="596"/>
      <c r="V158" s="596"/>
      <c r="W158" s="596"/>
      <c r="X158" s="596"/>
      <c r="Y158" s="596"/>
      <c r="Z158" s="596"/>
      <c r="AA158" s="596"/>
      <c r="AB158" s="596"/>
    </row>
    <row r="159" spans="1:28" ht="16.25" customHeight="1">
      <c r="A159" s="655" t="s">
        <v>326</v>
      </c>
      <c r="B159" s="656">
        <v>-4.6229854651366917</v>
      </c>
      <c r="C159" s="668"/>
      <c r="D159" s="658">
        <v>0.70969645885144073</v>
      </c>
      <c r="E159" s="659">
        <v>11</v>
      </c>
      <c r="F159" s="659">
        <v>149.6</v>
      </c>
      <c r="G159" s="660">
        <v>6.45</v>
      </c>
      <c r="H159" s="661">
        <f t="shared" si="2"/>
        <v>-7.1959999999999997</v>
      </c>
      <c r="I159" s="690"/>
      <c r="J159" s="684"/>
      <c r="K159" s="684"/>
      <c r="L159" s="685"/>
      <c r="M159" s="674" t="s">
        <v>327</v>
      </c>
      <c r="N159" s="596"/>
      <c r="O159" s="596"/>
      <c r="P159" s="596"/>
      <c r="Q159" s="596"/>
      <c r="R159" s="596"/>
      <c r="S159" s="596"/>
      <c r="T159" s="596"/>
      <c r="U159" s="596"/>
      <c r="V159" s="596"/>
      <c r="W159" s="596"/>
      <c r="X159" s="596"/>
      <c r="Y159" s="596"/>
      <c r="Z159" s="596"/>
      <c r="AA159" s="596"/>
      <c r="AB159" s="596"/>
    </row>
    <row r="160" spans="1:28" ht="16.25" customHeight="1">
      <c r="A160" s="667" t="s">
        <v>328</v>
      </c>
      <c r="B160" s="656">
        <v>-3.470368944940899</v>
      </c>
      <c r="C160" s="668"/>
      <c r="D160" s="658">
        <v>0.49644864464459931</v>
      </c>
      <c r="E160" s="659">
        <v>4</v>
      </c>
      <c r="F160" s="659">
        <v>304.5</v>
      </c>
      <c r="G160" s="660">
        <v>2.69</v>
      </c>
      <c r="H160" s="661">
        <f t="shared" si="2"/>
        <v>-4.9849999999999994</v>
      </c>
      <c r="I160" s="703"/>
      <c r="J160" s="692"/>
      <c r="K160" s="692"/>
      <c r="L160" s="693"/>
      <c r="M160" s="674" t="s">
        <v>329</v>
      </c>
      <c r="N160" s="596"/>
      <c r="O160" s="596"/>
      <c r="P160" s="596"/>
      <c r="Q160" s="596"/>
      <c r="R160" s="596"/>
      <c r="S160" s="596"/>
      <c r="T160" s="596"/>
      <c r="U160" s="596"/>
      <c r="V160" s="596"/>
      <c r="W160" s="596"/>
      <c r="X160" s="596"/>
      <c r="Y160" s="596"/>
      <c r="Z160" s="596"/>
      <c r="AA160" s="596"/>
      <c r="AB160" s="596"/>
    </row>
    <row r="161" spans="1:28" ht="15" customHeight="1">
      <c r="A161" s="718"/>
      <c r="B161" s="719"/>
      <c r="C161" s="705" t="s">
        <v>261</v>
      </c>
      <c r="D161" s="706">
        <f>AVERAGE(D129:D160)</f>
        <v>0.61629001144944573</v>
      </c>
      <c r="E161" s="718"/>
      <c r="F161" s="718"/>
      <c r="G161" s="718"/>
      <c r="H161" s="709" t="s">
        <v>262</v>
      </c>
      <c r="I161" s="720"/>
      <c r="J161" s="720"/>
      <c r="K161" s="720"/>
      <c r="L161" s="720"/>
      <c r="M161" s="718"/>
      <c r="N161" s="718"/>
      <c r="O161" s="718"/>
      <c r="P161" s="718"/>
      <c r="Q161" s="718"/>
      <c r="R161" s="718"/>
      <c r="S161" s="718"/>
      <c r="T161" s="718"/>
      <c r="U161" s="718"/>
      <c r="V161" s="718"/>
      <c r="W161" s="718"/>
      <c r="X161" s="718"/>
      <c r="Y161" s="718"/>
      <c r="Z161" s="718"/>
      <c r="AA161" s="718"/>
      <c r="AB161" s="718"/>
    </row>
    <row r="162" spans="1:28" ht="15" customHeight="1">
      <c r="A162" s="704"/>
      <c r="B162" s="596"/>
      <c r="C162" s="712" t="s">
        <v>263</v>
      </c>
      <c r="D162" s="706">
        <f>MIN(D129:D160)</f>
        <v>0.49644864464459931</v>
      </c>
      <c r="E162" s="707"/>
      <c r="F162" s="708"/>
      <c r="G162" s="708"/>
      <c r="H162" s="709" t="s">
        <v>330</v>
      </c>
      <c r="I162" s="708"/>
      <c r="J162" s="713"/>
      <c r="K162" s="713"/>
      <c r="L162" s="713"/>
      <c r="M162" s="704"/>
      <c r="N162" s="596"/>
      <c r="O162" s="596"/>
      <c r="P162" s="596"/>
      <c r="Q162" s="596"/>
      <c r="R162" s="596"/>
      <c r="S162" s="596"/>
      <c r="T162" s="596"/>
      <c r="U162" s="596"/>
      <c r="V162" s="596"/>
      <c r="W162" s="596"/>
      <c r="X162" s="596"/>
      <c r="Y162" s="596"/>
      <c r="Z162" s="596"/>
      <c r="AA162" s="596"/>
      <c r="AB162" s="596"/>
    </row>
    <row r="163" spans="1:28" ht="15" customHeight="1">
      <c r="A163" s="704"/>
      <c r="B163" s="596"/>
      <c r="C163" s="712" t="s">
        <v>265</v>
      </c>
      <c r="D163" s="706">
        <f>MAX(D129:D160)</f>
        <v>0.92735432696895004</v>
      </c>
      <c r="E163" s="707"/>
      <c r="F163" s="708"/>
      <c r="G163" s="708"/>
      <c r="H163" s="714"/>
      <c r="I163" s="708"/>
      <c r="J163" s="713"/>
      <c r="K163" s="713"/>
      <c r="L163" s="713"/>
      <c r="M163" s="704"/>
      <c r="N163" s="596"/>
      <c r="O163" s="596"/>
      <c r="P163" s="596"/>
      <c r="Q163" s="596"/>
      <c r="R163" s="596"/>
      <c r="S163" s="596"/>
      <c r="T163" s="596"/>
      <c r="U163" s="596"/>
      <c r="V163" s="596"/>
      <c r="W163" s="596"/>
      <c r="X163" s="596"/>
      <c r="Y163" s="596"/>
      <c r="Z163" s="596"/>
      <c r="AA163" s="596"/>
      <c r="AB163" s="596"/>
    </row>
    <row r="164" spans="1:28" ht="15" customHeight="1">
      <c r="A164" s="596"/>
      <c r="B164" s="596"/>
      <c r="C164" s="596"/>
      <c r="D164" s="596"/>
      <c r="E164" s="596"/>
      <c r="F164" s="596"/>
      <c r="G164" s="596"/>
      <c r="H164" s="596"/>
      <c r="I164" s="596"/>
      <c r="J164" s="596"/>
      <c r="K164" s="596"/>
      <c r="L164" s="596"/>
      <c r="M164" s="596"/>
      <c r="N164" s="596"/>
      <c r="O164" s="596"/>
      <c r="P164" s="596"/>
      <c r="Q164" s="596"/>
      <c r="R164" s="596"/>
      <c r="S164" s="596"/>
      <c r="T164" s="596"/>
      <c r="U164" s="596"/>
      <c r="V164" s="596"/>
      <c r="W164" s="596"/>
      <c r="X164" s="596"/>
      <c r="Y164" s="596"/>
      <c r="Z164" s="596"/>
      <c r="AA164" s="596"/>
      <c r="AB164" s="596"/>
    </row>
    <row r="165" spans="1:28" ht="15" customHeight="1">
      <c r="A165" s="620" t="s">
        <v>1031</v>
      </c>
      <c r="B165" s="596"/>
      <c r="C165" s="596"/>
      <c r="D165" s="596"/>
      <c r="E165" s="596"/>
      <c r="F165" s="596"/>
      <c r="G165" s="596"/>
      <c r="H165" s="596"/>
      <c r="I165" s="596"/>
      <c r="J165" s="596"/>
      <c r="K165" s="596"/>
      <c r="L165" s="596"/>
      <c r="M165" s="596"/>
      <c r="N165" s="596"/>
      <c r="O165" s="596"/>
      <c r="P165" s="596"/>
      <c r="Q165" s="596"/>
      <c r="R165" s="596"/>
      <c r="S165" s="596"/>
      <c r="T165" s="596"/>
      <c r="U165" s="596"/>
      <c r="V165" s="596"/>
      <c r="W165" s="596"/>
      <c r="X165" s="596"/>
      <c r="Y165" s="596"/>
      <c r="Z165" s="596"/>
      <c r="AA165" s="596"/>
      <c r="AB165" s="596"/>
    </row>
    <row r="166" spans="1:28" ht="15" customHeight="1">
      <c r="A166" s="620" t="s">
        <v>332</v>
      </c>
      <c r="B166" s="596"/>
      <c r="C166" s="596"/>
      <c r="D166" s="596"/>
      <c r="E166" s="596"/>
      <c r="F166" s="596"/>
      <c r="G166" s="596"/>
      <c r="H166" s="596"/>
      <c r="I166" s="596"/>
      <c r="J166" s="596"/>
      <c r="K166" s="596"/>
      <c r="L166" s="596"/>
      <c r="M166" s="596"/>
      <c r="N166" s="596"/>
      <c r="O166" s="596"/>
      <c r="P166" s="596"/>
      <c r="Q166" s="596"/>
      <c r="R166" s="596"/>
      <c r="S166" s="596"/>
      <c r="T166" s="596"/>
      <c r="U166" s="596"/>
      <c r="V166" s="596"/>
      <c r="W166" s="596"/>
      <c r="X166" s="596"/>
      <c r="Y166" s="596"/>
      <c r="Z166" s="596"/>
      <c r="AA166" s="596"/>
      <c r="AB166" s="596"/>
    </row>
    <row r="167" spans="1:28" ht="15" customHeight="1">
      <c r="A167" s="596"/>
      <c r="B167" s="596"/>
      <c r="C167" s="596"/>
      <c r="D167" s="596"/>
      <c r="E167" s="596"/>
      <c r="F167" s="596"/>
      <c r="G167" s="596"/>
      <c r="H167" s="596"/>
      <c r="I167" s="596"/>
      <c r="J167" s="596"/>
      <c r="K167" s="596"/>
      <c r="L167" s="596"/>
      <c r="M167" s="596"/>
      <c r="N167" s="596"/>
      <c r="O167" s="596"/>
      <c r="P167" s="596"/>
      <c r="Q167" s="596"/>
      <c r="R167" s="596"/>
      <c r="S167" s="596"/>
      <c r="T167" s="596"/>
      <c r="U167" s="596"/>
      <c r="V167" s="596"/>
      <c r="W167" s="596"/>
      <c r="X167" s="596"/>
      <c r="Y167" s="596"/>
      <c r="Z167" s="596"/>
      <c r="AA167" s="596"/>
      <c r="AB167" s="596"/>
    </row>
    <row r="168" spans="1:28" ht="15" customHeight="1">
      <c r="A168" s="620" t="s">
        <v>333</v>
      </c>
      <c r="B168" s="596"/>
      <c r="C168" s="596"/>
      <c r="D168" s="596"/>
      <c r="E168" s="596"/>
      <c r="F168" s="596"/>
      <c r="G168" s="596"/>
      <c r="H168" s="596"/>
      <c r="I168" s="596"/>
      <c r="J168" s="596"/>
      <c r="K168" s="596"/>
      <c r="L168" s="596"/>
      <c r="M168" s="596"/>
      <c r="N168" s="596"/>
      <c r="O168" s="596"/>
      <c r="P168" s="596"/>
      <c r="Q168" s="596"/>
      <c r="R168" s="596"/>
      <c r="S168" s="596"/>
      <c r="T168" s="596"/>
      <c r="U168" s="596"/>
      <c r="V168" s="596"/>
      <c r="W168" s="596"/>
      <c r="X168" s="596"/>
      <c r="Y168" s="596"/>
      <c r="Z168" s="596"/>
      <c r="AA168" s="596"/>
      <c r="AB168" s="596"/>
    </row>
    <row r="169" spans="1:28" ht="15" customHeight="1">
      <c r="A169" s="620" t="s">
        <v>1032</v>
      </c>
      <c r="B169" s="596"/>
      <c r="C169" s="596"/>
      <c r="D169" s="596"/>
      <c r="E169" s="596"/>
      <c r="F169" s="596"/>
      <c r="G169" s="596"/>
      <c r="H169" s="596"/>
      <c r="I169" s="596"/>
      <c r="J169" s="596"/>
      <c r="K169" s="596"/>
      <c r="L169" s="596"/>
      <c r="M169" s="596"/>
      <c r="N169" s="596"/>
      <c r="O169" s="596"/>
      <c r="P169" s="596"/>
      <c r="Q169" s="596"/>
      <c r="R169" s="596"/>
      <c r="S169" s="596"/>
      <c r="T169" s="596"/>
      <c r="U169" s="596"/>
      <c r="V169" s="596"/>
      <c r="W169" s="596"/>
      <c r="X169" s="596"/>
      <c r="Y169" s="596"/>
      <c r="Z169" s="596"/>
      <c r="AA169" s="596"/>
      <c r="AB169" s="596"/>
    </row>
    <row r="170" spans="1:28" ht="15.75" customHeight="1">
      <c r="A170" s="596"/>
      <c r="B170" s="596"/>
      <c r="C170" s="596"/>
      <c r="D170" s="596"/>
      <c r="E170" s="596"/>
      <c r="F170" s="596"/>
      <c r="G170" s="596"/>
      <c r="H170" s="596"/>
      <c r="I170" s="596"/>
      <c r="J170" s="596"/>
      <c r="K170" s="596"/>
      <c r="L170" s="596"/>
      <c r="M170" s="596"/>
      <c r="N170" s="596"/>
      <c r="O170" s="596"/>
      <c r="P170" s="596"/>
      <c r="Q170" s="596"/>
      <c r="R170" s="596"/>
      <c r="S170" s="596"/>
      <c r="T170" s="596"/>
      <c r="U170" s="596"/>
      <c r="V170" s="596"/>
      <c r="W170" s="596"/>
      <c r="X170" s="596"/>
      <c r="Y170" s="596"/>
      <c r="Z170" s="596"/>
      <c r="AA170" s="596"/>
      <c r="AB170" s="596"/>
    </row>
    <row r="171" spans="1:28" ht="18.75" customHeight="1">
      <c r="A171" s="721" t="s">
        <v>335</v>
      </c>
      <c r="B171" s="596"/>
      <c r="C171" s="596"/>
      <c r="D171" s="596"/>
      <c r="E171" s="596"/>
      <c r="F171" s="596"/>
      <c r="G171" s="596"/>
      <c r="H171" s="596"/>
      <c r="I171" s="596"/>
      <c r="J171" s="596"/>
      <c r="K171" s="596"/>
      <c r="L171" s="596"/>
      <c r="M171" s="596"/>
      <c r="N171" s="596"/>
      <c r="O171" s="596"/>
      <c r="P171" s="596"/>
      <c r="Q171" s="596"/>
      <c r="R171" s="596"/>
      <c r="S171" s="596"/>
      <c r="T171" s="596"/>
      <c r="U171" s="596"/>
      <c r="V171" s="596"/>
      <c r="W171" s="596"/>
      <c r="X171" s="596"/>
      <c r="Y171" s="596"/>
      <c r="Z171" s="596"/>
      <c r="AA171" s="596"/>
      <c r="AB171" s="596"/>
    </row>
    <row r="172" spans="1:28" ht="18.75" customHeight="1">
      <c r="A172" s="722" t="s">
        <v>1033</v>
      </c>
      <c r="B172" s="596"/>
      <c r="C172" s="596"/>
      <c r="D172" s="596"/>
      <c r="E172" s="596"/>
      <c r="F172" s="596"/>
      <c r="G172" s="596"/>
      <c r="H172" s="596"/>
      <c r="I172" s="596"/>
      <c r="J172" s="596"/>
      <c r="K172" s="596"/>
      <c r="L172" s="596"/>
      <c r="M172" s="596"/>
      <c r="N172" s="596"/>
      <c r="O172" s="596"/>
      <c r="P172" s="596"/>
      <c r="Q172" s="596"/>
      <c r="R172" s="596"/>
      <c r="S172" s="596"/>
      <c r="T172" s="596"/>
      <c r="U172" s="596"/>
      <c r="V172" s="596"/>
      <c r="W172" s="596"/>
      <c r="X172" s="596"/>
      <c r="Y172" s="596"/>
      <c r="Z172" s="596"/>
      <c r="AA172" s="596"/>
      <c r="AB172" s="596"/>
    </row>
    <row r="173" spans="1:28" ht="15.75" customHeight="1">
      <c r="A173" s="722" t="s">
        <v>1034</v>
      </c>
      <c r="B173" s="596"/>
      <c r="C173" s="596"/>
      <c r="D173" s="596"/>
      <c r="E173" s="596"/>
      <c r="F173" s="596"/>
      <c r="G173" s="596"/>
      <c r="H173" s="596"/>
      <c r="I173" s="596"/>
      <c r="J173" s="596"/>
      <c r="K173" s="596"/>
      <c r="L173" s="596"/>
      <c r="M173" s="596"/>
      <c r="N173" s="596"/>
      <c r="O173" s="596"/>
      <c r="P173" s="596"/>
      <c r="Q173" s="596"/>
      <c r="R173" s="596"/>
      <c r="S173" s="596"/>
      <c r="T173" s="596"/>
      <c r="U173" s="596"/>
      <c r="V173" s="596"/>
      <c r="W173" s="596"/>
      <c r="X173" s="596"/>
      <c r="Y173" s="596"/>
      <c r="Z173" s="596"/>
      <c r="AA173" s="596"/>
      <c r="AB173" s="596"/>
    </row>
    <row r="174" spans="1:28" ht="15" customHeight="1">
      <c r="A174" s="723" t="s">
        <v>1035</v>
      </c>
      <c r="B174" s="596"/>
      <c r="C174" s="596"/>
      <c r="D174" s="596"/>
      <c r="E174" s="596"/>
      <c r="F174" s="596"/>
      <c r="G174" s="596"/>
      <c r="H174" s="596"/>
      <c r="I174" s="596"/>
      <c r="J174" s="596"/>
      <c r="K174" s="596"/>
      <c r="L174" s="596"/>
      <c r="M174" s="596"/>
      <c r="N174" s="596"/>
      <c r="O174" s="596"/>
      <c r="P174" s="596"/>
      <c r="Q174" s="596"/>
      <c r="R174" s="596"/>
      <c r="S174" s="596"/>
      <c r="T174" s="596"/>
      <c r="U174" s="596"/>
      <c r="V174" s="596"/>
      <c r="W174" s="596"/>
      <c r="X174" s="596"/>
      <c r="Y174" s="596"/>
      <c r="Z174" s="596"/>
      <c r="AA174" s="596"/>
      <c r="AB174" s="596"/>
    </row>
    <row r="175" spans="1:28" ht="15" customHeight="1">
      <c r="A175" s="724" t="s">
        <v>1036</v>
      </c>
      <c r="B175" s="596"/>
      <c r="C175" s="596"/>
      <c r="D175" s="596"/>
      <c r="E175" s="596"/>
      <c r="F175" s="596"/>
      <c r="G175" s="596"/>
      <c r="H175" s="596"/>
      <c r="I175" s="596"/>
      <c r="J175" s="596"/>
      <c r="K175" s="596"/>
      <c r="L175" s="596"/>
      <c r="M175" s="596"/>
      <c r="N175" s="596"/>
      <c r="O175" s="596"/>
      <c r="P175" s="596"/>
      <c r="Q175" s="596"/>
      <c r="R175" s="596"/>
      <c r="S175" s="596"/>
      <c r="T175" s="596"/>
      <c r="U175" s="596"/>
      <c r="V175" s="596"/>
      <c r="W175" s="596"/>
      <c r="X175" s="596"/>
      <c r="Y175" s="596"/>
      <c r="Z175" s="596"/>
      <c r="AA175" s="596"/>
      <c r="AB175" s="596"/>
    </row>
    <row r="176" spans="1:28" ht="15" customHeight="1">
      <c r="A176" s="725" t="s">
        <v>1037</v>
      </c>
      <c r="B176" s="596"/>
      <c r="C176" s="596"/>
      <c r="D176" s="596"/>
      <c r="E176" s="596"/>
      <c r="F176" s="596"/>
      <c r="G176" s="596"/>
      <c r="H176" s="596"/>
      <c r="I176" s="596"/>
      <c r="J176" s="596"/>
      <c r="K176" s="596"/>
      <c r="L176" s="596"/>
      <c r="M176" s="596"/>
      <c r="N176" s="596"/>
      <c r="O176" s="596"/>
      <c r="P176" s="596"/>
      <c r="Q176" s="596"/>
      <c r="R176" s="596"/>
      <c r="S176" s="596"/>
      <c r="T176" s="596"/>
      <c r="U176" s="596"/>
      <c r="V176" s="596"/>
      <c r="W176" s="596"/>
      <c r="X176" s="596"/>
      <c r="Y176" s="596"/>
      <c r="Z176" s="596"/>
      <c r="AA176" s="596"/>
      <c r="AB176" s="596"/>
    </row>
    <row r="177" spans="1:28" ht="15" customHeight="1">
      <c r="A177" s="620" t="s">
        <v>1038</v>
      </c>
      <c r="B177" s="596"/>
      <c r="C177" s="596"/>
      <c r="D177" s="596"/>
      <c r="E177" s="596"/>
      <c r="F177" s="596"/>
      <c r="G177" s="596"/>
      <c r="H177" s="596"/>
      <c r="I177" s="596"/>
      <c r="J177" s="596"/>
      <c r="K177" s="596"/>
      <c r="L177" s="596"/>
      <c r="M177" s="596"/>
      <c r="N177" s="596"/>
      <c r="O177" s="596"/>
      <c r="P177" s="596"/>
      <c r="Q177" s="596"/>
      <c r="R177" s="596"/>
      <c r="S177" s="596"/>
      <c r="T177" s="596"/>
      <c r="U177" s="596"/>
      <c r="V177" s="596"/>
      <c r="W177" s="596"/>
      <c r="X177" s="596"/>
      <c r="Y177" s="596"/>
      <c r="Z177" s="596"/>
      <c r="AA177" s="596"/>
      <c r="AB177" s="596"/>
    </row>
    <row r="178" spans="1:28" ht="15" customHeight="1">
      <c r="A178" s="726" t="s">
        <v>1039</v>
      </c>
      <c r="B178" s="596"/>
      <c r="C178" s="596"/>
      <c r="D178" s="596"/>
      <c r="E178" s="596"/>
      <c r="F178" s="596"/>
      <c r="G178" s="596"/>
      <c r="H178" s="596"/>
      <c r="I178" s="596"/>
      <c r="J178" s="596"/>
      <c r="K178" s="596"/>
      <c r="L178" s="596"/>
      <c r="M178" s="596"/>
      <c r="N178" s="596"/>
      <c r="O178" s="596"/>
      <c r="P178" s="596"/>
      <c r="Q178" s="596"/>
      <c r="R178" s="596"/>
      <c r="S178" s="596"/>
      <c r="T178" s="596"/>
      <c r="U178" s="596"/>
      <c r="V178" s="596"/>
      <c r="W178" s="596"/>
      <c r="X178" s="596"/>
      <c r="Y178" s="596"/>
      <c r="Z178" s="596"/>
      <c r="AA178" s="596"/>
      <c r="AB178" s="596"/>
    </row>
    <row r="179" spans="1:28" ht="15" customHeight="1">
      <c r="A179" s="620" t="s">
        <v>1040</v>
      </c>
      <c r="B179" s="596"/>
      <c r="C179" s="596"/>
      <c r="D179" s="596"/>
      <c r="E179" s="596"/>
      <c r="F179" s="596"/>
      <c r="G179" s="596"/>
      <c r="H179" s="596"/>
      <c r="I179" s="596"/>
      <c r="J179" s="596"/>
      <c r="K179" s="596"/>
      <c r="L179" s="596"/>
      <c r="M179" s="596"/>
      <c r="N179" s="596"/>
      <c r="O179" s="596"/>
      <c r="P179" s="596"/>
      <c r="Q179" s="596"/>
      <c r="R179" s="596"/>
      <c r="S179" s="596"/>
      <c r="T179" s="596"/>
      <c r="U179" s="596"/>
      <c r="V179" s="596"/>
      <c r="W179" s="596"/>
      <c r="X179" s="596"/>
      <c r="Y179" s="596"/>
      <c r="Z179" s="596"/>
      <c r="AA179" s="596"/>
      <c r="AB179" s="596"/>
    </row>
    <row r="180" spans="1:28" ht="15" customHeight="1">
      <c r="A180" s="725" t="s">
        <v>1041</v>
      </c>
      <c r="B180" s="596"/>
      <c r="C180" s="596"/>
      <c r="D180" s="596"/>
      <c r="E180" s="596"/>
      <c r="F180" s="596"/>
      <c r="G180" s="596"/>
      <c r="H180" s="596"/>
      <c r="I180" s="596"/>
      <c r="J180" s="596"/>
      <c r="K180" s="596"/>
      <c r="L180" s="596"/>
      <c r="M180" s="596"/>
      <c r="N180" s="596"/>
      <c r="O180" s="596"/>
      <c r="P180" s="596"/>
      <c r="Q180" s="596"/>
      <c r="R180" s="596"/>
      <c r="S180" s="596"/>
      <c r="T180" s="596"/>
      <c r="U180" s="596"/>
      <c r="V180" s="596"/>
      <c r="W180" s="596"/>
      <c r="X180" s="596"/>
      <c r="Y180" s="596"/>
      <c r="Z180" s="596"/>
      <c r="AA180" s="596"/>
      <c r="AB180" s="596"/>
    </row>
    <row r="181" spans="1:28" ht="15" customHeight="1">
      <c r="A181" s="620" t="s">
        <v>1042</v>
      </c>
      <c r="B181" s="596"/>
      <c r="C181" s="596"/>
      <c r="D181" s="596"/>
      <c r="E181" s="596"/>
      <c r="F181" s="596"/>
      <c r="G181" s="596"/>
      <c r="H181" s="596"/>
      <c r="I181" s="596"/>
      <c r="J181" s="596"/>
      <c r="K181" s="596"/>
      <c r="L181" s="596"/>
      <c r="M181" s="596"/>
      <c r="N181" s="596"/>
      <c r="O181" s="596"/>
      <c r="P181" s="596"/>
      <c r="Q181" s="596"/>
      <c r="R181" s="596"/>
      <c r="S181" s="596"/>
      <c r="T181" s="596"/>
      <c r="U181" s="596"/>
      <c r="V181" s="596"/>
      <c r="W181" s="596"/>
      <c r="X181" s="596"/>
      <c r="Y181" s="596"/>
      <c r="Z181" s="596"/>
      <c r="AA181" s="596"/>
      <c r="AB181" s="596"/>
    </row>
    <row r="182" spans="1:28" ht="15" customHeight="1">
      <c r="A182" s="620" t="s">
        <v>1043</v>
      </c>
      <c r="B182" s="596"/>
      <c r="C182" s="596"/>
      <c r="D182" s="596"/>
      <c r="E182" s="596"/>
      <c r="F182" s="596"/>
      <c r="G182" s="596"/>
      <c r="H182" s="596"/>
      <c r="I182" s="596"/>
      <c r="J182" s="596"/>
      <c r="K182" s="596"/>
      <c r="L182" s="596"/>
      <c r="M182" s="596"/>
      <c r="N182" s="596"/>
      <c r="O182" s="596"/>
      <c r="P182" s="596"/>
      <c r="Q182" s="596"/>
      <c r="R182" s="596"/>
      <c r="S182" s="596"/>
      <c r="T182" s="596"/>
      <c r="U182" s="596"/>
      <c r="V182" s="596"/>
      <c r="W182" s="596"/>
      <c r="X182" s="596"/>
      <c r="Y182" s="596"/>
      <c r="Z182" s="596"/>
      <c r="AA182" s="596"/>
      <c r="AB182" s="596"/>
    </row>
    <row r="183" spans="1:28" ht="15" customHeight="1">
      <c r="A183" s="723" t="s">
        <v>1044</v>
      </c>
      <c r="B183" s="596"/>
      <c r="C183" s="596"/>
      <c r="D183" s="596"/>
      <c r="E183" s="596"/>
      <c r="F183" s="596"/>
      <c r="G183" s="596"/>
      <c r="H183" s="596"/>
      <c r="I183" s="596"/>
      <c r="J183" s="596"/>
      <c r="K183" s="596"/>
      <c r="L183" s="596"/>
      <c r="M183" s="596"/>
      <c r="N183" s="596"/>
      <c r="O183" s="596"/>
      <c r="P183" s="596"/>
      <c r="Q183" s="596"/>
      <c r="R183" s="596"/>
      <c r="S183" s="596"/>
      <c r="T183" s="596"/>
      <c r="U183" s="596"/>
      <c r="V183" s="596"/>
      <c r="W183" s="596"/>
      <c r="X183" s="596"/>
      <c r="Y183" s="596"/>
      <c r="Z183" s="596"/>
      <c r="AA183" s="596"/>
      <c r="AB183" s="596"/>
    </row>
    <row r="184" spans="1:28" ht="15" customHeight="1">
      <c r="A184" s="723" t="s">
        <v>1045</v>
      </c>
      <c r="B184" s="596"/>
      <c r="C184" s="596"/>
      <c r="D184" s="596"/>
      <c r="E184" s="596"/>
      <c r="F184" s="596"/>
      <c r="G184" s="596"/>
      <c r="H184" s="596"/>
      <c r="I184" s="596"/>
      <c r="J184" s="596"/>
      <c r="K184" s="596"/>
      <c r="L184" s="596"/>
      <c r="M184" s="596"/>
      <c r="N184" s="596"/>
      <c r="O184" s="596"/>
      <c r="P184" s="596"/>
      <c r="Q184" s="596"/>
      <c r="R184" s="596"/>
      <c r="S184" s="596"/>
      <c r="T184" s="596"/>
      <c r="U184" s="596"/>
      <c r="V184" s="596"/>
      <c r="W184" s="596"/>
      <c r="X184" s="596"/>
      <c r="Y184" s="596"/>
      <c r="Z184" s="596"/>
      <c r="AA184" s="596"/>
      <c r="AB184" s="596"/>
    </row>
    <row r="185" spans="1:28" ht="15" customHeight="1">
      <c r="A185" s="620" t="s">
        <v>1046</v>
      </c>
      <c r="B185" s="596"/>
      <c r="C185" s="596"/>
      <c r="D185" s="596"/>
      <c r="E185" s="596"/>
      <c r="F185" s="596"/>
      <c r="G185" s="596"/>
      <c r="H185" s="596"/>
      <c r="I185" s="596"/>
      <c r="J185" s="596"/>
      <c r="K185" s="596"/>
      <c r="L185" s="596"/>
      <c r="M185" s="596"/>
      <c r="N185" s="596"/>
      <c r="O185" s="596"/>
      <c r="P185" s="596"/>
      <c r="Q185" s="596"/>
      <c r="R185" s="596"/>
      <c r="S185" s="596"/>
      <c r="T185" s="596"/>
      <c r="U185" s="596"/>
      <c r="V185" s="596"/>
      <c r="W185" s="596"/>
      <c r="X185" s="596"/>
      <c r="Y185" s="596"/>
      <c r="Z185" s="596"/>
      <c r="AA185" s="596"/>
      <c r="AB185" s="596"/>
    </row>
    <row r="186" spans="1:28" ht="15" customHeight="1">
      <c r="A186" s="620" t="s">
        <v>1047</v>
      </c>
      <c r="B186" s="596"/>
      <c r="C186" s="596"/>
      <c r="D186" s="596"/>
      <c r="E186" s="596"/>
      <c r="F186" s="596"/>
      <c r="G186" s="596"/>
      <c r="H186" s="596"/>
      <c r="I186" s="596"/>
      <c r="J186" s="596"/>
      <c r="K186" s="596"/>
      <c r="L186" s="596"/>
      <c r="M186" s="596"/>
      <c r="N186" s="596"/>
      <c r="O186" s="596"/>
      <c r="P186" s="596"/>
      <c r="Q186" s="596"/>
      <c r="R186" s="596"/>
      <c r="S186" s="596"/>
      <c r="T186" s="596"/>
      <c r="U186" s="596"/>
      <c r="V186" s="596"/>
      <c r="W186" s="596"/>
      <c r="X186" s="596"/>
      <c r="Y186" s="596"/>
      <c r="Z186" s="596"/>
      <c r="AA186" s="596"/>
      <c r="AB186" s="596"/>
    </row>
    <row r="187" spans="1:28" ht="15" customHeight="1">
      <c r="A187" s="726" t="s">
        <v>1048</v>
      </c>
      <c r="B187" s="596"/>
      <c r="C187" s="596"/>
      <c r="D187" s="596"/>
      <c r="E187" s="596"/>
      <c r="F187" s="596"/>
      <c r="G187" s="596"/>
      <c r="H187" s="596"/>
      <c r="I187" s="596"/>
      <c r="J187" s="596"/>
      <c r="K187" s="596"/>
      <c r="L187" s="596"/>
      <c r="M187" s="596"/>
      <c r="N187" s="596"/>
      <c r="O187" s="596"/>
      <c r="P187" s="596"/>
      <c r="Q187" s="596"/>
      <c r="R187" s="596"/>
      <c r="S187" s="596"/>
      <c r="T187" s="596"/>
      <c r="U187" s="596"/>
      <c r="V187" s="596"/>
      <c r="W187" s="596"/>
      <c r="X187" s="596"/>
      <c r="Y187" s="596"/>
      <c r="Z187" s="596"/>
      <c r="AA187" s="596"/>
      <c r="AB187" s="596"/>
    </row>
    <row r="188" spans="1:28" ht="15" customHeight="1">
      <c r="A188" s="726" t="s">
        <v>1049</v>
      </c>
      <c r="B188" s="596"/>
      <c r="C188" s="596"/>
      <c r="D188" s="596"/>
      <c r="E188" s="596"/>
      <c r="F188" s="596"/>
      <c r="G188" s="596"/>
      <c r="H188" s="596"/>
      <c r="I188" s="596"/>
      <c r="J188" s="596"/>
      <c r="K188" s="596"/>
      <c r="L188" s="596"/>
      <c r="M188" s="596"/>
      <c r="N188" s="596"/>
      <c r="O188" s="596"/>
      <c r="P188" s="596"/>
      <c r="Q188" s="596"/>
      <c r="R188" s="596"/>
      <c r="S188" s="596"/>
      <c r="T188" s="596"/>
      <c r="U188" s="596"/>
      <c r="V188" s="596"/>
      <c r="W188" s="596"/>
      <c r="X188" s="596"/>
      <c r="Y188" s="596"/>
      <c r="Z188" s="596"/>
      <c r="AA188" s="596"/>
      <c r="AB188" s="596"/>
    </row>
    <row r="189" spans="1:28" ht="15" customHeight="1">
      <c r="A189" s="725" t="s">
        <v>1024</v>
      </c>
      <c r="B189" s="596"/>
      <c r="C189" s="596"/>
      <c r="D189" s="596"/>
      <c r="E189" s="596"/>
      <c r="F189" s="596"/>
      <c r="G189" s="596"/>
      <c r="H189" s="596"/>
      <c r="I189" s="596"/>
      <c r="J189" s="596"/>
      <c r="K189" s="596"/>
      <c r="L189" s="596"/>
      <c r="M189" s="596"/>
      <c r="N189" s="596"/>
      <c r="O189" s="596"/>
      <c r="P189" s="596"/>
      <c r="Q189" s="596"/>
      <c r="R189" s="596"/>
      <c r="S189" s="596"/>
      <c r="T189" s="596"/>
      <c r="U189" s="596"/>
      <c r="V189" s="596"/>
      <c r="W189" s="596"/>
      <c r="X189" s="596"/>
      <c r="Y189" s="596"/>
      <c r="Z189" s="596"/>
      <c r="AA189" s="596"/>
      <c r="AB189" s="596"/>
    </row>
    <row r="190" spans="1:28" ht="15" customHeight="1">
      <c r="A190" s="726" t="s">
        <v>1050</v>
      </c>
      <c r="B190" s="596"/>
      <c r="C190" s="596"/>
      <c r="D190" s="596"/>
      <c r="E190" s="596"/>
      <c r="F190" s="596"/>
      <c r="G190" s="596"/>
      <c r="H190" s="596"/>
      <c r="I190" s="596"/>
      <c r="J190" s="596"/>
      <c r="K190" s="596"/>
      <c r="L190" s="596"/>
      <c r="M190" s="596"/>
      <c r="N190" s="596"/>
      <c r="O190" s="596"/>
      <c r="P190" s="596"/>
      <c r="Q190" s="596"/>
      <c r="R190" s="596"/>
      <c r="S190" s="596"/>
      <c r="T190" s="596"/>
      <c r="U190" s="596"/>
      <c r="V190" s="596"/>
      <c r="W190" s="596"/>
      <c r="X190" s="596"/>
      <c r="Y190" s="596"/>
      <c r="Z190" s="596"/>
      <c r="AA190" s="596"/>
      <c r="AB190" s="596"/>
    </row>
    <row r="191" spans="1:28" ht="15" customHeight="1">
      <c r="A191" s="620" t="s">
        <v>1051</v>
      </c>
      <c r="B191" s="596"/>
      <c r="C191" s="596"/>
      <c r="D191" s="596"/>
      <c r="E191" s="596"/>
      <c r="F191" s="596"/>
      <c r="G191" s="596"/>
      <c r="H191" s="596"/>
      <c r="I191" s="596"/>
      <c r="J191" s="596"/>
      <c r="K191" s="596"/>
      <c r="L191" s="596"/>
      <c r="M191" s="596"/>
      <c r="N191" s="596"/>
      <c r="O191" s="596"/>
      <c r="P191" s="596"/>
      <c r="Q191" s="596"/>
      <c r="R191" s="596"/>
      <c r="S191" s="596"/>
      <c r="T191" s="596"/>
      <c r="U191" s="596"/>
      <c r="V191" s="596"/>
      <c r="W191" s="596"/>
      <c r="X191" s="596"/>
      <c r="Y191" s="596"/>
      <c r="Z191" s="596"/>
      <c r="AA191" s="596"/>
      <c r="AB191" s="596"/>
    </row>
    <row r="192" spans="1:28" ht="15" customHeight="1">
      <c r="A192" s="596"/>
      <c r="B192" s="596"/>
      <c r="C192" s="596"/>
      <c r="D192" s="596"/>
      <c r="E192" s="596"/>
      <c r="F192" s="596"/>
      <c r="G192" s="596"/>
      <c r="H192" s="596"/>
      <c r="I192" s="596"/>
      <c r="J192" s="596"/>
      <c r="K192" s="596"/>
      <c r="L192" s="596"/>
      <c r="M192" s="596"/>
      <c r="N192" s="596"/>
      <c r="O192" s="596"/>
      <c r="P192" s="596"/>
      <c r="Q192" s="596"/>
      <c r="R192" s="596"/>
      <c r="S192" s="596"/>
      <c r="T192" s="596"/>
      <c r="U192" s="596"/>
      <c r="V192" s="596"/>
      <c r="W192" s="596"/>
      <c r="X192" s="596"/>
      <c r="Y192" s="596"/>
      <c r="Z192" s="596"/>
      <c r="AA192" s="596"/>
      <c r="AB192" s="596"/>
    </row>
    <row r="193" spans="1:28" ht="15" customHeight="1">
      <c r="A193" s="727" t="s">
        <v>1052</v>
      </c>
      <c r="B193" s="604"/>
      <c r="C193" s="604"/>
      <c r="D193" s="604"/>
      <c r="E193" s="604"/>
      <c r="F193" s="604"/>
      <c r="G193" s="604"/>
      <c r="H193" s="604"/>
      <c r="I193" s="604"/>
      <c r="J193" s="604"/>
      <c r="K193" s="604"/>
      <c r="L193" s="604"/>
      <c r="M193" s="604"/>
      <c r="N193" s="604"/>
      <c r="O193" s="604"/>
      <c r="P193" s="604"/>
      <c r="Q193" s="604"/>
      <c r="R193" s="596"/>
      <c r="S193" s="596"/>
      <c r="T193" s="596"/>
      <c r="U193" s="596"/>
      <c r="V193" s="596"/>
      <c r="W193" s="596"/>
      <c r="X193" s="596"/>
      <c r="Y193" s="596"/>
      <c r="Z193" s="596"/>
      <c r="AA193" s="596"/>
      <c r="AB193" s="596"/>
    </row>
    <row r="194" spans="1:28" ht="15" customHeight="1">
      <c r="A194" s="728" t="s">
        <v>1053</v>
      </c>
      <c r="B194" s="610"/>
      <c r="C194" s="610"/>
      <c r="D194" s="610"/>
      <c r="E194" s="610"/>
      <c r="F194" s="610"/>
      <c r="G194" s="610"/>
      <c r="H194" s="610"/>
      <c r="I194" s="610"/>
      <c r="J194" s="610"/>
      <c r="K194" s="610"/>
      <c r="L194" s="610"/>
      <c r="M194" s="610"/>
      <c r="N194" s="610"/>
      <c r="O194" s="610"/>
      <c r="P194" s="610"/>
      <c r="Q194" s="611"/>
      <c r="R194" s="612"/>
      <c r="S194" s="596"/>
      <c r="T194" s="596"/>
      <c r="U194" s="596"/>
      <c r="V194" s="596"/>
      <c r="W194" s="596"/>
      <c r="X194" s="596"/>
      <c r="Y194" s="596"/>
      <c r="Z194" s="596"/>
      <c r="AA194" s="596"/>
      <c r="AB194" s="596"/>
    </row>
  </sheetData>
  <hyperlinks>
    <hyperlink ref="K30" r:id="rId1" xr:uid="{54BE62F3-E4A1-4D79-97A8-025EE44DA60D}"/>
    <hyperlink ref="I64" r:id="rId2" xr:uid="{A44C866C-4841-40DA-B287-0F92C80BF1BF}"/>
    <hyperlink ref="K136" r:id="rId3" xr:uid="{17ED166C-DE8B-4102-AD18-73AC79DC0FF6}"/>
    <hyperlink ref="I154" r:id="rId4" xr:uid="{47F382FD-0DD1-4597-A4C0-042F262F3C60}"/>
    <hyperlink ref="A194" r:id="rId5" location="auth-1" xr:uid="{9F9E54E1-1B21-4F55-8375-EF62319BAF7A}"/>
  </hyperlinks>
  <pageMargins left="0" right="0" top="0" bottom="0" header="0.3" footer="0.3"/>
  <pageSetup scale="54" orientation="landscape" r:id="rId6"/>
  <headerFooter>
    <oddFooter>&amp;C&amp;"Helvetica Neue,Regular"&amp;12&amp;K000000&amp;P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CA12E-9A2F-4776-AB7B-17A62895FE62}">
  <dimension ref="A1:AB194"/>
  <sheetViews>
    <sheetView zoomScale="110" zoomScaleNormal="110" workbookViewId="0">
      <selection activeCell="B4" sqref="B4:B9"/>
    </sheetView>
  </sheetViews>
  <sheetFormatPr baseColWidth="10" defaultColWidth="8.83203125" defaultRowHeight="15"/>
  <cols>
    <col min="1" max="1" width="18.83203125" style="241" customWidth="1"/>
    <col min="2" max="3" width="11.33203125" style="241" customWidth="1"/>
    <col min="4" max="4" width="7.6640625" style="241" customWidth="1"/>
    <col min="5" max="5" width="7.83203125" style="241" customWidth="1"/>
    <col min="6" max="6" width="10.1640625" style="241" customWidth="1"/>
    <col min="7" max="7" width="11.5" style="241" customWidth="1"/>
    <col min="8" max="8" width="9.1640625" style="241" customWidth="1"/>
    <col min="9" max="9" width="13.1640625" style="241" customWidth="1"/>
    <col min="10" max="10" width="6.5" style="241" customWidth="1"/>
    <col min="11" max="12" width="9.1640625" style="241" customWidth="1"/>
    <col min="13" max="13" width="9" style="244" customWidth="1"/>
    <col min="14" max="1025" width="9.1640625" style="241" customWidth="1"/>
    <col min="1026" max="16384" width="8.83203125" style="241"/>
  </cols>
  <sheetData>
    <row r="1" spans="1:25" ht="34">
      <c r="B1" s="242" t="s">
        <v>0</v>
      </c>
      <c r="C1" s="243"/>
      <c r="Y1" s="730"/>
    </row>
    <row r="2" spans="1:25" s="244" customFormat="1" ht="21">
      <c r="B2" s="731" t="s">
        <v>1</v>
      </c>
      <c r="C2" s="247"/>
      <c r="Y2" s="248"/>
    </row>
    <row r="3" spans="1:25" s="244" customFormat="1" ht="19">
      <c r="B3" s="732" t="s">
        <v>2</v>
      </c>
      <c r="C3" s="247"/>
      <c r="Y3" s="733"/>
    </row>
    <row r="4" spans="1:25">
      <c r="A4" s="734" t="s">
        <v>3</v>
      </c>
      <c r="B4" s="735"/>
      <c r="C4" s="736"/>
      <c r="D4" s="736"/>
      <c r="E4" s="736"/>
      <c r="F4" s="736"/>
      <c r="G4" s="736"/>
      <c r="H4" s="736"/>
      <c r="I4" s="736"/>
      <c r="J4" s="736"/>
      <c r="K4" s="736"/>
      <c r="L4" s="736"/>
      <c r="M4" s="737"/>
      <c r="N4" s="736"/>
      <c r="O4" s="736"/>
      <c r="P4" s="736"/>
      <c r="Q4" s="736"/>
      <c r="R4" s="738"/>
    </row>
    <row r="5" spans="1:25">
      <c r="A5" s="734" t="s">
        <v>4</v>
      </c>
      <c r="B5" s="256"/>
      <c r="C5" s="256"/>
      <c r="D5" s="256"/>
      <c r="E5" s="256"/>
      <c r="F5" s="256"/>
      <c r="G5" s="256"/>
      <c r="H5" s="256"/>
      <c r="I5" s="256"/>
      <c r="J5" s="256"/>
      <c r="K5" s="256"/>
      <c r="L5" s="256"/>
      <c r="M5" s="257"/>
      <c r="N5" s="256"/>
      <c r="O5" s="256"/>
      <c r="P5" s="256"/>
      <c r="Q5" s="256"/>
      <c r="R5" s="739"/>
    </row>
    <row r="6" spans="1:25">
      <c r="A6" s="740" t="s">
        <v>5</v>
      </c>
      <c r="B6" s="735"/>
      <c r="C6" s="736"/>
      <c r="D6" s="736"/>
      <c r="E6" s="736"/>
      <c r="F6" s="736"/>
      <c r="G6" s="736"/>
      <c r="H6" s="736"/>
      <c r="I6" s="736"/>
      <c r="J6" s="736"/>
      <c r="K6" s="736"/>
      <c r="L6" s="736"/>
      <c r="M6" s="737"/>
      <c r="N6" s="736"/>
      <c r="O6" s="736"/>
      <c r="P6" s="736"/>
      <c r="Q6" s="736"/>
      <c r="R6" s="738"/>
    </row>
    <row r="7" spans="1:25">
      <c r="A7" s="741"/>
      <c r="B7" s="742"/>
      <c r="C7" s="256"/>
      <c r="D7" s="256"/>
      <c r="E7" s="256"/>
      <c r="F7" s="256"/>
      <c r="G7" s="256"/>
      <c r="H7" s="256"/>
      <c r="I7" s="256"/>
      <c r="J7" s="256"/>
      <c r="K7" s="256"/>
      <c r="L7" s="256"/>
      <c r="M7" s="257"/>
      <c r="N7" s="256"/>
      <c r="O7" s="256"/>
      <c r="P7" s="256"/>
      <c r="Q7" s="256"/>
      <c r="R7" s="739"/>
    </row>
    <row r="8" spans="1:25">
      <c r="A8" s="740" t="s">
        <v>6</v>
      </c>
      <c r="B8" s="735"/>
      <c r="C8" s="736"/>
      <c r="D8" s="736"/>
      <c r="E8" s="736"/>
      <c r="F8" s="736"/>
      <c r="G8" s="736"/>
      <c r="H8" s="736"/>
      <c r="I8" s="736"/>
      <c r="J8" s="736"/>
      <c r="K8" s="736"/>
      <c r="L8" s="736"/>
      <c r="M8" s="737"/>
      <c r="N8" s="736"/>
      <c r="O8" s="736"/>
      <c r="P8" s="736"/>
      <c r="Q8" s="736"/>
      <c r="R8" s="738"/>
    </row>
    <row r="9" spans="1:25">
      <c r="A9" s="743" t="s">
        <v>7</v>
      </c>
      <c r="B9" s="744"/>
      <c r="C9" s="745"/>
      <c r="D9" s="745"/>
      <c r="E9" s="745"/>
      <c r="F9" s="745"/>
      <c r="G9" s="745"/>
      <c r="H9" s="745"/>
      <c r="I9" s="745"/>
      <c r="J9" s="745"/>
      <c r="K9" s="745"/>
      <c r="L9" s="745"/>
      <c r="M9" s="746"/>
      <c r="N9" s="745"/>
      <c r="O9" s="745"/>
      <c r="P9" s="745"/>
      <c r="Q9" s="745"/>
      <c r="R9" s="747"/>
    </row>
    <row r="10" spans="1:25">
      <c r="A10" s="266"/>
    </row>
    <row r="11" spans="1:25" s="267" customFormat="1" ht="26">
      <c r="A11" s="267" t="s">
        <v>689</v>
      </c>
    </row>
    <row r="12" spans="1:25">
      <c r="B12" s="268" t="s">
        <v>690</v>
      </c>
    </row>
    <row r="13" spans="1:25" s="270" customFormat="1">
      <c r="A13" s="269" t="s">
        <v>691</v>
      </c>
    </row>
    <row r="14" spans="1:25">
      <c r="B14" s="748" t="s">
        <v>32</v>
      </c>
      <c r="C14" s="241" t="s">
        <v>11</v>
      </c>
    </row>
    <row r="15" spans="1:25" s="270" customFormat="1">
      <c r="A15" s="269" t="s">
        <v>12</v>
      </c>
    </row>
    <row r="16" spans="1:25">
      <c r="B16" s="748"/>
      <c r="C16" s="241" t="s">
        <v>11</v>
      </c>
    </row>
    <row r="17" spans="1:28" s="270" customFormat="1">
      <c r="A17" s="269" t="s">
        <v>13</v>
      </c>
    </row>
    <row r="18" spans="1:28">
      <c r="B18" s="735"/>
      <c r="C18" s="736"/>
      <c r="D18" s="736"/>
      <c r="E18" s="736"/>
      <c r="F18" s="736"/>
      <c r="G18" s="736"/>
      <c r="H18" s="736"/>
      <c r="I18" s="736"/>
      <c r="J18" s="736"/>
      <c r="K18" s="736"/>
      <c r="L18" s="736"/>
      <c r="M18" s="737"/>
      <c r="N18" s="736"/>
      <c r="O18" s="736"/>
      <c r="P18" s="736"/>
      <c r="Q18" s="736"/>
      <c r="R18" s="738"/>
      <c r="S18" s="241" t="s">
        <v>15</v>
      </c>
    </row>
    <row r="20" spans="1:28" s="272" customFormat="1">
      <c r="A20" s="272" t="s">
        <v>693</v>
      </c>
    </row>
    <row r="21" spans="1:28" s="276" customFormat="1" ht="35" thickBot="1">
      <c r="A21" s="273" t="s">
        <v>694</v>
      </c>
      <c r="B21" s="274"/>
      <c r="C21" s="274"/>
      <c r="D21" s="274"/>
      <c r="E21" s="274"/>
      <c r="F21" s="274"/>
      <c r="G21" s="274"/>
      <c r="H21" s="274"/>
      <c r="I21" s="274"/>
      <c r="J21" s="274"/>
      <c r="K21" s="274"/>
      <c r="L21" s="274"/>
      <c r="M21" s="275"/>
      <c r="N21" s="244"/>
      <c r="O21" s="244"/>
      <c r="P21" s="244"/>
      <c r="Q21" s="244"/>
      <c r="R21" s="244"/>
      <c r="S21" s="244"/>
      <c r="T21" s="244"/>
      <c r="U21" s="244"/>
      <c r="V21" s="244"/>
      <c r="W21" s="244"/>
      <c r="X21" s="244"/>
      <c r="Y21" s="244"/>
      <c r="Z21" s="244"/>
      <c r="AA21" s="244"/>
      <c r="AB21" s="244"/>
    </row>
    <row r="22" spans="1:28" ht="41.25" customHeight="1" thickBot="1">
      <c r="A22" s="749" t="s">
        <v>18</v>
      </c>
      <c r="B22" s="750" t="s">
        <v>695</v>
      </c>
      <c r="C22" s="750" t="s">
        <v>696</v>
      </c>
      <c r="D22" s="750" t="s">
        <v>21</v>
      </c>
      <c r="E22" s="750" t="s">
        <v>22</v>
      </c>
      <c r="F22" s="750" t="s">
        <v>23</v>
      </c>
      <c r="G22" s="751" t="s">
        <v>697</v>
      </c>
      <c r="H22" s="751" t="s">
        <v>698</v>
      </c>
      <c r="I22" s="752"/>
      <c r="J22" s="753" t="s">
        <v>27</v>
      </c>
      <c r="K22" s="753"/>
      <c r="L22" s="753"/>
      <c r="M22" s="754" t="s">
        <v>28</v>
      </c>
      <c r="N22" s="755"/>
      <c r="O22" s="755"/>
      <c r="P22" s="755"/>
      <c r="Q22" s="755"/>
      <c r="R22" s="755"/>
      <c r="S22" s="755"/>
      <c r="T22" s="756"/>
      <c r="U22" s="276"/>
      <c r="V22" s="276"/>
      <c r="W22" s="276"/>
      <c r="X22" s="276"/>
      <c r="Y22" s="276"/>
      <c r="Z22" s="276"/>
      <c r="AA22" s="276"/>
      <c r="AB22" s="276"/>
    </row>
    <row r="23" spans="1:28">
      <c r="A23" s="285" t="s">
        <v>29</v>
      </c>
      <c r="B23" s="241">
        <v>-2.4414978027343701</v>
      </c>
      <c r="C23" s="287" t="s">
        <v>30</v>
      </c>
      <c r="D23" s="288">
        <v>0.17592262140645501</v>
      </c>
      <c r="E23" s="289">
        <v>11</v>
      </c>
      <c r="F23" s="289">
        <v>258.5</v>
      </c>
      <c r="G23" s="290">
        <v>-0.86</v>
      </c>
      <c r="H23" s="291">
        <f t="shared" ref="H23:H86" si="0">0.5-G23-0.01*(F23-25)</f>
        <v>-0.97500000000000009</v>
      </c>
      <c r="I23" s="757" t="s">
        <v>31</v>
      </c>
      <c r="J23" s="758"/>
      <c r="K23" s="291"/>
      <c r="L23" s="291"/>
      <c r="M23" s="294" t="s">
        <v>33</v>
      </c>
    </row>
    <row r="24" spans="1:28">
      <c r="A24" s="295" t="s">
        <v>35</v>
      </c>
      <c r="B24" s="241">
        <v>-1.7311054468154901</v>
      </c>
      <c r="C24" s="287" t="s">
        <v>36</v>
      </c>
      <c r="D24" s="288">
        <v>0.14701293131372201</v>
      </c>
      <c r="E24" s="289">
        <v>16</v>
      </c>
      <c r="F24" s="289">
        <v>142.4</v>
      </c>
      <c r="G24" s="290">
        <v>1.31</v>
      </c>
      <c r="H24" s="291">
        <f t="shared" si="0"/>
        <v>-1.9840000000000002</v>
      </c>
      <c r="I24" s="757" t="s">
        <v>37</v>
      </c>
      <c r="J24" s="758"/>
      <c r="K24" s="291"/>
      <c r="L24" s="291"/>
      <c r="M24" s="294" t="s">
        <v>38</v>
      </c>
    </row>
    <row r="25" spans="1:28">
      <c r="A25" s="285" t="s">
        <v>40</v>
      </c>
      <c r="B25" s="241">
        <v>-3.1294140815734899</v>
      </c>
      <c r="C25" s="287" t="s">
        <v>41</v>
      </c>
      <c r="D25" s="288">
        <v>0.15746026945991601</v>
      </c>
      <c r="E25" s="289">
        <v>4</v>
      </c>
      <c r="F25" s="289">
        <v>92</v>
      </c>
      <c r="G25" s="290">
        <v>2.5299999999999998</v>
      </c>
      <c r="H25" s="291">
        <f t="shared" si="0"/>
        <v>-2.6999999999999997</v>
      </c>
      <c r="I25" s="757" t="s">
        <v>42</v>
      </c>
      <c r="J25" s="758"/>
      <c r="K25" s="291"/>
      <c r="L25" s="291"/>
      <c r="M25" s="294" t="s">
        <v>43</v>
      </c>
    </row>
    <row r="26" spans="1:28">
      <c r="A26" s="295" t="s">
        <v>45</v>
      </c>
      <c r="B26" s="241">
        <v>-2.6963405609130899</v>
      </c>
      <c r="C26" s="287" t="s">
        <v>46</v>
      </c>
      <c r="D26" s="288">
        <v>0.169992225074696</v>
      </c>
      <c r="E26" s="289">
        <v>3</v>
      </c>
      <c r="F26" s="289">
        <v>234</v>
      </c>
      <c r="G26" s="290">
        <v>3.19</v>
      </c>
      <c r="H26" s="291">
        <f t="shared" si="0"/>
        <v>-4.7799999999999994</v>
      </c>
      <c r="I26" s="759" t="s">
        <v>47</v>
      </c>
      <c r="J26" s="760" t="s">
        <v>32</v>
      </c>
      <c r="K26" s="291"/>
      <c r="L26" s="291"/>
      <c r="M26" s="294" t="s">
        <v>48</v>
      </c>
    </row>
    <row r="27" spans="1:28">
      <c r="A27" s="295" t="s">
        <v>50</v>
      </c>
      <c r="B27" s="241">
        <v>-4.3383283615112296</v>
      </c>
      <c r="C27" s="287" t="s">
        <v>51</v>
      </c>
      <c r="D27" s="288">
        <v>0.21168830858587201</v>
      </c>
      <c r="E27" s="289">
        <v>3</v>
      </c>
      <c r="F27" s="289">
        <v>139.25</v>
      </c>
      <c r="G27" s="290">
        <v>4.8600000000000003</v>
      </c>
      <c r="H27" s="291">
        <f t="shared" si="0"/>
        <v>-5.5025000000000004</v>
      </c>
      <c r="I27" s="759" t="s">
        <v>52</v>
      </c>
      <c r="J27" s="760"/>
      <c r="K27" s="291"/>
      <c r="L27" s="291"/>
      <c r="M27" s="294" t="s">
        <v>53</v>
      </c>
    </row>
    <row r="28" spans="1:28">
      <c r="A28" s="285" t="s">
        <v>55</v>
      </c>
      <c r="B28" s="241">
        <v>-4.8589940071106001</v>
      </c>
      <c r="C28" s="299"/>
      <c r="D28" s="288">
        <v>0.18412396392404201</v>
      </c>
      <c r="E28" s="289">
        <v>3</v>
      </c>
      <c r="F28" s="289">
        <v>224</v>
      </c>
      <c r="G28" s="290">
        <v>5.51</v>
      </c>
      <c r="H28" s="291">
        <f t="shared" si="0"/>
        <v>-7</v>
      </c>
      <c r="I28" s="759" t="s">
        <v>56</v>
      </c>
      <c r="J28" s="760"/>
      <c r="K28" s="291"/>
      <c r="L28" s="291"/>
      <c r="M28" s="294" t="s">
        <v>57</v>
      </c>
    </row>
    <row r="29" spans="1:28">
      <c r="A29" s="285" t="s">
        <v>59</v>
      </c>
      <c r="B29" s="241">
        <v>-1.0631582736969001</v>
      </c>
      <c r="C29" s="299"/>
      <c r="D29" s="288">
        <v>0.149337338745232</v>
      </c>
      <c r="E29" s="289">
        <v>6</v>
      </c>
      <c r="F29" s="289">
        <v>172.5</v>
      </c>
      <c r="G29" s="290">
        <v>1.78</v>
      </c>
      <c r="H29" s="291">
        <f t="shared" si="0"/>
        <v>-2.7549999999999999</v>
      </c>
      <c r="I29" s="759" t="s">
        <v>60</v>
      </c>
      <c r="J29" s="761"/>
      <c r="K29" s="291"/>
      <c r="L29" s="291"/>
      <c r="M29" s="294" t="s">
        <v>61</v>
      </c>
    </row>
    <row r="30" spans="1:28">
      <c r="A30" s="285" t="s">
        <v>63</v>
      </c>
      <c r="B30" s="241">
        <v>-1.7767312526702901</v>
      </c>
      <c r="C30" s="299"/>
      <c r="D30" s="288">
        <v>0.14842266063120099</v>
      </c>
      <c r="E30" s="289">
        <v>4</v>
      </c>
      <c r="F30" s="289">
        <v>207.5</v>
      </c>
      <c r="G30" s="290">
        <v>1.86</v>
      </c>
      <c r="H30" s="291">
        <f t="shared" si="0"/>
        <v>-3.1850000000000001</v>
      </c>
      <c r="I30" s="762" t="s">
        <v>64</v>
      </c>
      <c r="J30" s="763"/>
      <c r="K30" s="764"/>
      <c r="L30" s="765"/>
      <c r="M30" s="294" t="s">
        <v>65</v>
      </c>
    </row>
    <row r="31" spans="1:28">
      <c r="A31" s="305" t="s">
        <v>66</v>
      </c>
      <c r="B31" s="241">
        <v>-2.1214857101440399</v>
      </c>
      <c r="C31" s="299"/>
      <c r="D31" s="288">
        <v>0.16179731069006001</v>
      </c>
      <c r="E31" s="289">
        <v>10</v>
      </c>
      <c r="F31" s="289">
        <v>166.5</v>
      </c>
      <c r="G31" s="290">
        <v>0.79</v>
      </c>
      <c r="H31" s="291">
        <f t="shared" si="0"/>
        <v>-1.7050000000000001</v>
      </c>
      <c r="J31" s="291"/>
      <c r="K31" s="291"/>
      <c r="L31" s="291"/>
      <c r="M31" s="294" t="s">
        <v>67</v>
      </c>
    </row>
    <row r="32" spans="1:28">
      <c r="A32" s="295" t="s">
        <v>68</v>
      </c>
      <c r="B32" s="241">
        <v>-4.2713608741760298</v>
      </c>
      <c r="C32" s="299"/>
      <c r="D32" s="288">
        <v>0.21543706061278201</v>
      </c>
      <c r="E32" s="289">
        <v>6</v>
      </c>
      <c r="F32" s="289">
        <v>231.5</v>
      </c>
      <c r="G32" s="290">
        <v>2.4300000000000002</v>
      </c>
      <c r="H32" s="291">
        <f t="shared" si="0"/>
        <v>-3.9950000000000001</v>
      </c>
      <c r="I32" s="766" t="s">
        <v>69</v>
      </c>
      <c r="J32" s="767"/>
      <c r="K32" s="767"/>
      <c r="L32" s="768"/>
      <c r="M32" s="294" t="s">
        <v>70</v>
      </c>
    </row>
    <row r="33" spans="1:13">
      <c r="A33" s="295" t="s">
        <v>71</v>
      </c>
      <c r="B33" s="241">
        <v>-3.4773905277252202</v>
      </c>
      <c r="C33" s="299"/>
      <c r="D33" s="288">
        <v>0.129125206050696</v>
      </c>
      <c r="E33" s="289">
        <v>3</v>
      </c>
      <c r="F33" s="309">
        <v>192.7</v>
      </c>
      <c r="G33" s="290">
        <v>2.63</v>
      </c>
      <c r="H33" s="291">
        <f t="shared" si="0"/>
        <v>-3.8069999999999995</v>
      </c>
      <c r="I33" s="769" t="s">
        <v>1054</v>
      </c>
      <c r="J33" s="770"/>
      <c r="K33" s="770"/>
      <c r="L33" s="771"/>
      <c r="M33" s="294" t="s">
        <v>72</v>
      </c>
    </row>
    <row r="34" spans="1:13">
      <c r="A34" s="285" t="s">
        <v>74</v>
      </c>
      <c r="B34" s="241">
        <v>-7.2537074089050302</v>
      </c>
      <c r="C34" s="299"/>
      <c r="D34" s="288">
        <v>0.14911462098310899</v>
      </c>
      <c r="E34" s="289">
        <v>6</v>
      </c>
      <c r="F34" s="289">
        <v>167</v>
      </c>
      <c r="G34" s="290">
        <v>6.32</v>
      </c>
      <c r="H34" s="291">
        <f t="shared" si="0"/>
        <v>-7.24</v>
      </c>
      <c r="I34" s="772"/>
      <c r="J34" s="314"/>
      <c r="K34" s="314"/>
      <c r="L34" s="773"/>
      <c r="M34" s="294" t="s">
        <v>75</v>
      </c>
    </row>
    <row r="35" spans="1:13">
      <c r="A35" s="295" t="s">
        <v>77</v>
      </c>
      <c r="B35" s="241">
        <v>-3.3257694244384801</v>
      </c>
      <c r="C35" s="299"/>
      <c r="D35" s="288">
        <v>0.15809078703524701</v>
      </c>
      <c r="E35" s="289">
        <v>15</v>
      </c>
      <c r="F35" s="289">
        <v>191.5</v>
      </c>
      <c r="G35" s="290">
        <v>3.39</v>
      </c>
      <c r="H35" s="291">
        <f t="shared" si="0"/>
        <v>-4.5549999999999997</v>
      </c>
      <c r="I35" s="772"/>
      <c r="J35" s="314"/>
      <c r="K35" s="314"/>
      <c r="L35" s="773"/>
      <c r="M35" s="294" t="s">
        <v>78</v>
      </c>
    </row>
    <row r="36" spans="1:13">
      <c r="A36" s="305" t="s">
        <v>80</v>
      </c>
      <c r="B36" s="241">
        <v>-3.8588809967040998</v>
      </c>
      <c r="C36" s="299"/>
      <c r="D36" s="288">
        <v>0.191150308906822</v>
      </c>
      <c r="E36" s="289">
        <v>3</v>
      </c>
      <c r="F36" s="289">
        <v>246.2</v>
      </c>
      <c r="G36" s="290">
        <v>3.32</v>
      </c>
      <c r="H36" s="291">
        <f t="shared" si="0"/>
        <v>-5.032</v>
      </c>
      <c r="I36" s="774"/>
      <c r="J36" s="314"/>
      <c r="K36" s="314"/>
      <c r="L36" s="773"/>
      <c r="M36" s="294" t="s">
        <v>81</v>
      </c>
    </row>
    <row r="37" spans="1:13">
      <c r="A37" s="305" t="s">
        <v>73</v>
      </c>
      <c r="B37" s="241">
        <v>-2.19183444976807</v>
      </c>
      <c r="C37" s="299"/>
      <c r="D37" s="288">
        <v>0.19050575600734301</v>
      </c>
      <c r="E37" s="289">
        <v>4</v>
      </c>
      <c r="F37" s="289">
        <v>304</v>
      </c>
      <c r="G37" s="290">
        <v>1.74</v>
      </c>
      <c r="H37" s="291">
        <f t="shared" si="0"/>
        <v>-4.03</v>
      </c>
      <c r="I37" s="774"/>
      <c r="J37" s="314"/>
      <c r="K37" s="314"/>
      <c r="L37" s="773"/>
      <c r="M37" s="294" t="s">
        <v>83</v>
      </c>
    </row>
    <row r="38" spans="1:13">
      <c r="A38" s="285" t="s">
        <v>76</v>
      </c>
      <c r="B38" s="241">
        <v>-1.1508810520172099</v>
      </c>
      <c r="C38" s="299"/>
      <c r="D38" s="288">
        <v>0.13682393527498099</v>
      </c>
      <c r="E38" s="289">
        <v>7</v>
      </c>
      <c r="F38" s="289">
        <v>187</v>
      </c>
      <c r="G38" s="290">
        <v>-0.87</v>
      </c>
      <c r="H38" s="291">
        <f t="shared" si="0"/>
        <v>-0.25</v>
      </c>
      <c r="I38" s="774"/>
      <c r="J38" s="314"/>
      <c r="K38" s="314"/>
      <c r="L38" s="773"/>
      <c r="M38" s="775" t="s">
        <v>85</v>
      </c>
    </row>
    <row r="39" spans="1:13">
      <c r="A39" s="285" t="s">
        <v>87</v>
      </c>
      <c r="B39" s="241">
        <v>-2.7629253864288299</v>
      </c>
      <c r="C39" s="299"/>
      <c r="D39" s="288">
        <v>0.20462356367491999</v>
      </c>
      <c r="E39" s="289">
        <v>4</v>
      </c>
      <c r="F39" s="289">
        <v>221.5</v>
      </c>
      <c r="G39" s="290">
        <v>0.71</v>
      </c>
      <c r="H39" s="291">
        <f t="shared" si="0"/>
        <v>-2.1749999999999998</v>
      </c>
      <c r="I39" s="774"/>
      <c r="J39" s="314"/>
      <c r="K39" s="314"/>
      <c r="L39" s="773"/>
      <c r="M39" s="294" t="s">
        <v>88</v>
      </c>
    </row>
    <row r="40" spans="1:13">
      <c r="A40" s="285" t="s">
        <v>90</v>
      </c>
      <c r="B40" s="241">
        <v>-3.5147240161895801</v>
      </c>
      <c r="C40" s="299"/>
      <c r="D40" s="288">
        <v>0.182746025644656</v>
      </c>
      <c r="E40" s="289">
        <v>6</v>
      </c>
      <c r="F40" s="289">
        <v>157.833333333333</v>
      </c>
      <c r="G40" s="290">
        <v>3.51</v>
      </c>
      <c r="H40" s="291">
        <f t="shared" si="0"/>
        <v>-4.3383333333333294</v>
      </c>
      <c r="I40" s="774"/>
      <c r="J40" s="256"/>
      <c r="K40" s="256"/>
      <c r="L40" s="739"/>
      <c r="M40" s="294" t="s">
        <v>91</v>
      </c>
    </row>
    <row r="41" spans="1:13">
      <c r="A41" s="295" t="s">
        <v>93</v>
      </c>
      <c r="B41" s="241">
        <v>-2.0434873104095499</v>
      </c>
      <c r="C41" s="299"/>
      <c r="D41" s="288">
        <v>0.12610247911779701</v>
      </c>
      <c r="E41" s="289">
        <v>8</v>
      </c>
      <c r="F41" s="289">
        <v>140</v>
      </c>
      <c r="G41" s="290">
        <v>0.35</v>
      </c>
      <c r="H41" s="291">
        <f t="shared" si="0"/>
        <v>-1</v>
      </c>
      <c r="I41" s="774"/>
      <c r="J41" s="256"/>
      <c r="K41" s="256"/>
      <c r="L41" s="739"/>
      <c r="M41" s="294" t="s">
        <v>94</v>
      </c>
    </row>
    <row r="42" spans="1:13">
      <c r="A42" s="295" t="s">
        <v>96</v>
      </c>
      <c r="B42" s="241">
        <v>-3.2716369628906201</v>
      </c>
      <c r="C42" s="299"/>
      <c r="D42" s="288">
        <v>0.14493441954544001</v>
      </c>
      <c r="E42" s="289">
        <v>7</v>
      </c>
      <c r="F42" s="289">
        <v>127.933333333333</v>
      </c>
      <c r="G42" s="290">
        <v>1.74</v>
      </c>
      <c r="H42" s="291">
        <f t="shared" si="0"/>
        <v>-2.2693333333333299</v>
      </c>
      <c r="I42" s="774"/>
      <c r="J42" s="256"/>
      <c r="K42" s="256"/>
      <c r="L42" s="739"/>
      <c r="M42" s="294" t="s">
        <v>97</v>
      </c>
    </row>
    <row r="43" spans="1:13">
      <c r="A43" s="295" t="s">
        <v>79</v>
      </c>
      <c r="B43" s="241">
        <v>-4.2321290969848597</v>
      </c>
      <c r="C43" s="299"/>
      <c r="D43" s="288">
        <v>0.148613886268708</v>
      </c>
      <c r="E43" s="289">
        <v>7</v>
      </c>
      <c r="F43" s="289">
        <v>176</v>
      </c>
      <c r="G43" s="290">
        <v>4.4800000000000004</v>
      </c>
      <c r="H43" s="291">
        <f t="shared" si="0"/>
        <v>-5.49</v>
      </c>
      <c r="I43" s="774"/>
      <c r="J43" s="256"/>
      <c r="K43" s="256"/>
      <c r="L43" s="739"/>
      <c r="M43" s="294" t="s">
        <v>99</v>
      </c>
    </row>
    <row r="44" spans="1:13">
      <c r="A44" s="285" t="s">
        <v>101</v>
      </c>
      <c r="B44" s="241">
        <v>-4.0641012191772496</v>
      </c>
      <c r="C44" s="299"/>
      <c r="D44" s="288">
        <v>0.12807114954002</v>
      </c>
      <c r="E44" s="289">
        <v>3</v>
      </c>
      <c r="F44" s="289">
        <v>159.69999999999999</v>
      </c>
      <c r="G44" s="290">
        <v>3.46</v>
      </c>
      <c r="H44" s="291">
        <f t="shared" si="0"/>
        <v>-4.3070000000000004</v>
      </c>
      <c r="I44" s="774"/>
      <c r="J44" s="256"/>
      <c r="K44" s="256"/>
      <c r="L44" s="739"/>
      <c r="M44" s="294" t="s">
        <v>102</v>
      </c>
    </row>
    <row r="45" spans="1:13">
      <c r="A45" s="295" t="s">
        <v>104</v>
      </c>
      <c r="B45" s="241">
        <v>-1.86357617378235</v>
      </c>
      <c r="C45" s="299"/>
      <c r="D45" s="288">
        <v>0.21683500301481101</v>
      </c>
      <c r="E45" s="289">
        <v>8</v>
      </c>
      <c r="F45" s="289">
        <v>142</v>
      </c>
      <c r="G45" s="290">
        <v>0.6</v>
      </c>
      <c r="H45" s="291">
        <f t="shared" si="0"/>
        <v>-1.27</v>
      </c>
      <c r="I45" s="774"/>
      <c r="J45" s="256"/>
      <c r="K45" s="256"/>
      <c r="L45" s="739"/>
      <c r="M45" s="294" t="s">
        <v>105</v>
      </c>
    </row>
    <row r="46" spans="1:13">
      <c r="A46" s="295" t="s">
        <v>107</v>
      </c>
      <c r="B46" s="241">
        <v>-3.5813102722168</v>
      </c>
      <c r="C46" s="299"/>
      <c r="D46" s="288">
        <v>0.18255878892749899</v>
      </c>
      <c r="E46" s="289">
        <v>20</v>
      </c>
      <c r="F46" s="289">
        <v>267</v>
      </c>
      <c r="G46" s="290">
        <v>1.58</v>
      </c>
      <c r="H46" s="291">
        <f t="shared" si="0"/>
        <v>-3.5</v>
      </c>
      <c r="I46" s="774"/>
      <c r="J46" s="256"/>
      <c r="K46" s="256"/>
      <c r="L46" s="739"/>
      <c r="M46" s="294" t="s">
        <v>108</v>
      </c>
    </row>
    <row r="47" spans="1:13">
      <c r="A47" s="285" t="s">
        <v>110</v>
      </c>
      <c r="B47" s="241">
        <v>-5.3311505317687997</v>
      </c>
      <c r="C47" s="299"/>
      <c r="D47" s="288">
        <v>0.16704647063532599</v>
      </c>
      <c r="E47" s="289">
        <v>6</v>
      </c>
      <c r="F47" s="289">
        <v>110</v>
      </c>
      <c r="G47" s="290">
        <v>3.36</v>
      </c>
      <c r="H47" s="291">
        <f t="shared" si="0"/>
        <v>-3.71</v>
      </c>
      <c r="I47" s="774"/>
      <c r="J47" s="256"/>
      <c r="K47" s="256"/>
      <c r="L47" s="739"/>
      <c r="M47" s="294" t="s">
        <v>111</v>
      </c>
    </row>
    <row r="48" spans="1:13">
      <c r="A48" s="295" t="s">
        <v>82</v>
      </c>
      <c r="B48" s="241">
        <v>-3.2325353622436501</v>
      </c>
      <c r="C48" s="299"/>
      <c r="D48" s="288">
        <v>0.1716450131236</v>
      </c>
      <c r="E48" s="289">
        <v>7</v>
      </c>
      <c r="F48" s="289">
        <v>182</v>
      </c>
      <c r="G48" s="290">
        <v>2.67</v>
      </c>
      <c r="H48" s="291">
        <f t="shared" si="0"/>
        <v>-3.74</v>
      </c>
      <c r="I48" s="774"/>
      <c r="J48" s="256"/>
      <c r="K48" s="256"/>
      <c r="L48" s="739"/>
      <c r="M48" s="294" t="s">
        <v>113</v>
      </c>
    </row>
    <row r="49" spans="1:13">
      <c r="A49" s="295" t="s">
        <v>115</v>
      </c>
      <c r="B49" s="241">
        <v>-4.2399735450744602</v>
      </c>
      <c r="C49" s="299"/>
      <c r="D49" s="288">
        <v>0.12558353028546099</v>
      </c>
      <c r="E49" s="289">
        <v>4</v>
      </c>
      <c r="F49" s="289">
        <v>222</v>
      </c>
      <c r="G49" s="290">
        <v>2.56</v>
      </c>
      <c r="H49" s="291">
        <f t="shared" si="0"/>
        <v>-4.03</v>
      </c>
      <c r="I49" s="774"/>
      <c r="J49" s="256"/>
      <c r="K49" s="256"/>
      <c r="L49" s="739"/>
      <c r="M49" s="294" t="s">
        <v>116</v>
      </c>
    </row>
    <row r="50" spans="1:13">
      <c r="A50" s="295" t="s">
        <v>118</v>
      </c>
      <c r="B50" s="241">
        <v>-5.4569849967956499</v>
      </c>
      <c r="C50" s="299"/>
      <c r="D50" s="288">
        <v>0.15681339906647901</v>
      </c>
      <c r="E50" s="289">
        <v>6</v>
      </c>
      <c r="F50" s="289">
        <v>151</v>
      </c>
      <c r="G50" s="290">
        <v>3.27</v>
      </c>
      <c r="H50" s="291">
        <f t="shared" si="0"/>
        <v>-4.03</v>
      </c>
      <c r="I50" s="774"/>
      <c r="J50" s="256"/>
      <c r="K50" s="256"/>
      <c r="L50" s="739"/>
      <c r="M50" s="294" t="s">
        <v>119</v>
      </c>
    </row>
    <row r="51" spans="1:13">
      <c r="A51" s="285" t="s">
        <v>84</v>
      </c>
      <c r="B51" s="241">
        <v>-4.3772168159484899</v>
      </c>
      <c r="C51" s="299"/>
      <c r="D51" s="288">
        <v>0.12789394574374299</v>
      </c>
      <c r="E51" s="289">
        <v>5</v>
      </c>
      <c r="F51" s="289">
        <v>330</v>
      </c>
      <c r="G51" s="290">
        <v>2.87</v>
      </c>
      <c r="H51" s="291">
        <f t="shared" si="0"/>
        <v>-5.42</v>
      </c>
      <c r="I51" s="774"/>
      <c r="J51" s="256"/>
      <c r="K51" s="256"/>
      <c r="L51" s="739"/>
      <c r="M51" s="294" t="s">
        <v>120</v>
      </c>
    </row>
    <row r="52" spans="1:13">
      <c r="A52" s="295" t="s">
        <v>121</v>
      </c>
      <c r="B52" s="241">
        <v>-3.68648338317871</v>
      </c>
      <c r="C52" s="299"/>
      <c r="D52" s="288">
        <v>0.18012800124370401</v>
      </c>
      <c r="E52" s="289">
        <v>3</v>
      </c>
      <c r="F52" s="289">
        <v>100</v>
      </c>
      <c r="G52" s="290">
        <v>3.53</v>
      </c>
      <c r="H52" s="291">
        <f t="shared" si="0"/>
        <v>-3.78</v>
      </c>
      <c r="I52" s="772"/>
      <c r="J52" s="314"/>
      <c r="K52" s="314"/>
      <c r="L52" s="773"/>
      <c r="M52" s="294" t="s">
        <v>122</v>
      </c>
    </row>
    <row r="53" spans="1:13">
      <c r="A53" s="285" t="s">
        <v>123</v>
      </c>
      <c r="B53" s="241">
        <v>-3.6936626434326199</v>
      </c>
      <c r="C53" s="299"/>
      <c r="D53" s="288">
        <v>0.180621047507217</v>
      </c>
      <c r="E53" s="289">
        <v>16</v>
      </c>
      <c r="F53" s="289">
        <v>262.5</v>
      </c>
      <c r="G53" s="290">
        <v>1.9</v>
      </c>
      <c r="H53" s="291">
        <f t="shared" si="0"/>
        <v>-3.7749999999999999</v>
      </c>
      <c r="I53" s="772"/>
      <c r="J53" s="314"/>
      <c r="K53" s="314"/>
      <c r="L53" s="773"/>
      <c r="M53" s="294" t="s">
        <v>124</v>
      </c>
    </row>
    <row r="54" spans="1:13">
      <c r="A54" s="295" t="s">
        <v>125</v>
      </c>
      <c r="B54" s="241">
        <v>-3.4770381450653098</v>
      </c>
      <c r="C54" s="299"/>
      <c r="D54" s="288">
        <v>0.2215624426866</v>
      </c>
      <c r="E54" s="289">
        <v>4</v>
      </c>
      <c r="F54" s="289">
        <v>328.85</v>
      </c>
      <c r="G54" s="290">
        <v>1.87</v>
      </c>
      <c r="H54" s="291">
        <f t="shared" si="0"/>
        <v>-4.4085000000000001</v>
      </c>
      <c r="I54" s="772"/>
      <c r="J54" s="314"/>
      <c r="K54" s="314"/>
      <c r="L54" s="773"/>
      <c r="M54" s="294" t="s">
        <v>126</v>
      </c>
    </row>
    <row r="55" spans="1:13">
      <c r="A55" s="295" t="s">
        <v>127</v>
      </c>
      <c r="B55" s="241">
        <v>-5.4708981513977104</v>
      </c>
      <c r="C55" s="299"/>
      <c r="D55" s="288">
        <v>0.184508117807134</v>
      </c>
      <c r="E55" s="289">
        <v>33</v>
      </c>
      <c r="F55" s="289">
        <v>167.5</v>
      </c>
      <c r="G55" s="290">
        <v>4.3600000000000003</v>
      </c>
      <c r="H55" s="291">
        <f t="shared" si="0"/>
        <v>-5.2850000000000001</v>
      </c>
      <c r="I55" s="772"/>
      <c r="J55" s="314"/>
      <c r="K55" s="314"/>
      <c r="L55" s="773"/>
      <c r="M55" s="294" t="s">
        <v>128</v>
      </c>
    </row>
    <row r="56" spans="1:13">
      <c r="A56" s="295" t="s">
        <v>86</v>
      </c>
      <c r="B56" s="241">
        <v>-5.3022608757018999</v>
      </c>
      <c r="C56" s="299"/>
      <c r="D56" s="288">
        <v>0.15609203233531499</v>
      </c>
      <c r="E56" s="289">
        <v>3</v>
      </c>
      <c r="F56" s="289">
        <v>223</v>
      </c>
      <c r="G56" s="290">
        <v>2.99</v>
      </c>
      <c r="H56" s="291">
        <f t="shared" si="0"/>
        <v>-4.4700000000000006</v>
      </c>
      <c r="I56" s="772"/>
      <c r="J56" s="314"/>
      <c r="K56" s="314"/>
      <c r="L56" s="773"/>
      <c r="M56" s="294" t="s">
        <v>129</v>
      </c>
    </row>
    <row r="57" spans="1:13">
      <c r="A57" s="295" t="s">
        <v>89</v>
      </c>
      <c r="B57" s="241">
        <v>-3.4514803886413601</v>
      </c>
      <c r="C57" s="299"/>
      <c r="D57" s="288">
        <v>0.20872343532408</v>
      </c>
      <c r="E57" s="289">
        <v>3</v>
      </c>
      <c r="F57" s="289">
        <v>210.5</v>
      </c>
      <c r="G57" s="290">
        <v>2.72</v>
      </c>
      <c r="H57" s="291">
        <f t="shared" si="0"/>
        <v>-4.0750000000000002</v>
      </c>
      <c r="I57" s="742"/>
      <c r="J57" s="776"/>
      <c r="K57" s="776"/>
      <c r="L57" s="777"/>
      <c r="M57" s="294" t="s">
        <v>130</v>
      </c>
    </row>
    <row r="58" spans="1:13">
      <c r="A58" s="295" t="s">
        <v>131</v>
      </c>
      <c r="B58" s="241">
        <v>-3.1534550189971902</v>
      </c>
      <c r="C58" s="299"/>
      <c r="D58" s="288">
        <v>0.12973190134165599</v>
      </c>
      <c r="E58" s="289">
        <v>3</v>
      </c>
      <c r="F58" s="289">
        <v>209.75</v>
      </c>
      <c r="G58" s="290">
        <v>3.37</v>
      </c>
      <c r="H58" s="291">
        <f t="shared" si="0"/>
        <v>-4.7175000000000002</v>
      </c>
      <c r="J58" s="291"/>
      <c r="K58" s="291"/>
      <c r="L58" s="291"/>
      <c r="M58" s="294" t="s">
        <v>132</v>
      </c>
    </row>
    <row r="59" spans="1:13">
      <c r="A59" s="285" t="s">
        <v>92</v>
      </c>
      <c r="B59" s="241">
        <v>-3.8884296417236301</v>
      </c>
      <c r="C59" s="299"/>
      <c r="D59" s="288">
        <v>0.14124198841117799</v>
      </c>
      <c r="E59" s="289">
        <v>3</v>
      </c>
      <c r="F59" s="289">
        <v>53.5</v>
      </c>
      <c r="G59" s="290">
        <v>3.43</v>
      </c>
      <c r="H59" s="291">
        <f t="shared" si="0"/>
        <v>-3.2150000000000003</v>
      </c>
      <c r="I59" s="778" t="s">
        <v>133</v>
      </c>
      <c r="J59" s="763">
        <v>312</v>
      </c>
      <c r="K59" s="765"/>
      <c r="L59" s="291"/>
      <c r="M59" s="294" t="s">
        <v>134</v>
      </c>
    </row>
    <row r="60" spans="1:13">
      <c r="A60" s="285" t="s">
        <v>135</v>
      </c>
      <c r="B60" s="241">
        <v>-1.8003410100936901</v>
      </c>
      <c r="C60" s="299"/>
      <c r="D60" s="288">
        <v>0.170692818664089</v>
      </c>
      <c r="E60" s="289">
        <v>6</v>
      </c>
      <c r="F60" s="289">
        <v>270</v>
      </c>
      <c r="G60" s="290">
        <v>0.05</v>
      </c>
      <c r="H60" s="291">
        <f t="shared" si="0"/>
        <v>-2</v>
      </c>
      <c r="I60" s="778" t="s">
        <v>136</v>
      </c>
      <c r="J60" s="763">
        <v>0</v>
      </c>
      <c r="K60" s="765"/>
      <c r="L60" s="291"/>
      <c r="M60" s="294" t="s">
        <v>137</v>
      </c>
    </row>
    <row r="61" spans="1:13">
      <c r="A61" s="295" t="s">
        <v>138</v>
      </c>
      <c r="B61" s="241">
        <v>-1.30080950260162</v>
      </c>
      <c r="C61" s="299"/>
      <c r="D61" s="288">
        <v>0.206147596831632</v>
      </c>
      <c r="E61" s="289">
        <v>3</v>
      </c>
      <c r="F61" s="289">
        <v>143.75</v>
      </c>
      <c r="G61" s="290">
        <v>1.6</v>
      </c>
      <c r="H61" s="291">
        <f t="shared" si="0"/>
        <v>-2.2875000000000001</v>
      </c>
      <c r="I61" s="778" t="s">
        <v>139</v>
      </c>
      <c r="J61" s="779">
        <f>COUNTA(A23:A122)</f>
        <v>100</v>
      </c>
      <c r="K61" s="765"/>
      <c r="L61" s="291"/>
      <c r="M61" s="294" t="s">
        <v>140</v>
      </c>
    </row>
    <row r="62" spans="1:13">
      <c r="A62" s="285" t="s">
        <v>141</v>
      </c>
      <c r="B62" s="241">
        <v>-4.8372435569763201</v>
      </c>
      <c r="C62" s="299"/>
      <c r="D62" s="288">
        <v>0.180214226227635</v>
      </c>
      <c r="E62" s="289">
        <v>5</v>
      </c>
      <c r="F62" s="289">
        <v>214.5</v>
      </c>
      <c r="G62" s="290">
        <v>3.61</v>
      </c>
      <c r="H62" s="291">
        <f t="shared" si="0"/>
        <v>-5.0049999999999999</v>
      </c>
      <c r="I62" s="291"/>
      <c r="J62" s="291"/>
      <c r="K62" s="291"/>
      <c r="L62" s="291"/>
      <c r="M62" s="294" t="s">
        <v>142</v>
      </c>
    </row>
    <row r="63" spans="1:13">
      <c r="A63" s="295" t="s">
        <v>143</v>
      </c>
      <c r="B63" s="241">
        <v>-5.4261217117309597</v>
      </c>
      <c r="C63" s="299"/>
      <c r="D63" s="288">
        <v>0.19225415374507401</v>
      </c>
      <c r="E63" s="289">
        <v>8</v>
      </c>
      <c r="F63" s="289">
        <v>255.3</v>
      </c>
      <c r="G63" s="290">
        <v>3.82</v>
      </c>
      <c r="H63" s="291">
        <f t="shared" si="0"/>
        <v>-5.6230000000000002</v>
      </c>
      <c r="I63" s="780" t="s">
        <v>144</v>
      </c>
      <c r="J63" s="767"/>
      <c r="K63" s="767"/>
      <c r="L63" s="768"/>
      <c r="M63" s="294" t="s">
        <v>145</v>
      </c>
    </row>
    <row r="64" spans="1:13">
      <c r="A64" s="295" t="s">
        <v>146</v>
      </c>
      <c r="B64" s="241">
        <v>-3.0539925098419198</v>
      </c>
      <c r="C64" s="299"/>
      <c r="D64" s="288">
        <v>0.17</v>
      </c>
      <c r="E64" s="289">
        <v>3</v>
      </c>
      <c r="F64" s="289">
        <v>189</v>
      </c>
      <c r="G64" s="290">
        <v>1.34</v>
      </c>
      <c r="H64" s="291">
        <f t="shared" si="0"/>
        <v>-2.4800000000000004</v>
      </c>
      <c r="I64" s="769" t="s">
        <v>1055</v>
      </c>
      <c r="J64" s="770"/>
      <c r="K64" s="770"/>
      <c r="L64" s="771"/>
      <c r="M64" s="294" t="s">
        <v>148</v>
      </c>
    </row>
    <row r="65" spans="1:13">
      <c r="A65" s="295" t="s">
        <v>149</v>
      </c>
      <c r="B65" s="241">
        <v>-4.7711663246154803</v>
      </c>
      <c r="C65" s="299"/>
      <c r="D65" s="288">
        <v>0.19794493160510701</v>
      </c>
      <c r="E65" s="289">
        <v>4</v>
      </c>
      <c r="F65" s="289">
        <v>243.5</v>
      </c>
      <c r="G65" s="290">
        <v>1.34</v>
      </c>
      <c r="H65" s="291">
        <f t="shared" si="0"/>
        <v>-3.0250000000000004</v>
      </c>
      <c r="I65" s="772"/>
      <c r="J65" s="314"/>
      <c r="K65" s="314"/>
      <c r="L65" s="773"/>
      <c r="M65" s="294" t="s">
        <v>151</v>
      </c>
    </row>
    <row r="66" spans="1:13">
      <c r="A66" s="285" t="s">
        <v>95</v>
      </c>
      <c r="B66" s="241">
        <v>-1.6752777099609399</v>
      </c>
      <c r="C66" s="299"/>
      <c r="D66" s="288">
        <v>0.210560990742934</v>
      </c>
      <c r="E66" s="289">
        <v>3</v>
      </c>
      <c r="F66" s="289">
        <v>36.5</v>
      </c>
      <c r="G66" s="290">
        <v>2.74</v>
      </c>
      <c r="H66" s="291">
        <f t="shared" si="0"/>
        <v>-2.3550000000000004</v>
      </c>
      <c r="I66" s="772"/>
      <c r="J66" s="314"/>
      <c r="K66" s="314"/>
      <c r="L66" s="773"/>
      <c r="M66" s="294" t="s">
        <v>152</v>
      </c>
    </row>
    <row r="67" spans="1:13">
      <c r="A67" s="305" t="s">
        <v>153</v>
      </c>
      <c r="B67" s="241">
        <v>-5.2493300437927202</v>
      </c>
      <c r="C67" s="299"/>
      <c r="D67" s="288">
        <v>0.21092434073951899</v>
      </c>
      <c r="E67" s="289">
        <v>10</v>
      </c>
      <c r="F67" s="289">
        <v>186</v>
      </c>
      <c r="G67" s="290">
        <v>3.4</v>
      </c>
      <c r="H67" s="291">
        <f t="shared" si="0"/>
        <v>-4.51</v>
      </c>
      <c r="I67" s="772"/>
      <c r="J67" s="314"/>
      <c r="K67" s="314"/>
      <c r="L67" s="773"/>
      <c r="M67" s="294" t="s">
        <v>154</v>
      </c>
    </row>
    <row r="68" spans="1:13">
      <c r="A68" s="285" t="s">
        <v>98</v>
      </c>
      <c r="B68" s="241">
        <v>-3.73106813430786</v>
      </c>
      <c r="C68" s="299"/>
      <c r="D68" s="288">
        <v>0.18695478693957199</v>
      </c>
      <c r="E68" s="289">
        <v>3</v>
      </c>
      <c r="F68" s="289">
        <v>253</v>
      </c>
      <c r="G68" s="290">
        <v>2.35</v>
      </c>
      <c r="H68" s="291">
        <f t="shared" si="0"/>
        <v>-4.1300000000000008</v>
      </c>
      <c r="I68" s="772"/>
      <c r="J68" s="314"/>
      <c r="K68" s="314"/>
      <c r="L68" s="773"/>
      <c r="M68" s="294" t="s">
        <v>155</v>
      </c>
    </row>
    <row r="69" spans="1:13">
      <c r="A69" s="305" t="s">
        <v>156</v>
      </c>
      <c r="B69" s="241">
        <v>-4.2594504356384304</v>
      </c>
      <c r="C69" s="299"/>
      <c r="D69" s="288">
        <v>0.20491085989689101</v>
      </c>
      <c r="E69" s="289">
        <v>23</v>
      </c>
      <c r="F69" s="289">
        <v>111</v>
      </c>
      <c r="G69" s="290">
        <v>3.68</v>
      </c>
      <c r="H69" s="291">
        <f t="shared" si="0"/>
        <v>-4.04</v>
      </c>
      <c r="I69" s="772"/>
      <c r="J69" s="314"/>
      <c r="K69" s="314"/>
      <c r="L69" s="773"/>
      <c r="M69" s="294" t="s">
        <v>157</v>
      </c>
    </row>
    <row r="70" spans="1:13">
      <c r="A70" s="285" t="s">
        <v>158</v>
      </c>
      <c r="B70" s="241">
        <v>-5.2637782096862802</v>
      </c>
      <c r="C70" s="299"/>
      <c r="D70" s="288">
        <v>0.15545016183846899</v>
      </c>
      <c r="E70" s="289">
        <v>6</v>
      </c>
      <c r="F70" s="289">
        <v>250</v>
      </c>
      <c r="G70" s="290">
        <v>-0.04</v>
      </c>
      <c r="H70" s="291">
        <f t="shared" si="0"/>
        <v>-1.71</v>
      </c>
      <c r="I70" s="772"/>
      <c r="J70" s="314"/>
      <c r="K70" s="314"/>
      <c r="L70" s="773"/>
      <c r="M70" s="294" t="s">
        <v>159</v>
      </c>
    </row>
    <row r="71" spans="1:13">
      <c r="A71" s="295" t="s">
        <v>160</v>
      </c>
      <c r="B71" s="241">
        <v>-2.24695825576782</v>
      </c>
      <c r="C71" s="299"/>
      <c r="D71" s="288">
        <v>0.13261436390895101</v>
      </c>
      <c r="E71" s="289">
        <v>3</v>
      </c>
      <c r="F71" s="289">
        <v>250</v>
      </c>
      <c r="G71" s="290">
        <v>-1.97</v>
      </c>
      <c r="H71" s="291">
        <f t="shared" si="0"/>
        <v>0.21999999999999975</v>
      </c>
      <c r="I71" s="772"/>
      <c r="J71" s="314"/>
      <c r="K71" s="314"/>
      <c r="L71" s="773"/>
      <c r="M71" s="294" t="s">
        <v>161</v>
      </c>
    </row>
    <row r="72" spans="1:13">
      <c r="A72" s="295" t="s">
        <v>162</v>
      </c>
      <c r="B72" s="241">
        <v>-5.4927706718444798</v>
      </c>
      <c r="C72" s="299"/>
      <c r="D72" s="288">
        <v>0.21159815676624999</v>
      </c>
      <c r="E72" s="289">
        <v>9</v>
      </c>
      <c r="F72" s="289">
        <v>208.5</v>
      </c>
      <c r="G72" s="290">
        <v>2.08</v>
      </c>
      <c r="H72" s="291">
        <f t="shared" si="0"/>
        <v>-3.415</v>
      </c>
      <c r="I72" s="772"/>
      <c r="J72" s="314"/>
      <c r="K72" s="314"/>
      <c r="L72" s="773"/>
      <c r="M72" s="294" t="s">
        <v>163</v>
      </c>
    </row>
    <row r="73" spans="1:13">
      <c r="A73" s="295" t="s">
        <v>164</v>
      </c>
      <c r="B73" s="241">
        <v>-3.2495174407959002</v>
      </c>
      <c r="C73" s="299"/>
      <c r="D73" s="288">
        <v>0.19001512437058701</v>
      </c>
      <c r="E73" s="289">
        <v>15</v>
      </c>
      <c r="F73" s="289">
        <v>220</v>
      </c>
      <c r="G73" s="290">
        <v>2.69</v>
      </c>
      <c r="H73" s="291">
        <f t="shared" si="0"/>
        <v>-4.1399999999999997</v>
      </c>
      <c r="I73" s="772"/>
      <c r="J73" s="314"/>
      <c r="K73" s="314"/>
      <c r="L73" s="773"/>
      <c r="M73" s="294" t="s">
        <v>165</v>
      </c>
    </row>
    <row r="74" spans="1:13">
      <c r="A74" s="295" t="s">
        <v>166</v>
      </c>
      <c r="B74" s="241">
        <v>-5.1361370086669904</v>
      </c>
      <c r="C74" s="299"/>
      <c r="D74" s="288">
        <v>0.169781830230266</v>
      </c>
      <c r="E74" s="289">
        <v>10</v>
      </c>
      <c r="F74" s="289">
        <v>151</v>
      </c>
      <c r="G74" s="290">
        <v>4.43</v>
      </c>
      <c r="H74" s="291">
        <f t="shared" si="0"/>
        <v>-5.1899999999999995</v>
      </c>
      <c r="I74" s="772"/>
      <c r="J74" s="314"/>
      <c r="K74" s="314"/>
      <c r="L74" s="773"/>
      <c r="M74" s="294" t="s">
        <v>167</v>
      </c>
    </row>
    <row r="75" spans="1:13">
      <c r="A75" s="305" t="s">
        <v>100</v>
      </c>
      <c r="B75" s="241">
        <v>-5.8444371223449698</v>
      </c>
      <c r="C75" s="299"/>
      <c r="D75" s="288">
        <v>0.19416214604145601</v>
      </c>
      <c r="E75" s="289">
        <v>7</v>
      </c>
      <c r="F75" s="289">
        <v>154.5</v>
      </c>
      <c r="G75" s="290">
        <v>4.22</v>
      </c>
      <c r="H75" s="291">
        <f t="shared" si="0"/>
        <v>-5.0149999999999997</v>
      </c>
      <c r="I75" s="772"/>
      <c r="J75" s="314"/>
      <c r="K75" s="314"/>
      <c r="L75" s="773"/>
      <c r="M75" s="294" t="s">
        <v>168</v>
      </c>
    </row>
    <row r="76" spans="1:13">
      <c r="A76" s="295" t="s">
        <v>169</v>
      </c>
      <c r="B76" s="241">
        <v>-5.8490219116210902</v>
      </c>
      <c r="C76" s="299"/>
      <c r="D76" s="288">
        <v>0.16048013551961601</v>
      </c>
      <c r="E76" s="289">
        <v>5</v>
      </c>
      <c r="F76" s="289">
        <v>167.75</v>
      </c>
      <c r="G76" s="290">
        <v>2.87</v>
      </c>
      <c r="H76" s="291">
        <f t="shared" si="0"/>
        <v>-3.7975000000000003</v>
      </c>
      <c r="I76" s="772"/>
      <c r="J76" s="314"/>
      <c r="K76" s="314"/>
      <c r="L76" s="773"/>
      <c r="M76" s="294" t="s">
        <v>170</v>
      </c>
    </row>
    <row r="77" spans="1:13">
      <c r="A77" s="295" t="s">
        <v>171</v>
      </c>
      <c r="B77" s="241">
        <v>-4.4110760688781703</v>
      </c>
      <c r="C77" s="299"/>
      <c r="D77" s="288">
        <v>0.22239504833634899</v>
      </c>
      <c r="E77" s="289">
        <v>21</v>
      </c>
      <c r="F77" s="289">
        <v>159</v>
      </c>
      <c r="G77" s="290">
        <v>3.93</v>
      </c>
      <c r="H77" s="291">
        <f t="shared" si="0"/>
        <v>-4.7700000000000005</v>
      </c>
      <c r="I77" s="772"/>
      <c r="J77" s="314"/>
      <c r="K77" s="314"/>
      <c r="L77" s="773"/>
      <c r="M77" s="294" t="s">
        <v>172</v>
      </c>
    </row>
    <row r="78" spans="1:13">
      <c r="A78" s="295" t="s">
        <v>173</v>
      </c>
      <c r="B78" s="241">
        <v>-4.7835502624511701</v>
      </c>
      <c r="C78" s="299"/>
      <c r="D78" s="288">
        <v>0.21209434799218399</v>
      </c>
      <c r="E78" s="289">
        <v>5</v>
      </c>
      <c r="F78" s="289">
        <v>213.5</v>
      </c>
      <c r="G78" s="290">
        <v>3.04</v>
      </c>
      <c r="H78" s="291">
        <f t="shared" si="0"/>
        <v>-4.4249999999999998</v>
      </c>
      <c r="I78" s="772"/>
      <c r="J78" s="314"/>
      <c r="K78" s="314"/>
      <c r="L78" s="773"/>
      <c r="M78" s="294" t="s">
        <v>174</v>
      </c>
    </row>
    <row r="79" spans="1:13">
      <c r="A79" s="295" t="s">
        <v>175</v>
      </c>
      <c r="B79" s="241">
        <v>-3.9093930721282999</v>
      </c>
      <c r="C79" s="299"/>
      <c r="D79" s="288">
        <v>0.14072241564069299</v>
      </c>
      <c r="E79" s="289">
        <v>11</v>
      </c>
      <c r="F79" s="289">
        <v>146</v>
      </c>
      <c r="G79" s="290">
        <v>4.21</v>
      </c>
      <c r="H79" s="291">
        <f t="shared" si="0"/>
        <v>-4.92</v>
      </c>
      <c r="I79" s="772"/>
      <c r="J79" s="314"/>
      <c r="K79" s="314"/>
      <c r="L79" s="773"/>
      <c r="M79" s="294" t="s">
        <v>176</v>
      </c>
    </row>
    <row r="80" spans="1:13">
      <c r="A80" s="295" t="s">
        <v>177</v>
      </c>
      <c r="B80" s="241">
        <v>-4.6839318275451696</v>
      </c>
      <c r="C80" s="299"/>
      <c r="D80" s="288">
        <v>0.21748916450754399</v>
      </c>
      <c r="E80" s="289">
        <v>5</v>
      </c>
      <c r="F80" s="289">
        <v>92.3333333333333</v>
      </c>
      <c r="G80" s="290">
        <v>4.21</v>
      </c>
      <c r="H80" s="291">
        <f t="shared" si="0"/>
        <v>-4.3833333333333329</v>
      </c>
      <c r="I80" s="772"/>
      <c r="J80" s="314"/>
      <c r="K80" s="314"/>
      <c r="L80" s="773"/>
      <c r="M80" s="294" t="s">
        <v>178</v>
      </c>
    </row>
    <row r="81" spans="1:13">
      <c r="A81" s="285" t="s">
        <v>179</v>
      </c>
      <c r="B81" s="241">
        <v>-4.3258957862854004</v>
      </c>
      <c r="C81" s="299"/>
      <c r="D81" s="288">
        <v>0.20531013145176399</v>
      </c>
      <c r="E81" s="289">
        <v>8</v>
      </c>
      <c r="F81" s="289">
        <v>256</v>
      </c>
      <c r="G81" s="290">
        <v>2.71</v>
      </c>
      <c r="H81" s="291">
        <f t="shared" si="0"/>
        <v>-4.5199999999999996</v>
      </c>
      <c r="I81" s="772"/>
      <c r="J81" s="314"/>
      <c r="K81" s="314"/>
      <c r="L81" s="773"/>
      <c r="M81" s="294" t="s">
        <v>180</v>
      </c>
    </row>
    <row r="82" spans="1:13">
      <c r="A82" s="285" t="s">
        <v>181</v>
      </c>
      <c r="B82" s="241">
        <v>-3.7989025115966801</v>
      </c>
      <c r="C82" s="299"/>
      <c r="D82" s="288">
        <v>0.211767851422238</v>
      </c>
      <c r="E82" s="289">
        <v>3</v>
      </c>
      <c r="F82" s="289">
        <v>80</v>
      </c>
      <c r="G82" s="290">
        <v>3.37</v>
      </c>
      <c r="H82" s="291">
        <f t="shared" si="0"/>
        <v>-3.42</v>
      </c>
      <c r="I82" s="772"/>
      <c r="J82" s="314"/>
      <c r="K82" s="314"/>
      <c r="L82" s="773"/>
      <c r="M82" s="294" t="s">
        <v>182</v>
      </c>
    </row>
    <row r="83" spans="1:13">
      <c r="A83" s="285" t="s">
        <v>183</v>
      </c>
      <c r="B83" s="241">
        <v>-4.3887801170349103</v>
      </c>
      <c r="C83" s="299"/>
      <c r="D83" s="288">
        <v>0.16217657762412199</v>
      </c>
      <c r="E83" s="289">
        <v>17</v>
      </c>
      <c r="F83" s="289">
        <v>153</v>
      </c>
      <c r="G83" s="290">
        <v>3.04</v>
      </c>
      <c r="H83" s="291">
        <f t="shared" si="0"/>
        <v>-3.8200000000000003</v>
      </c>
      <c r="I83" s="772"/>
      <c r="J83" s="314"/>
      <c r="K83" s="314"/>
      <c r="L83" s="773"/>
      <c r="M83" s="294" t="s">
        <v>184</v>
      </c>
    </row>
    <row r="84" spans="1:13">
      <c r="A84" s="295" t="s">
        <v>185</v>
      </c>
      <c r="B84" s="241">
        <v>-6.11610984802246</v>
      </c>
      <c r="C84" s="299"/>
      <c r="D84" s="288">
        <v>0.204488274966239</v>
      </c>
      <c r="E84" s="289">
        <v>3</v>
      </c>
      <c r="F84" s="289">
        <v>349.84</v>
      </c>
      <c r="G84" s="290">
        <v>4.75</v>
      </c>
      <c r="H84" s="291">
        <f t="shared" si="0"/>
        <v>-7.4984000000000002</v>
      </c>
      <c r="I84" s="772"/>
      <c r="J84" s="314"/>
      <c r="K84" s="314"/>
      <c r="L84" s="773"/>
      <c r="M84" s="294" t="s">
        <v>186</v>
      </c>
    </row>
    <row r="85" spans="1:13">
      <c r="A85" s="295" t="s">
        <v>187</v>
      </c>
      <c r="B85" s="241">
        <v>-3.19489550590515</v>
      </c>
      <c r="C85" s="299"/>
      <c r="D85" s="288">
        <v>0.14358294446577699</v>
      </c>
      <c r="E85" s="289">
        <v>6</v>
      </c>
      <c r="F85" s="289">
        <v>248</v>
      </c>
      <c r="G85" s="290">
        <v>2.65</v>
      </c>
      <c r="H85" s="291">
        <f t="shared" si="0"/>
        <v>-4.38</v>
      </c>
      <c r="I85" s="772"/>
      <c r="J85" s="314"/>
      <c r="K85" s="314"/>
      <c r="L85" s="773"/>
      <c r="M85" s="294" t="s">
        <v>188</v>
      </c>
    </row>
    <row r="86" spans="1:13">
      <c r="A86" s="295" t="s">
        <v>189</v>
      </c>
      <c r="B86" s="241">
        <v>-4.3935303688049299</v>
      </c>
      <c r="C86" s="299"/>
      <c r="D86" s="288">
        <v>0.153840969889913</v>
      </c>
      <c r="E86" s="289">
        <v>11</v>
      </c>
      <c r="F86" s="289">
        <v>173</v>
      </c>
      <c r="G86" s="290">
        <v>2.1800000000000002</v>
      </c>
      <c r="H86" s="291">
        <f t="shared" si="0"/>
        <v>-3.16</v>
      </c>
      <c r="I86" s="772"/>
      <c r="J86" s="314"/>
      <c r="K86" s="314"/>
      <c r="L86" s="773"/>
      <c r="M86" s="294" t="s">
        <v>190</v>
      </c>
    </row>
    <row r="87" spans="1:13">
      <c r="A87" s="295" t="s">
        <v>191</v>
      </c>
      <c r="B87" s="241">
        <v>-3.7333073616027801</v>
      </c>
      <c r="C87" s="299"/>
      <c r="D87" s="288">
        <v>0.14176528631434901</v>
      </c>
      <c r="E87" s="289">
        <v>5</v>
      </c>
      <c r="F87" s="289">
        <v>143.75</v>
      </c>
      <c r="G87" s="290">
        <v>2.76</v>
      </c>
      <c r="H87" s="291">
        <f t="shared" ref="H87:H122" si="1">0.5-G87-0.01*(F87-25)</f>
        <v>-3.4474999999999998</v>
      </c>
      <c r="I87" s="772"/>
      <c r="J87" s="314"/>
      <c r="K87" s="314"/>
      <c r="L87" s="773"/>
      <c r="M87" s="294" t="s">
        <v>192</v>
      </c>
    </row>
    <row r="88" spans="1:13">
      <c r="A88" s="295" t="s">
        <v>193</v>
      </c>
      <c r="B88" s="241">
        <v>-3.1461157798767099</v>
      </c>
      <c r="C88" s="299"/>
      <c r="D88" s="288">
        <v>0.16213928191469301</v>
      </c>
      <c r="E88" s="289">
        <v>19</v>
      </c>
      <c r="F88" s="289">
        <v>220.5</v>
      </c>
      <c r="G88" s="290">
        <v>1.27</v>
      </c>
      <c r="H88" s="291">
        <f t="shared" si="1"/>
        <v>-2.7250000000000001</v>
      </c>
      <c r="I88" s="772"/>
      <c r="J88" s="314"/>
      <c r="K88" s="314"/>
      <c r="L88" s="773"/>
      <c r="M88" s="294" t="s">
        <v>194</v>
      </c>
    </row>
    <row r="89" spans="1:13">
      <c r="A89" s="295" t="s">
        <v>195</v>
      </c>
      <c r="B89" s="241">
        <v>-4.0142397880554199</v>
      </c>
      <c r="C89" s="299"/>
      <c r="D89" s="288">
        <v>0.16127920198135701</v>
      </c>
      <c r="E89" s="289">
        <v>5</v>
      </c>
      <c r="F89" s="289">
        <v>214</v>
      </c>
      <c r="G89" s="290">
        <v>3.83</v>
      </c>
      <c r="H89" s="291">
        <f t="shared" si="1"/>
        <v>-5.2200000000000006</v>
      </c>
      <c r="I89" s="772"/>
      <c r="J89" s="314"/>
      <c r="K89" s="314"/>
      <c r="L89" s="773"/>
      <c r="M89" s="294" t="s">
        <v>196</v>
      </c>
    </row>
    <row r="90" spans="1:13">
      <c r="A90" s="305" t="s">
        <v>197</v>
      </c>
      <c r="B90" s="241">
        <v>-4.6505484580993697</v>
      </c>
      <c r="C90" s="299"/>
      <c r="D90" s="288">
        <v>0.13869006117838001</v>
      </c>
      <c r="E90" s="289">
        <v>3</v>
      </c>
      <c r="F90" s="289">
        <v>176</v>
      </c>
      <c r="G90" s="290">
        <v>2.88</v>
      </c>
      <c r="H90" s="291">
        <f t="shared" si="1"/>
        <v>-3.8899999999999997</v>
      </c>
      <c r="I90" s="772"/>
      <c r="J90" s="314"/>
      <c r="K90" s="314"/>
      <c r="L90" s="773"/>
      <c r="M90" s="294" t="s">
        <v>198</v>
      </c>
    </row>
    <row r="91" spans="1:13">
      <c r="A91" s="285" t="s">
        <v>199</v>
      </c>
      <c r="B91" s="241">
        <v>-1.26858282089233</v>
      </c>
      <c r="C91" s="299"/>
      <c r="D91" s="288">
        <v>0.12598340861886001</v>
      </c>
      <c r="E91" s="289">
        <v>14</v>
      </c>
      <c r="F91" s="289">
        <v>253.5</v>
      </c>
      <c r="G91" s="290">
        <v>1.54</v>
      </c>
      <c r="H91" s="291">
        <f t="shared" si="1"/>
        <v>-3.3250000000000002</v>
      </c>
      <c r="I91" s="772"/>
      <c r="J91" s="314"/>
      <c r="K91" s="314"/>
      <c r="L91" s="773"/>
      <c r="M91" s="294" t="s">
        <v>200</v>
      </c>
    </row>
    <row r="92" spans="1:13">
      <c r="A92" s="295" t="s">
        <v>201</v>
      </c>
      <c r="B92" s="241">
        <v>-3.9004089832305899</v>
      </c>
      <c r="C92" s="299"/>
      <c r="D92" s="288">
        <v>0.16504944177542499</v>
      </c>
      <c r="E92" s="289">
        <v>5</v>
      </c>
      <c r="F92" s="289">
        <v>205.5</v>
      </c>
      <c r="G92" s="290">
        <v>2.4500000000000002</v>
      </c>
      <c r="H92" s="291">
        <f t="shared" si="1"/>
        <v>-3.7549999999999999</v>
      </c>
      <c r="I92" s="772"/>
      <c r="J92" s="314"/>
      <c r="K92" s="314"/>
      <c r="L92" s="773"/>
      <c r="M92" s="294" t="s">
        <v>202</v>
      </c>
    </row>
    <row r="93" spans="1:13">
      <c r="A93" s="305" t="s">
        <v>203</v>
      </c>
      <c r="B93" s="241">
        <v>-3.9930653572082502</v>
      </c>
      <c r="C93" s="299"/>
      <c r="D93" s="288">
        <v>0.19426266518058299</v>
      </c>
      <c r="E93" s="289">
        <v>3</v>
      </c>
      <c r="F93" s="289">
        <v>96</v>
      </c>
      <c r="G93" s="290">
        <v>3.49</v>
      </c>
      <c r="H93" s="291">
        <f t="shared" si="1"/>
        <v>-3.7</v>
      </c>
      <c r="I93" s="772"/>
      <c r="J93" s="314"/>
      <c r="K93" s="314"/>
      <c r="L93" s="773"/>
      <c r="M93" s="294" t="s">
        <v>204</v>
      </c>
    </row>
    <row r="94" spans="1:13">
      <c r="A94" s="295" t="s">
        <v>205</v>
      </c>
      <c r="B94" s="241">
        <v>-4.3403754234314</v>
      </c>
      <c r="C94" s="299"/>
      <c r="D94" s="288">
        <v>0.188943371497371</v>
      </c>
      <c r="E94" s="289">
        <v>12</v>
      </c>
      <c r="F94" s="289">
        <v>147.25</v>
      </c>
      <c r="G94" s="290">
        <v>3.86</v>
      </c>
      <c r="H94" s="291">
        <f t="shared" si="1"/>
        <v>-4.5824999999999996</v>
      </c>
      <c r="I94" s="772"/>
      <c r="J94" s="314"/>
      <c r="K94" s="314"/>
      <c r="L94" s="773"/>
      <c r="M94" s="294" t="s">
        <v>206</v>
      </c>
    </row>
    <row r="95" spans="1:13">
      <c r="A95" s="295" t="s">
        <v>207</v>
      </c>
      <c r="B95" s="241">
        <v>-4.1483569145202601</v>
      </c>
      <c r="C95" s="299"/>
      <c r="D95" s="288">
        <v>0.17391407185160301</v>
      </c>
      <c r="E95" s="289">
        <v>6</v>
      </c>
      <c r="F95" s="289">
        <v>97</v>
      </c>
      <c r="G95" s="290">
        <v>3.94</v>
      </c>
      <c r="H95" s="291">
        <f t="shared" si="1"/>
        <v>-4.16</v>
      </c>
      <c r="I95" s="772"/>
      <c r="J95" s="314"/>
      <c r="K95" s="314"/>
      <c r="L95" s="773"/>
      <c r="M95" s="294" t="s">
        <v>208</v>
      </c>
    </row>
    <row r="96" spans="1:13">
      <c r="A96" s="285" t="s">
        <v>209</v>
      </c>
      <c r="B96" s="241">
        <v>-2.4000914096832302</v>
      </c>
      <c r="C96" s="299"/>
      <c r="D96" s="288">
        <v>0.13764369691033701</v>
      </c>
      <c r="E96" s="289">
        <v>10</v>
      </c>
      <c r="F96" s="289">
        <v>134.5</v>
      </c>
      <c r="G96" s="290">
        <v>2.04</v>
      </c>
      <c r="H96" s="291">
        <f t="shared" si="1"/>
        <v>-2.6349999999999998</v>
      </c>
      <c r="I96" s="772"/>
      <c r="J96" s="314"/>
      <c r="K96" s="314"/>
      <c r="L96" s="773"/>
      <c r="M96" s="294" t="s">
        <v>210</v>
      </c>
    </row>
    <row r="97" spans="1:13">
      <c r="A97" s="295" t="s">
        <v>211</v>
      </c>
      <c r="B97" s="241">
        <v>-3.41878366470337</v>
      </c>
      <c r="C97" s="299"/>
      <c r="D97" s="288">
        <v>0.162457468885915</v>
      </c>
      <c r="E97" s="289">
        <v>7</v>
      </c>
      <c r="F97" s="289">
        <v>139</v>
      </c>
      <c r="G97" s="290">
        <v>2.66</v>
      </c>
      <c r="H97" s="291">
        <f t="shared" si="1"/>
        <v>-3.3000000000000003</v>
      </c>
      <c r="I97" s="772"/>
      <c r="J97" s="314"/>
      <c r="K97" s="314"/>
      <c r="L97" s="773"/>
      <c r="M97" s="294" t="s">
        <v>212</v>
      </c>
    </row>
    <row r="98" spans="1:13">
      <c r="A98" s="295" t="s">
        <v>213</v>
      </c>
      <c r="B98" s="241">
        <v>-2.53638744354248</v>
      </c>
      <c r="C98" s="299"/>
      <c r="D98" s="288">
        <v>0.15322122505052199</v>
      </c>
      <c r="E98" s="289">
        <v>9</v>
      </c>
      <c r="F98" s="289">
        <v>170</v>
      </c>
      <c r="G98" s="290">
        <v>1.91</v>
      </c>
      <c r="H98" s="291">
        <f t="shared" si="1"/>
        <v>-2.86</v>
      </c>
      <c r="I98" s="772"/>
      <c r="J98" s="314"/>
      <c r="K98" s="314"/>
      <c r="L98" s="773"/>
      <c r="M98" s="294" t="s">
        <v>214</v>
      </c>
    </row>
    <row r="99" spans="1:13">
      <c r="A99" s="285" t="s">
        <v>215</v>
      </c>
      <c r="B99" s="241">
        <v>-3.1510522365570099</v>
      </c>
      <c r="C99" s="299"/>
      <c r="D99" s="288">
        <v>0.15273607916541099</v>
      </c>
      <c r="E99" s="289">
        <v>10</v>
      </c>
      <c r="F99" s="289">
        <v>326</v>
      </c>
      <c r="G99" s="290">
        <v>2.44</v>
      </c>
      <c r="H99" s="291">
        <f t="shared" si="1"/>
        <v>-4.95</v>
      </c>
      <c r="I99" s="772"/>
      <c r="J99" s="314"/>
      <c r="K99" s="314"/>
      <c r="L99" s="773"/>
      <c r="M99" s="294" t="s">
        <v>216</v>
      </c>
    </row>
    <row r="100" spans="1:13">
      <c r="A100" s="295" t="s">
        <v>217</v>
      </c>
      <c r="B100" s="241">
        <v>-3.4448907375335698</v>
      </c>
      <c r="C100" s="299"/>
      <c r="D100" s="288">
        <v>0.184047015121025</v>
      </c>
      <c r="E100" s="289">
        <v>5</v>
      </c>
      <c r="F100" s="289">
        <v>232.5</v>
      </c>
      <c r="G100" s="290">
        <v>1.8</v>
      </c>
      <c r="H100" s="291">
        <f t="shared" si="1"/>
        <v>-3.375</v>
      </c>
      <c r="I100" s="772"/>
      <c r="J100" s="314"/>
      <c r="K100" s="314"/>
      <c r="L100" s="773"/>
      <c r="M100" s="294" t="s">
        <v>218</v>
      </c>
    </row>
    <row r="101" spans="1:13">
      <c r="A101" s="295" t="s">
        <v>219</v>
      </c>
      <c r="B101" s="241">
        <v>-2.6282327175140399</v>
      </c>
      <c r="C101" s="299"/>
      <c r="D101" s="288">
        <v>0.13604063752604401</v>
      </c>
      <c r="E101" s="289">
        <v>4</v>
      </c>
      <c r="F101" s="289">
        <v>281.5</v>
      </c>
      <c r="G101" s="290">
        <v>0.54</v>
      </c>
      <c r="H101" s="291">
        <f t="shared" si="1"/>
        <v>-2.605</v>
      </c>
      <c r="I101" s="772"/>
      <c r="J101" s="314"/>
      <c r="K101" s="314"/>
      <c r="L101" s="773"/>
      <c r="M101" s="294" t="s">
        <v>220</v>
      </c>
    </row>
    <row r="102" spans="1:13">
      <c r="A102" s="295" t="s">
        <v>221</v>
      </c>
      <c r="B102" s="241">
        <v>-4.8950867652893102</v>
      </c>
      <c r="C102" s="299"/>
      <c r="D102" s="288">
        <v>0.19798964803022501</v>
      </c>
      <c r="E102" s="289">
        <v>4</v>
      </c>
      <c r="F102" s="289">
        <v>197.1</v>
      </c>
      <c r="G102" s="290">
        <v>2.2000000000000002</v>
      </c>
      <c r="H102" s="291">
        <f t="shared" si="1"/>
        <v>-3.4210000000000003</v>
      </c>
      <c r="I102" s="772"/>
      <c r="J102" s="314"/>
      <c r="K102" s="314"/>
      <c r="L102" s="773"/>
      <c r="M102" s="294" t="s">
        <v>222</v>
      </c>
    </row>
    <row r="103" spans="1:13">
      <c r="A103" s="305" t="s">
        <v>223</v>
      </c>
      <c r="B103" s="241">
        <v>-4.3156695365905797</v>
      </c>
      <c r="C103" s="299"/>
      <c r="D103" s="288">
        <v>0.13486720020739101</v>
      </c>
      <c r="E103" s="289">
        <v>4</v>
      </c>
      <c r="F103" s="289">
        <v>33</v>
      </c>
      <c r="G103" s="290">
        <v>4.24</v>
      </c>
      <c r="H103" s="291">
        <f t="shared" si="1"/>
        <v>-3.8200000000000003</v>
      </c>
      <c r="I103" s="772"/>
      <c r="J103" s="314"/>
      <c r="K103" s="314"/>
      <c r="L103" s="773"/>
      <c r="M103" s="294" t="s">
        <v>224</v>
      </c>
    </row>
    <row r="104" spans="1:13">
      <c r="A104" s="295" t="s">
        <v>225</v>
      </c>
      <c r="B104" s="241">
        <v>-4.3345103263854998</v>
      </c>
      <c r="C104" s="299"/>
      <c r="D104" s="288">
        <v>0.188012747606043</v>
      </c>
      <c r="E104" s="289">
        <v>11</v>
      </c>
      <c r="F104" s="289">
        <v>60</v>
      </c>
      <c r="G104" s="290">
        <v>4.24</v>
      </c>
      <c r="H104" s="291">
        <f t="shared" si="1"/>
        <v>-4.09</v>
      </c>
      <c r="I104" s="772"/>
      <c r="J104" s="314"/>
      <c r="K104" s="314"/>
      <c r="L104" s="773"/>
      <c r="M104" s="294" t="s">
        <v>226</v>
      </c>
    </row>
    <row r="105" spans="1:13">
      <c r="A105" s="295" t="s">
        <v>227</v>
      </c>
      <c r="B105" s="241">
        <v>-5.7669091224670401</v>
      </c>
      <c r="C105" s="299"/>
      <c r="D105" s="288">
        <v>0.16640140742242099</v>
      </c>
      <c r="E105" s="289">
        <v>4</v>
      </c>
      <c r="F105" s="289">
        <v>130.5</v>
      </c>
      <c r="G105" s="290">
        <v>5.22</v>
      </c>
      <c r="H105" s="291">
        <f t="shared" si="1"/>
        <v>-5.7749999999999995</v>
      </c>
      <c r="I105" s="772"/>
      <c r="J105" s="314"/>
      <c r="K105" s="314"/>
      <c r="L105" s="773"/>
      <c r="M105" s="294" t="s">
        <v>228</v>
      </c>
    </row>
    <row r="106" spans="1:13">
      <c r="A106" s="305" t="s">
        <v>103</v>
      </c>
      <c r="B106" s="241">
        <v>-3.19799876213074</v>
      </c>
      <c r="C106" s="299"/>
      <c r="D106" s="288">
        <v>0.17506472136099999</v>
      </c>
      <c r="E106" s="289">
        <v>7</v>
      </c>
      <c r="F106" s="289">
        <v>254</v>
      </c>
      <c r="G106" s="290">
        <v>2.97</v>
      </c>
      <c r="H106" s="291">
        <f t="shared" si="1"/>
        <v>-4.76</v>
      </c>
      <c r="I106" s="772"/>
      <c r="J106" s="314"/>
      <c r="K106" s="314"/>
      <c r="L106" s="773"/>
      <c r="M106" s="294" t="s">
        <v>229</v>
      </c>
    </row>
    <row r="107" spans="1:13">
      <c r="A107" s="305" t="s">
        <v>230</v>
      </c>
      <c r="B107" s="241">
        <v>-5.8989186286926296</v>
      </c>
      <c r="C107" s="299"/>
      <c r="D107" s="288">
        <v>0.160541646006926</v>
      </c>
      <c r="E107" s="289">
        <v>5</v>
      </c>
      <c r="F107" s="289">
        <v>121</v>
      </c>
      <c r="G107" s="290">
        <v>5.91</v>
      </c>
      <c r="H107" s="291">
        <f t="shared" si="1"/>
        <v>-6.37</v>
      </c>
      <c r="I107" s="772"/>
      <c r="J107" s="314"/>
      <c r="K107" s="314"/>
      <c r="L107" s="773"/>
      <c r="M107" s="294" t="s">
        <v>231</v>
      </c>
    </row>
    <row r="108" spans="1:13">
      <c r="A108" s="295" t="s">
        <v>232</v>
      </c>
      <c r="B108" s="241">
        <v>-5.0951399803161603</v>
      </c>
      <c r="C108" s="299"/>
      <c r="D108" s="288">
        <v>0.15756984748208799</v>
      </c>
      <c r="E108" s="289">
        <v>5</v>
      </c>
      <c r="F108" s="289">
        <v>207</v>
      </c>
      <c r="G108" s="290">
        <v>2.56</v>
      </c>
      <c r="H108" s="291">
        <f t="shared" si="1"/>
        <v>-3.88</v>
      </c>
      <c r="I108" s="772"/>
      <c r="J108" s="314"/>
      <c r="K108" s="314"/>
      <c r="L108" s="773"/>
      <c r="M108" s="294" t="s">
        <v>233</v>
      </c>
    </row>
    <row r="109" spans="1:13">
      <c r="A109" s="285" t="s">
        <v>234</v>
      </c>
      <c r="B109" s="241">
        <v>-4.9408698081970197</v>
      </c>
      <c r="C109" s="299"/>
      <c r="D109" s="288">
        <v>0.161603623531796</v>
      </c>
      <c r="E109" s="289">
        <v>6</v>
      </c>
      <c r="F109" s="289">
        <v>134.5</v>
      </c>
      <c r="G109" s="290">
        <v>4.8499999999999996</v>
      </c>
      <c r="H109" s="291">
        <f t="shared" si="1"/>
        <v>-5.4449999999999994</v>
      </c>
      <c r="I109" s="772"/>
      <c r="J109" s="314"/>
      <c r="K109" s="314"/>
      <c r="L109" s="773"/>
      <c r="M109" s="294" t="s">
        <v>235</v>
      </c>
    </row>
    <row r="110" spans="1:13">
      <c r="A110" s="285" t="s">
        <v>236</v>
      </c>
      <c r="B110" s="241">
        <v>-3.32384157180786</v>
      </c>
      <c r="C110" s="299"/>
      <c r="D110" s="288">
        <v>0.18685765827674</v>
      </c>
      <c r="E110" s="289">
        <v>6</v>
      </c>
      <c r="F110" s="289">
        <v>275</v>
      </c>
      <c r="G110" s="290">
        <v>2.09</v>
      </c>
      <c r="H110" s="291">
        <f t="shared" si="1"/>
        <v>-4.09</v>
      </c>
      <c r="I110" s="772"/>
      <c r="J110" s="314"/>
      <c r="K110" s="314"/>
      <c r="L110" s="773"/>
      <c r="M110" s="294" t="s">
        <v>237</v>
      </c>
    </row>
    <row r="111" spans="1:13">
      <c r="A111" s="295" t="s">
        <v>238</v>
      </c>
      <c r="B111" s="241">
        <v>-5.2562232017517099</v>
      </c>
      <c r="C111" s="299"/>
      <c r="D111" s="288">
        <v>0.13950112944748699</v>
      </c>
      <c r="E111" s="289">
        <v>9</v>
      </c>
      <c r="F111" s="289">
        <v>220</v>
      </c>
      <c r="G111" s="290">
        <v>1.8</v>
      </c>
      <c r="H111" s="291">
        <f t="shared" si="1"/>
        <v>-3.25</v>
      </c>
      <c r="I111" s="772"/>
      <c r="J111" s="314"/>
      <c r="K111" s="314"/>
      <c r="L111" s="773"/>
      <c r="M111" s="294" t="s">
        <v>239</v>
      </c>
    </row>
    <row r="112" spans="1:13">
      <c r="A112" s="285" t="s">
        <v>240</v>
      </c>
      <c r="B112" s="241">
        <v>-2.6831412315368701</v>
      </c>
      <c r="C112" s="299"/>
      <c r="D112" s="288">
        <v>0.22014005046870999</v>
      </c>
      <c r="E112" s="289">
        <v>9</v>
      </c>
      <c r="F112" s="289">
        <v>202</v>
      </c>
      <c r="G112" s="290">
        <v>1.53</v>
      </c>
      <c r="H112" s="291">
        <f t="shared" si="1"/>
        <v>-2.8</v>
      </c>
      <c r="I112" s="772"/>
      <c r="J112" s="314"/>
      <c r="K112" s="314"/>
      <c r="L112" s="773"/>
      <c r="M112" s="294" t="s">
        <v>241</v>
      </c>
    </row>
    <row r="113" spans="1:28">
      <c r="A113" s="295" t="s">
        <v>242</v>
      </c>
      <c r="B113" s="241">
        <v>-2.7378082275390598</v>
      </c>
      <c r="C113" s="299"/>
      <c r="D113" s="288">
        <v>0.140140838794855</v>
      </c>
      <c r="E113" s="289">
        <v>3</v>
      </c>
      <c r="F113" s="289">
        <v>243</v>
      </c>
      <c r="G113" s="290">
        <v>1.48</v>
      </c>
      <c r="H113" s="291">
        <f t="shared" si="1"/>
        <v>-3.16</v>
      </c>
      <c r="I113" s="772"/>
      <c r="J113" s="314"/>
      <c r="K113" s="314"/>
      <c r="L113" s="773"/>
      <c r="M113" s="294" t="s">
        <v>243</v>
      </c>
    </row>
    <row r="114" spans="1:28">
      <c r="A114" s="305" t="s">
        <v>244</v>
      </c>
      <c r="B114" s="241">
        <v>-2.7542285919189502</v>
      </c>
      <c r="C114" s="299"/>
      <c r="D114" s="288">
        <v>0.13726989684758001</v>
      </c>
      <c r="E114" s="289">
        <v>3</v>
      </c>
      <c r="F114" s="289">
        <v>191</v>
      </c>
      <c r="G114" s="290">
        <v>1.67</v>
      </c>
      <c r="H114" s="291">
        <f t="shared" si="1"/>
        <v>-2.83</v>
      </c>
      <c r="I114" s="772"/>
      <c r="J114" s="314"/>
      <c r="K114" s="314"/>
      <c r="L114" s="773"/>
      <c r="M114" s="294" t="s">
        <v>245</v>
      </c>
    </row>
    <row r="115" spans="1:28">
      <c r="A115" s="295" t="s">
        <v>246</v>
      </c>
      <c r="B115" s="241">
        <v>-5.3839659690856898</v>
      </c>
      <c r="C115" s="299"/>
      <c r="D115" s="288">
        <v>0.21357402153711499</v>
      </c>
      <c r="E115" s="289">
        <v>7</v>
      </c>
      <c r="F115" s="289">
        <v>183.5</v>
      </c>
      <c r="G115" s="290">
        <v>4.37</v>
      </c>
      <c r="H115" s="291">
        <f t="shared" si="1"/>
        <v>-5.4550000000000001</v>
      </c>
      <c r="I115" s="772"/>
      <c r="J115" s="314"/>
      <c r="K115" s="314"/>
      <c r="L115" s="773"/>
      <c r="M115" s="294" t="s">
        <v>247</v>
      </c>
    </row>
    <row r="116" spans="1:28">
      <c r="A116" s="295" t="s">
        <v>248</v>
      </c>
      <c r="B116" s="241">
        <v>-3.0078139305114702</v>
      </c>
      <c r="C116" s="299"/>
      <c r="D116" s="288">
        <v>0.105644111777479</v>
      </c>
      <c r="E116" s="289">
        <v>3</v>
      </c>
      <c r="F116" s="289">
        <v>149</v>
      </c>
      <c r="G116" s="290">
        <v>2.62</v>
      </c>
      <c r="H116" s="291">
        <f t="shared" si="1"/>
        <v>-3.3600000000000003</v>
      </c>
      <c r="I116" s="772"/>
      <c r="J116" s="314"/>
      <c r="K116" s="314"/>
      <c r="L116" s="773"/>
      <c r="M116" s="294" t="s">
        <v>249</v>
      </c>
    </row>
    <row r="117" spans="1:28">
      <c r="A117" s="285" t="s">
        <v>250</v>
      </c>
      <c r="B117" s="241">
        <v>-3.7208614349365199</v>
      </c>
      <c r="C117" s="299"/>
      <c r="D117" s="288">
        <v>0.14623917640453399</v>
      </c>
      <c r="E117" s="289">
        <v>8</v>
      </c>
      <c r="F117" s="289">
        <v>165</v>
      </c>
      <c r="G117" s="290">
        <v>-0.37</v>
      </c>
      <c r="H117" s="291">
        <f t="shared" si="1"/>
        <v>-0.53000000000000014</v>
      </c>
      <c r="I117" s="772"/>
      <c r="J117" s="314"/>
      <c r="K117" s="314"/>
      <c r="L117" s="773"/>
      <c r="M117" s="294" t="s">
        <v>251</v>
      </c>
    </row>
    <row r="118" spans="1:28">
      <c r="A118" s="295" t="s">
        <v>252</v>
      </c>
      <c r="B118" s="241">
        <v>-2.29477167129517</v>
      </c>
      <c r="C118" s="299"/>
      <c r="D118" s="288">
        <v>0.16291639539032499</v>
      </c>
      <c r="E118" s="289">
        <v>10</v>
      </c>
      <c r="F118" s="289">
        <v>225</v>
      </c>
      <c r="G118" s="290">
        <v>0.81</v>
      </c>
      <c r="H118" s="291">
        <f t="shared" si="1"/>
        <v>-2.31</v>
      </c>
      <c r="I118" s="772"/>
      <c r="J118" s="314"/>
      <c r="K118" s="314"/>
      <c r="L118" s="773"/>
      <c r="M118" s="294" t="s">
        <v>253</v>
      </c>
    </row>
    <row r="119" spans="1:28">
      <c r="A119" s="295" t="s">
        <v>254</v>
      </c>
      <c r="B119" s="241">
        <v>-3.65946340560913</v>
      </c>
      <c r="C119" s="299"/>
      <c r="D119" s="288">
        <v>0.211666473574778</v>
      </c>
      <c r="E119" s="289">
        <v>5</v>
      </c>
      <c r="F119" s="289">
        <v>270</v>
      </c>
      <c r="G119" s="290">
        <v>0.62</v>
      </c>
      <c r="H119" s="291">
        <f t="shared" si="1"/>
        <v>-2.5700000000000003</v>
      </c>
      <c r="I119" s="772"/>
      <c r="J119" s="314"/>
      <c r="K119" s="314"/>
      <c r="L119" s="773"/>
      <c r="M119" s="294" t="s">
        <v>255</v>
      </c>
    </row>
    <row r="120" spans="1:28">
      <c r="A120" s="285" t="s">
        <v>256</v>
      </c>
      <c r="B120" s="241">
        <v>-3.6357254981994598</v>
      </c>
      <c r="C120" s="299"/>
      <c r="D120" s="288">
        <v>0.14175650298978701</v>
      </c>
      <c r="E120" s="289">
        <v>9</v>
      </c>
      <c r="F120" s="289">
        <v>312.66666666666703</v>
      </c>
      <c r="G120" s="290">
        <v>0.83</v>
      </c>
      <c r="H120" s="291">
        <f t="shared" si="1"/>
        <v>-3.2066666666666706</v>
      </c>
      <c r="I120" s="772"/>
      <c r="J120" s="314"/>
      <c r="K120" s="314"/>
      <c r="L120" s="773"/>
      <c r="M120" s="294" t="s">
        <v>257</v>
      </c>
    </row>
    <row r="121" spans="1:28">
      <c r="A121" s="295" t="s">
        <v>258</v>
      </c>
      <c r="B121" s="241">
        <v>-4.6187243461608896</v>
      </c>
      <c r="C121" s="299"/>
      <c r="D121" s="288">
        <v>0.20346886353462401</v>
      </c>
      <c r="E121" s="289">
        <v>11</v>
      </c>
      <c r="F121" s="289">
        <v>161</v>
      </c>
      <c r="G121" s="290">
        <v>3.61</v>
      </c>
      <c r="H121" s="291">
        <f t="shared" si="1"/>
        <v>-4.47</v>
      </c>
      <c r="I121" s="772"/>
      <c r="J121" s="314"/>
      <c r="K121" s="314"/>
      <c r="L121" s="773"/>
      <c r="M121" s="294" t="s">
        <v>259</v>
      </c>
    </row>
    <row r="122" spans="1:28">
      <c r="A122" s="285" t="s">
        <v>109</v>
      </c>
      <c r="B122" s="241">
        <v>-1.83573305606842</v>
      </c>
      <c r="C122" s="299"/>
      <c r="D122" s="288">
        <v>0.20579636821699801</v>
      </c>
      <c r="E122" s="289">
        <v>3</v>
      </c>
      <c r="F122" s="289">
        <v>300</v>
      </c>
      <c r="G122" s="290">
        <v>-1.06</v>
      </c>
      <c r="H122" s="291">
        <f t="shared" si="1"/>
        <v>-1.19</v>
      </c>
      <c r="I122" s="781"/>
      <c r="J122" s="776"/>
      <c r="K122" s="776"/>
      <c r="L122" s="777"/>
      <c r="M122" s="294" t="s">
        <v>260</v>
      </c>
    </row>
    <row r="123" spans="1:28">
      <c r="A123" s="294"/>
      <c r="C123" s="326" t="s">
        <v>261</v>
      </c>
      <c r="D123" s="327">
        <f>AVERAGE(D23:D122)</f>
        <v>0.17115851538193169</v>
      </c>
      <c r="E123" s="328"/>
      <c r="F123" s="329"/>
      <c r="G123" s="329"/>
      <c r="H123" s="330" t="s">
        <v>262</v>
      </c>
      <c r="I123" s="329"/>
      <c r="J123" s="290"/>
      <c r="K123" s="290"/>
      <c r="L123" s="290"/>
      <c r="M123" s="294"/>
    </row>
    <row r="124" spans="1:28">
      <c r="A124" s="294"/>
      <c r="C124" s="326" t="s">
        <v>263</v>
      </c>
      <c r="D124" s="327">
        <f>MIN(D23:D122)</f>
        <v>0.105644111777479</v>
      </c>
      <c r="E124" s="328"/>
      <c r="F124" s="329"/>
      <c r="G124" s="329"/>
      <c r="H124" s="330" t="s">
        <v>264</v>
      </c>
      <c r="I124" s="329"/>
      <c r="J124" s="290"/>
      <c r="K124" s="290"/>
      <c r="L124" s="290"/>
      <c r="M124" s="294"/>
    </row>
    <row r="125" spans="1:28">
      <c r="A125" s="294"/>
      <c r="C125" s="326" t="s">
        <v>265</v>
      </c>
      <c r="D125" s="327">
        <f>MAX(D23:D122)</f>
        <v>0.22239504833634899</v>
      </c>
      <c r="E125" s="328"/>
      <c r="F125" s="329"/>
      <c r="G125" s="329"/>
      <c r="H125" s="330"/>
      <c r="I125" s="329"/>
      <c r="J125" s="290"/>
      <c r="K125" s="290"/>
      <c r="L125" s="290"/>
      <c r="M125" s="294"/>
    </row>
    <row r="126" spans="1:28" s="244" customFormat="1">
      <c r="A126" s="331"/>
      <c r="B126" s="290"/>
      <c r="C126" s="290"/>
      <c r="D126" s="332"/>
      <c r="E126" s="290"/>
      <c r="F126" s="290"/>
      <c r="G126" s="290"/>
      <c r="H126" s="290"/>
      <c r="I126" s="290"/>
      <c r="J126" s="290"/>
      <c r="K126" s="290"/>
      <c r="L126" s="290"/>
      <c r="M126" s="294"/>
      <c r="N126" s="241"/>
      <c r="O126" s="241"/>
      <c r="P126" s="241"/>
      <c r="Q126" s="241"/>
      <c r="R126" s="241"/>
      <c r="S126" s="241"/>
      <c r="T126" s="241"/>
      <c r="U126" s="241"/>
      <c r="V126" s="241"/>
      <c r="W126" s="241"/>
      <c r="X126" s="241"/>
      <c r="Y126" s="241"/>
      <c r="Z126" s="241"/>
      <c r="AA126" s="241"/>
      <c r="AB126" s="241"/>
    </row>
    <row r="127" spans="1:28" s="276" customFormat="1" ht="32.25" customHeight="1" thickBot="1">
      <c r="A127" s="273" t="s">
        <v>708</v>
      </c>
      <c r="B127" s="332"/>
      <c r="C127" s="332"/>
      <c r="D127" s="332"/>
      <c r="E127" s="332"/>
      <c r="F127" s="332"/>
      <c r="G127" s="332"/>
      <c r="H127" s="332"/>
      <c r="I127" s="332"/>
      <c r="J127" s="332"/>
      <c r="K127" s="332"/>
      <c r="L127" s="332"/>
      <c r="M127" s="294"/>
      <c r="N127" s="244"/>
      <c r="O127" s="244"/>
      <c r="P127" s="244"/>
      <c r="Q127" s="244"/>
      <c r="R127" s="244"/>
      <c r="S127" s="244"/>
      <c r="T127" s="244"/>
      <c r="U127" s="244"/>
      <c r="V127" s="244"/>
      <c r="W127" s="244"/>
      <c r="X127" s="244"/>
      <c r="Y127" s="244"/>
      <c r="Z127" s="244"/>
      <c r="AA127" s="244"/>
      <c r="AB127" s="244"/>
    </row>
    <row r="128" spans="1:28" ht="43.5" customHeight="1" thickBot="1">
      <c r="A128" s="749" t="s">
        <v>18</v>
      </c>
      <c r="B128" s="750" t="s">
        <v>709</v>
      </c>
      <c r="C128" s="750" t="s">
        <v>696</v>
      </c>
      <c r="D128" s="750" t="s">
        <v>21</v>
      </c>
      <c r="E128" s="750" t="s">
        <v>22</v>
      </c>
      <c r="F128" s="750" t="s">
        <v>23</v>
      </c>
      <c r="G128" s="751" t="s">
        <v>697</v>
      </c>
      <c r="H128" s="751" t="s">
        <v>698</v>
      </c>
      <c r="I128" s="752"/>
      <c r="J128" s="753" t="s">
        <v>27</v>
      </c>
      <c r="K128" s="753"/>
      <c r="L128" s="753"/>
      <c r="M128" s="754" t="s">
        <v>28</v>
      </c>
      <c r="N128" s="755"/>
      <c r="O128" s="755"/>
      <c r="P128" s="755"/>
      <c r="Q128" s="755"/>
      <c r="R128" s="755"/>
      <c r="S128" s="755"/>
      <c r="T128" s="755"/>
      <c r="U128" s="755"/>
      <c r="V128" s="756"/>
      <c r="W128" s="276"/>
      <c r="X128" s="276"/>
      <c r="Y128" s="276"/>
      <c r="Z128" s="276"/>
      <c r="AA128" s="276"/>
      <c r="AB128" s="276"/>
    </row>
    <row r="129" spans="1:13">
      <c r="A129" s="295" t="s">
        <v>268</v>
      </c>
      <c r="B129" s="241">
        <v>-1.8493634462356601</v>
      </c>
      <c r="C129" s="287" t="s">
        <v>30</v>
      </c>
      <c r="D129" s="288">
        <v>0.50033555401430196</v>
      </c>
      <c r="E129" s="289">
        <v>3</v>
      </c>
      <c r="F129" s="289">
        <v>180</v>
      </c>
      <c r="G129" s="290">
        <v>1.91</v>
      </c>
      <c r="H129" s="291">
        <f t="shared" ref="H129:H160" si="2">0.5-G129-0.01*(F129-25)</f>
        <v>-2.96</v>
      </c>
      <c r="I129" s="757" t="s">
        <v>31</v>
      </c>
      <c r="J129" s="758"/>
      <c r="K129" s="291"/>
      <c r="L129" s="291"/>
      <c r="M129" s="294" t="s">
        <v>269</v>
      </c>
    </row>
    <row r="130" spans="1:13">
      <c r="A130" s="295" t="s">
        <v>270</v>
      </c>
      <c r="B130" s="241">
        <v>-5.61085748672485</v>
      </c>
      <c r="C130" s="287" t="s">
        <v>36</v>
      </c>
      <c r="D130" s="288">
        <v>0.5</v>
      </c>
      <c r="E130" s="290">
        <v>5</v>
      </c>
      <c r="F130" s="289">
        <v>156</v>
      </c>
      <c r="G130" s="290">
        <v>6.94</v>
      </c>
      <c r="H130" s="291">
        <f t="shared" si="2"/>
        <v>-7.75</v>
      </c>
      <c r="I130" s="757" t="s">
        <v>37</v>
      </c>
      <c r="J130" s="758"/>
      <c r="K130" s="291"/>
      <c r="L130" s="291"/>
      <c r="M130" s="294" t="s">
        <v>271</v>
      </c>
    </row>
    <row r="131" spans="1:13">
      <c r="A131" s="305" t="s">
        <v>272</v>
      </c>
      <c r="B131" s="241">
        <v>-5.7799267768859899</v>
      </c>
      <c r="C131" s="287" t="s">
        <v>41</v>
      </c>
      <c r="D131" s="288">
        <v>0.65309579002601004</v>
      </c>
      <c r="E131" s="289">
        <v>3</v>
      </c>
      <c r="F131" s="289">
        <v>208</v>
      </c>
      <c r="G131" s="290">
        <v>5.18</v>
      </c>
      <c r="H131" s="291">
        <f t="shared" si="2"/>
        <v>-6.51</v>
      </c>
      <c r="I131" s="757" t="s">
        <v>42</v>
      </c>
      <c r="J131" s="758"/>
      <c r="K131" s="291"/>
      <c r="L131" s="291"/>
      <c r="M131" s="294" t="s">
        <v>273</v>
      </c>
    </row>
    <row r="132" spans="1:13">
      <c r="A132" s="295" t="s">
        <v>274</v>
      </c>
      <c r="B132" s="241">
        <v>-1.6473405361175499</v>
      </c>
      <c r="C132" s="287" t="s">
        <v>46</v>
      </c>
      <c r="D132" s="288">
        <v>0.59285217963150305</v>
      </c>
      <c r="E132" s="289">
        <v>3</v>
      </c>
      <c r="F132" s="289">
        <v>100</v>
      </c>
      <c r="G132" s="290">
        <v>2.37</v>
      </c>
      <c r="H132" s="291">
        <f t="shared" si="2"/>
        <v>-2.62</v>
      </c>
      <c r="I132" s="759" t="s">
        <v>47</v>
      </c>
      <c r="J132" s="760" t="s">
        <v>32</v>
      </c>
      <c r="K132" s="291"/>
      <c r="L132" s="291"/>
      <c r="M132" s="294" t="s">
        <v>275</v>
      </c>
    </row>
    <row r="133" spans="1:13">
      <c r="A133" s="295" t="s">
        <v>276</v>
      </c>
      <c r="B133" s="241">
        <v>-5.9520230293273899</v>
      </c>
      <c r="C133" s="287" t="s">
        <v>51</v>
      </c>
      <c r="D133" s="288">
        <v>0.51067901383936598</v>
      </c>
      <c r="E133" s="289">
        <v>5</v>
      </c>
      <c r="F133" s="289">
        <v>217</v>
      </c>
      <c r="G133" s="290">
        <v>3.19</v>
      </c>
      <c r="H133" s="291">
        <f t="shared" si="2"/>
        <v>-4.6099999999999994</v>
      </c>
      <c r="I133" s="759" t="s">
        <v>52</v>
      </c>
      <c r="J133" s="760"/>
      <c r="K133" s="291"/>
      <c r="L133" s="291"/>
      <c r="M133" s="294" t="s">
        <v>277</v>
      </c>
    </row>
    <row r="134" spans="1:13">
      <c r="A134" s="295" t="s">
        <v>278</v>
      </c>
      <c r="B134" s="241">
        <v>-4.3673944473266602</v>
      </c>
      <c r="C134" s="299"/>
      <c r="D134" s="288">
        <v>0.83065522865171404</v>
      </c>
      <c r="E134" s="289">
        <v>3</v>
      </c>
      <c r="F134" s="289">
        <v>209.5</v>
      </c>
      <c r="G134" s="290">
        <v>4.41</v>
      </c>
      <c r="H134" s="291">
        <f t="shared" si="2"/>
        <v>-5.7549999999999999</v>
      </c>
      <c r="I134" s="759" t="s">
        <v>56</v>
      </c>
      <c r="J134" s="760"/>
      <c r="K134" s="291"/>
      <c r="L134" s="291"/>
      <c r="M134" s="294" t="s">
        <v>279</v>
      </c>
    </row>
    <row r="135" spans="1:13">
      <c r="A135" s="295" t="s">
        <v>280</v>
      </c>
      <c r="B135" s="241">
        <v>-4.76413869857788</v>
      </c>
      <c r="C135" s="299"/>
      <c r="D135" s="288">
        <v>0.51097181417141702</v>
      </c>
      <c r="E135" s="289">
        <v>6</v>
      </c>
      <c r="F135" s="289">
        <v>97.5</v>
      </c>
      <c r="G135" s="290">
        <v>5.19</v>
      </c>
      <c r="H135" s="291">
        <f t="shared" si="2"/>
        <v>-5.415</v>
      </c>
      <c r="I135" s="759" t="s">
        <v>60</v>
      </c>
      <c r="J135" s="761"/>
      <c r="K135" s="291"/>
      <c r="L135" s="291"/>
      <c r="M135" s="294" t="s">
        <v>281</v>
      </c>
    </row>
    <row r="136" spans="1:13">
      <c r="A136" s="285" t="s">
        <v>282</v>
      </c>
      <c r="B136" s="241">
        <v>-5.6627545356750497</v>
      </c>
      <c r="C136" s="299"/>
      <c r="D136" s="288">
        <v>0.92735432696895004</v>
      </c>
      <c r="E136" s="289">
        <v>5</v>
      </c>
      <c r="F136" s="289">
        <v>211</v>
      </c>
      <c r="G136" s="290">
        <v>7.49</v>
      </c>
      <c r="H136" s="291">
        <f t="shared" si="2"/>
        <v>-8.85</v>
      </c>
      <c r="I136" s="762" t="s">
        <v>64</v>
      </c>
      <c r="J136" s="763"/>
      <c r="K136" s="764"/>
      <c r="L136" s="765"/>
      <c r="M136" s="294" t="s">
        <v>283</v>
      </c>
    </row>
    <row r="137" spans="1:13">
      <c r="A137" s="295" t="s">
        <v>112</v>
      </c>
      <c r="B137" s="241">
        <v>-4.4795393943786603</v>
      </c>
      <c r="C137" s="299"/>
      <c r="D137" s="288">
        <v>0.68239272333923895</v>
      </c>
      <c r="E137" s="289">
        <v>3</v>
      </c>
      <c r="F137" s="289">
        <v>177</v>
      </c>
      <c r="G137" s="290">
        <v>3.37</v>
      </c>
      <c r="H137" s="291">
        <f t="shared" si="2"/>
        <v>-4.3900000000000006</v>
      </c>
      <c r="J137" s="291"/>
      <c r="K137" s="291"/>
      <c r="L137" s="291"/>
      <c r="M137" s="294" t="s">
        <v>284</v>
      </c>
    </row>
    <row r="138" spans="1:13">
      <c r="A138" s="295" t="s">
        <v>285</v>
      </c>
      <c r="B138" s="241">
        <v>-5.5138382911682102</v>
      </c>
      <c r="C138" s="299"/>
      <c r="D138" s="288">
        <v>0.520951861602862</v>
      </c>
      <c r="E138" s="289">
        <v>10</v>
      </c>
      <c r="F138" s="289">
        <v>228.6</v>
      </c>
      <c r="G138" s="290">
        <v>4.22</v>
      </c>
      <c r="H138" s="291">
        <f t="shared" si="2"/>
        <v>-5.7560000000000002</v>
      </c>
      <c r="I138" s="766" t="s">
        <v>286</v>
      </c>
      <c r="J138" s="767"/>
      <c r="K138" s="767"/>
      <c r="L138" s="768"/>
      <c r="M138" s="294" t="s">
        <v>287</v>
      </c>
    </row>
    <row r="139" spans="1:13">
      <c r="A139" s="285" t="s">
        <v>288</v>
      </c>
      <c r="B139" s="241">
        <v>-2.09024930000305</v>
      </c>
      <c r="C139" s="299"/>
      <c r="D139" s="288">
        <v>0.53906642829149898</v>
      </c>
      <c r="E139" s="289">
        <v>3</v>
      </c>
      <c r="F139" s="289">
        <v>161.5</v>
      </c>
      <c r="G139" s="290">
        <v>-0.21</v>
      </c>
      <c r="H139" s="291">
        <f t="shared" si="2"/>
        <v>-0.65500000000000003</v>
      </c>
      <c r="I139" s="769" t="s">
        <v>1054</v>
      </c>
      <c r="J139" s="770"/>
      <c r="K139" s="770"/>
      <c r="L139" s="771"/>
      <c r="M139" s="294" t="s">
        <v>289</v>
      </c>
    </row>
    <row r="140" spans="1:13">
      <c r="A140" s="285" t="s">
        <v>290</v>
      </c>
      <c r="B140" s="241">
        <v>-4.4597601890564</v>
      </c>
      <c r="C140" s="299"/>
      <c r="D140" s="288">
        <v>0.56233984781338697</v>
      </c>
      <c r="E140" s="289">
        <v>11</v>
      </c>
      <c r="F140" s="289">
        <v>213.5</v>
      </c>
      <c r="G140" s="290">
        <v>3.04</v>
      </c>
      <c r="H140" s="291">
        <f t="shared" si="2"/>
        <v>-4.4249999999999998</v>
      </c>
      <c r="I140" s="772"/>
      <c r="J140" s="314"/>
      <c r="K140" s="314"/>
      <c r="L140" s="773"/>
      <c r="M140" s="294" t="s">
        <v>291</v>
      </c>
    </row>
    <row r="141" spans="1:13">
      <c r="A141" s="305" t="s">
        <v>292</v>
      </c>
      <c r="B141" s="241">
        <v>-2.94473052024841</v>
      </c>
      <c r="C141" s="299"/>
      <c r="D141" s="288">
        <v>0.54710381306524802</v>
      </c>
      <c r="E141" s="289">
        <v>4</v>
      </c>
      <c r="F141" s="289">
        <v>168.5</v>
      </c>
      <c r="G141" s="290">
        <v>3.35</v>
      </c>
      <c r="H141" s="291">
        <f t="shared" si="2"/>
        <v>-4.2850000000000001</v>
      </c>
      <c r="I141" s="772"/>
      <c r="J141" s="314"/>
      <c r="K141" s="314"/>
      <c r="L141" s="773"/>
      <c r="M141" s="294" t="s">
        <v>293</v>
      </c>
    </row>
    <row r="142" spans="1:13">
      <c r="A142" s="285" t="s">
        <v>114</v>
      </c>
      <c r="B142" s="241">
        <v>-2.1937460899353001</v>
      </c>
      <c r="C142" s="299"/>
      <c r="D142" s="288">
        <v>0.54612637818466903</v>
      </c>
      <c r="E142" s="289">
        <v>3</v>
      </c>
      <c r="F142" s="309">
        <v>124.1</v>
      </c>
      <c r="G142" s="290">
        <v>2.81</v>
      </c>
      <c r="H142" s="291">
        <f t="shared" si="2"/>
        <v>-3.3010000000000002</v>
      </c>
      <c r="I142" s="774"/>
      <c r="J142" s="314"/>
      <c r="K142" s="314"/>
      <c r="L142" s="773"/>
      <c r="M142" s="294" t="s">
        <v>294</v>
      </c>
    </row>
    <row r="143" spans="1:13">
      <c r="A143" s="285" t="s">
        <v>295</v>
      </c>
      <c r="B143" s="241">
        <v>-3.5534403324127202</v>
      </c>
      <c r="C143" s="299"/>
      <c r="D143" s="288">
        <v>0.51160213896594597</v>
      </c>
      <c r="E143" s="289">
        <v>4</v>
      </c>
      <c r="F143" s="289">
        <v>165</v>
      </c>
      <c r="G143" s="290">
        <v>4.8899999999999997</v>
      </c>
      <c r="H143" s="291">
        <f t="shared" si="2"/>
        <v>-5.79</v>
      </c>
      <c r="I143" s="774"/>
      <c r="J143" s="314"/>
      <c r="K143" s="314"/>
      <c r="L143" s="773"/>
      <c r="M143" s="294" t="s">
        <v>296</v>
      </c>
    </row>
    <row r="144" spans="1:13">
      <c r="A144" s="285" t="s">
        <v>117</v>
      </c>
      <c r="B144" s="241">
        <v>-3.7276794910430899</v>
      </c>
      <c r="C144" s="299"/>
      <c r="D144" s="288">
        <v>0.65141515533308303</v>
      </c>
      <c r="E144" s="289">
        <v>4</v>
      </c>
      <c r="F144" s="289">
        <v>161.1</v>
      </c>
      <c r="G144" s="290">
        <v>4.76</v>
      </c>
      <c r="H144" s="291">
        <f t="shared" si="2"/>
        <v>-5.6209999999999996</v>
      </c>
      <c r="I144" s="774"/>
      <c r="J144" s="314"/>
      <c r="K144" s="314"/>
      <c r="L144" s="773"/>
      <c r="M144" s="294" t="s">
        <v>297</v>
      </c>
    </row>
    <row r="145" spans="1:28">
      <c r="A145" s="305" t="s">
        <v>298</v>
      </c>
      <c r="B145" s="241">
        <v>-2.8669998645782502</v>
      </c>
      <c r="C145" s="299"/>
      <c r="D145" s="288">
        <v>0.65883215509381898</v>
      </c>
      <c r="E145" s="289">
        <v>3</v>
      </c>
      <c r="F145" s="289">
        <v>155</v>
      </c>
      <c r="G145" s="290">
        <v>3.74</v>
      </c>
      <c r="H145" s="291">
        <f t="shared" si="2"/>
        <v>-4.54</v>
      </c>
      <c r="I145" s="774"/>
      <c r="J145" s="314"/>
      <c r="K145" s="314"/>
      <c r="L145" s="773"/>
      <c r="M145" s="294" t="s">
        <v>299</v>
      </c>
    </row>
    <row r="146" spans="1:28">
      <c r="A146" s="295" t="s">
        <v>300</v>
      </c>
      <c r="B146" s="241">
        <v>-5.3041524887084996</v>
      </c>
      <c r="C146" s="299"/>
      <c r="D146" s="288">
        <v>0.61400477095750305</v>
      </c>
      <c r="E146" s="289">
        <v>3</v>
      </c>
      <c r="F146" s="289">
        <v>165.4</v>
      </c>
      <c r="G146" s="290">
        <v>5.58</v>
      </c>
      <c r="H146" s="291">
        <f t="shared" si="2"/>
        <v>-6.484</v>
      </c>
      <c r="I146" s="774"/>
      <c r="J146" s="314"/>
      <c r="K146" s="314"/>
      <c r="L146" s="773"/>
      <c r="M146" s="294" t="s">
        <v>301</v>
      </c>
    </row>
    <row r="147" spans="1:28">
      <c r="A147" s="295" t="s">
        <v>302</v>
      </c>
      <c r="B147" s="241">
        <v>-5.30434226989746</v>
      </c>
      <c r="C147" s="299"/>
      <c r="D147" s="288">
        <v>0.50406532001413296</v>
      </c>
      <c r="E147" s="289">
        <v>6</v>
      </c>
      <c r="F147" s="289">
        <v>161</v>
      </c>
      <c r="G147" s="290">
        <v>6.45</v>
      </c>
      <c r="H147" s="291">
        <f t="shared" si="2"/>
        <v>-7.3100000000000005</v>
      </c>
      <c r="I147" s="742"/>
      <c r="J147" s="776"/>
      <c r="K147" s="776"/>
      <c r="L147" s="777"/>
      <c r="M147" s="294" t="s">
        <v>303</v>
      </c>
    </row>
    <row r="148" spans="1:28">
      <c r="A148" s="295" t="s">
        <v>304</v>
      </c>
      <c r="B148" s="241">
        <v>-5.8264803886413601</v>
      </c>
      <c r="C148" s="299"/>
      <c r="D148" s="288">
        <v>0.75493366325441702</v>
      </c>
      <c r="E148" s="289">
        <v>4</v>
      </c>
      <c r="F148" s="289">
        <v>193.5</v>
      </c>
      <c r="G148" s="290">
        <v>5.41</v>
      </c>
      <c r="H148" s="291">
        <f t="shared" si="2"/>
        <v>-6.5950000000000006</v>
      </c>
      <c r="J148" s="291"/>
      <c r="K148" s="291"/>
      <c r="L148" s="291"/>
      <c r="M148" s="294" t="s">
        <v>305</v>
      </c>
    </row>
    <row r="149" spans="1:28">
      <c r="A149" s="295" t="s">
        <v>306</v>
      </c>
      <c r="B149" s="241">
        <v>-3.48779964447021</v>
      </c>
      <c r="C149" s="299"/>
      <c r="D149" s="288">
        <v>0.500893580585972</v>
      </c>
      <c r="E149" s="289">
        <v>3</v>
      </c>
      <c r="F149" s="289">
        <v>156</v>
      </c>
      <c r="G149" s="290">
        <v>2.9</v>
      </c>
      <c r="H149" s="291">
        <f t="shared" si="2"/>
        <v>-3.71</v>
      </c>
      <c r="I149" s="778" t="s">
        <v>133</v>
      </c>
      <c r="J149" s="763">
        <v>312</v>
      </c>
      <c r="K149" s="765"/>
      <c r="L149" s="291"/>
      <c r="M149" s="294" t="s">
        <v>307</v>
      </c>
    </row>
    <row r="150" spans="1:28">
      <c r="A150" s="305" t="s">
        <v>308</v>
      </c>
      <c r="B150" s="241">
        <v>-3.22561430931091</v>
      </c>
      <c r="C150" s="299"/>
      <c r="D150" s="288">
        <v>0.65879843298663399</v>
      </c>
      <c r="E150" s="289">
        <v>4</v>
      </c>
      <c r="F150" s="289">
        <v>183.5</v>
      </c>
      <c r="G150" s="290">
        <v>3.16</v>
      </c>
      <c r="H150" s="291">
        <f t="shared" si="2"/>
        <v>-4.2450000000000001</v>
      </c>
      <c r="I150" s="778" t="s">
        <v>136</v>
      </c>
      <c r="J150" s="763">
        <v>0</v>
      </c>
      <c r="K150" s="765"/>
      <c r="L150" s="291"/>
      <c r="M150" s="294" t="s">
        <v>309</v>
      </c>
    </row>
    <row r="151" spans="1:28">
      <c r="A151" s="305" t="s">
        <v>310</v>
      </c>
      <c r="B151" s="241">
        <v>-1.7428387403488199</v>
      </c>
      <c r="C151" s="299"/>
      <c r="D151" s="288">
        <v>0.59871706042825701</v>
      </c>
      <c r="E151" s="289">
        <v>3</v>
      </c>
      <c r="F151" s="289">
        <v>61</v>
      </c>
      <c r="G151" s="290">
        <v>1.77</v>
      </c>
      <c r="H151" s="291">
        <f t="shared" si="2"/>
        <v>-1.63</v>
      </c>
      <c r="I151" s="778" t="s">
        <v>139</v>
      </c>
      <c r="J151" s="779">
        <f>COUNTA(A129:A160)</f>
        <v>32</v>
      </c>
      <c r="K151" s="765"/>
      <c r="L151" s="291"/>
      <c r="M151" s="294" t="s">
        <v>311</v>
      </c>
    </row>
    <row r="152" spans="1:28">
      <c r="A152" s="295" t="s">
        <v>312</v>
      </c>
      <c r="B152" s="241">
        <v>-2.7954251766204798</v>
      </c>
      <c r="C152" s="299"/>
      <c r="D152" s="288">
        <v>0.57115657899345496</v>
      </c>
      <c r="E152" s="289">
        <v>7</v>
      </c>
      <c r="F152" s="289">
        <v>177</v>
      </c>
      <c r="G152" s="290">
        <v>3.17</v>
      </c>
      <c r="H152" s="291">
        <f t="shared" si="2"/>
        <v>-4.1899999999999995</v>
      </c>
      <c r="I152" s="291"/>
      <c r="J152" s="291"/>
      <c r="K152" s="291"/>
      <c r="L152" s="291"/>
      <c r="M152" s="294" t="s">
        <v>313</v>
      </c>
    </row>
    <row r="153" spans="1:28">
      <c r="A153" s="285" t="s">
        <v>314</v>
      </c>
      <c r="B153" s="241">
        <v>-6.2507948875427202</v>
      </c>
      <c r="C153" s="299"/>
      <c r="D153" s="288">
        <v>0.55807775121880299</v>
      </c>
      <c r="E153" s="289">
        <v>6</v>
      </c>
      <c r="F153" s="289">
        <v>145</v>
      </c>
      <c r="G153" s="290">
        <v>6.08</v>
      </c>
      <c r="H153" s="291">
        <f t="shared" si="2"/>
        <v>-6.78</v>
      </c>
      <c r="I153" s="780" t="s">
        <v>144</v>
      </c>
      <c r="J153" s="767"/>
      <c r="K153" s="767"/>
      <c r="L153" s="768"/>
      <c r="M153" s="294" t="s">
        <v>315</v>
      </c>
    </row>
    <row r="154" spans="1:28">
      <c r="A154" s="285" t="s">
        <v>316</v>
      </c>
      <c r="B154" s="241">
        <v>-7.4892816543579102</v>
      </c>
      <c r="C154" s="299"/>
      <c r="D154" s="288">
        <v>0.66417698790166102</v>
      </c>
      <c r="E154" s="289">
        <v>3</v>
      </c>
      <c r="F154" s="309">
        <v>175.8</v>
      </c>
      <c r="G154" s="290">
        <v>4.62</v>
      </c>
      <c r="H154" s="291">
        <f t="shared" si="2"/>
        <v>-5.6280000000000001</v>
      </c>
      <c r="I154" s="782" t="s">
        <v>1055</v>
      </c>
      <c r="J154" s="770"/>
      <c r="K154" s="770"/>
      <c r="L154" s="771"/>
      <c r="M154" s="294" t="s">
        <v>317</v>
      </c>
    </row>
    <row r="155" spans="1:28">
      <c r="A155" s="295" t="s">
        <v>318</v>
      </c>
      <c r="B155" s="241">
        <v>-6.9297533035278303</v>
      </c>
      <c r="C155" s="299"/>
      <c r="D155" s="288">
        <v>0.57716593661781801</v>
      </c>
      <c r="E155" s="289">
        <v>3</v>
      </c>
      <c r="F155" s="289">
        <v>349.84</v>
      </c>
      <c r="G155" s="290">
        <v>3.09</v>
      </c>
      <c r="H155" s="291">
        <f t="shared" si="2"/>
        <v>-5.8384</v>
      </c>
      <c r="I155" s="772"/>
      <c r="J155" s="314"/>
      <c r="K155" s="314"/>
      <c r="L155" s="773"/>
      <c r="M155" s="294" t="s">
        <v>319</v>
      </c>
    </row>
    <row r="156" spans="1:28">
      <c r="A156" s="305" t="s">
        <v>320</v>
      </c>
      <c r="B156" s="241">
        <v>-2.9793629646301301</v>
      </c>
      <c r="C156" s="299"/>
      <c r="D156" s="288">
        <v>0.70324590282883903</v>
      </c>
      <c r="E156" s="289">
        <v>3</v>
      </c>
      <c r="F156" s="289">
        <v>204</v>
      </c>
      <c r="G156" s="290">
        <v>0.88</v>
      </c>
      <c r="H156" s="291">
        <f t="shared" si="2"/>
        <v>-2.17</v>
      </c>
      <c r="I156" s="772"/>
      <c r="J156" s="314"/>
      <c r="K156" s="314"/>
      <c r="L156" s="773"/>
      <c r="M156" s="294" t="s">
        <v>321</v>
      </c>
    </row>
    <row r="157" spans="1:28">
      <c r="A157" s="295" t="s">
        <v>322</v>
      </c>
      <c r="B157" s="241">
        <v>-5.6440176963806197</v>
      </c>
      <c r="C157" s="299"/>
      <c r="D157" s="288">
        <v>0.72379035887947596</v>
      </c>
      <c r="E157" s="289">
        <v>7</v>
      </c>
      <c r="F157" s="289">
        <v>97.8</v>
      </c>
      <c r="G157" s="290">
        <v>6</v>
      </c>
      <c r="H157" s="291">
        <f t="shared" si="2"/>
        <v>-6.2279999999999998</v>
      </c>
      <c r="I157" s="772"/>
      <c r="J157" s="314"/>
      <c r="K157" s="314"/>
      <c r="L157" s="773"/>
      <c r="M157" s="294" t="s">
        <v>323</v>
      </c>
    </row>
    <row r="158" spans="1:28">
      <c r="A158" s="295" t="s">
        <v>324</v>
      </c>
      <c r="B158" s="241">
        <v>-7.0095067024231001</v>
      </c>
      <c r="C158" s="299"/>
      <c r="D158" s="288">
        <v>0.84033450922624497</v>
      </c>
      <c r="E158" s="289">
        <v>5</v>
      </c>
      <c r="F158" s="289">
        <v>262</v>
      </c>
      <c r="G158" s="290">
        <v>7.26</v>
      </c>
      <c r="H158" s="291">
        <f t="shared" si="2"/>
        <v>-9.129999999999999</v>
      </c>
      <c r="I158" s="772"/>
      <c r="J158" s="314"/>
      <c r="K158" s="314"/>
      <c r="L158" s="773"/>
      <c r="M158" s="294" t="s">
        <v>325</v>
      </c>
    </row>
    <row r="159" spans="1:28">
      <c r="A159" s="295" t="s">
        <v>326</v>
      </c>
      <c r="B159" s="241">
        <v>-5.7864327430725098</v>
      </c>
      <c r="C159" s="299"/>
      <c r="D159" s="288">
        <v>0.70969645885144095</v>
      </c>
      <c r="E159" s="289">
        <v>11</v>
      </c>
      <c r="F159" s="289">
        <v>149.6</v>
      </c>
      <c r="G159" s="290">
        <v>6.45</v>
      </c>
      <c r="H159" s="291">
        <f t="shared" si="2"/>
        <v>-7.1959999999999997</v>
      </c>
      <c r="I159" s="772"/>
      <c r="J159" s="314"/>
      <c r="K159" s="314"/>
      <c r="L159" s="773"/>
      <c r="M159" s="294" t="s">
        <v>327</v>
      </c>
    </row>
    <row r="160" spans="1:28" s="334" customFormat="1">
      <c r="A160" s="285" t="s">
        <v>328</v>
      </c>
      <c r="B160" s="241">
        <v>-2.1194400787353498</v>
      </c>
      <c r="C160" s="299"/>
      <c r="D160" s="288">
        <v>0.49644864464459898</v>
      </c>
      <c r="E160" s="289">
        <v>4</v>
      </c>
      <c r="F160" s="289">
        <v>304.5</v>
      </c>
      <c r="G160" s="290">
        <v>2.69</v>
      </c>
      <c r="H160" s="291">
        <f t="shared" si="2"/>
        <v>-4.9849999999999994</v>
      </c>
      <c r="I160" s="781"/>
      <c r="J160" s="776"/>
      <c r="K160" s="776"/>
      <c r="L160" s="777"/>
      <c r="M160" s="294" t="s">
        <v>329</v>
      </c>
      <c r="N160" s="241"/>
      <c r="O160" s="241"/>
      <c r="P160" s="241"/>
      <c r="Q160" s="241"/>
      <c r="R160" s="241"/>
      <c r="S160" s="241"/>
      <c r="T160" s="241"/>
      <c r="U160" s="241"/>
      <c r="V160" s="241"/>
      <c r="W160" s="241"/>
      <c r="X160" s="241"/>
      <c r="Y160" s="241"/>
      <c r="Z160" s="241"/>
      <c r="AA160" s="241"/>
      <c r="AB160" s="241"/>
    </row>
    <row r="161" spans="1:28">
      <c r="A161" s="334"/>
      <c r="B161" s="334"/>
      <c r="C161" s="326" t="s">
        <v>261</v>
      </c>
      <c r="D161" s="327">
        <f>AVERAGE(D129:D160)</f>
        <v>0.61629001144944584</v>
      </c>
      <c r="E161" s="334"/>
      <c r="F161" s="334"/>
      <c r="G161" s="334"/>
      <c r="H161" s="330" t="s">
        <v>262</v>
      </c>
      <c r="I161" s="335"/>
      <c r="J161" s="335"/>
      <c r="K161" s="335"/>
      <c r="L161" s="335"/>
      <c r="M161" s="272"/>
      <c r="N161" s="334"/>
      <c r="O161" s="334"/>
      <c r="P161" s="334"/>
      <c r="Q161" s="334"/>
      <c r="R161" s="334"/>
      <c r="S161" s="334"/>
      <c r="T161" s="334"/>
      <c r="U161" s="334"/>
      <c r="V161" s="334"/>
      <c r="W161" s="334"/>
      <c r="X161" s="334"/>
      <c r="Y161" s="334"/>
      <c r="Z161" s="334"/>
      <c r="AA161" s="334"/>
      <c r="AB161" s="334"/>
    </row>
    <row r="162" spans="1:28">
      <c r="A162" s="294"/>
      <c r="C162" s="326" t="s">
        <v>263</v>
      </c>
      <c r="D162" s="327">
        <f>MIN(D129:D160)</f>
        <v>0.49644864464459898</v>
      </c>
      <c r="E162" s="328"/>
      <c r="F162" s="329"/>
      <c r="G162" s="329"/>
      <c r="H162" s="330" t="s">
        <v>330</v>
      </c>
      <c r="I162" s="329"/>
      <c r="J162" s="290"/>
      <c r="K162" s="290"/>
      <c r="L162" s="290"/>
      <c r="M162" s="294"/>
    </row>
    <row r="163" spans="1:28">
      <c r="A163" s="294"/>
      <c r="C163" s="326" t="s">
        <v>265</v>
      </c>
      <c r="D163" s="327">
        <f>MAX(D129:D160)</f>
        <v>0.92735432696895004</v>
      </c>
      <c r="E163" s="328"/>
      <c r="F163" s="329"/>
      <c r="G163" s="329"/>
      <c r="H163" s="330"/>
      <c r="I163" s="329"/>
      <c r="J163" s="290"/>
      <c r="K163" s="290"/>
      <c r="L163" s="290"/>
      <c r="M163" s="294"/>
    </row>
    <row r="165" spans="1:28">
      <c r="A165" s="241" t="s">
        <v>711</v>
      </c>
    </row>
    <row r="166" spans="1:28">
      <c r="A166" s="241" t="s">
        <v>332</v>
      </c>
    </row>
    <row r="168" spans="1:28">
      <c r="A168" s="241" t="s">
        <v>333</v>
      </c>
    </row>
    <row r="169" spans="1:28">
      <c r="A169" s="241" t="s">
        <v>712</v>
      </c>
    </row>
    <row r="170" spans="1:28" ht="15.75" customHeight="1"/>
    <row r="171" spans="1:28" s="244" customFormat="1" ht="19">
      <c r="A171" s="336" t="s">
        <v>335</v>
      </c>
    </row>
    <row r="172" spans="1:28" s="244" customFormat="1" ht="18">
      <c r="A172" s="337" t="s">
        <v>713</v>
      </c>
    </row>
    <row r="173" spans="1:28" s="244" customFormat="1" ht="16">
      <c r="A173" s="337" t="s">
        <v>714</v>
      </c>
    </row>
    <row r="174" spans="1:28" s="244" customFormat="1">
      <c r="A174" s="338" t="s">
        <v>715</v>
      </c>
    </row>
    <row r="175" spans="1:28" s="244" customFormat="1">
      <c r="A175" s="339" t="s">
        <v>716</v>
      </c>
    </row>
    <row r="176" spans="1:28" s="244" customFormat="1">
      <c r="A176" s="340" t="s">
        <v>717</v>
      </c>
    </row>
    <row r="177" spans="1:1" s="244" customFormat="1">
      <c r="A177" s="244" t="s">
        <v>718</v>
      </c>
    </row>
    <row r="178" spans="1:1" s="244" customFormat="1">
      <c r="A178" s="341" t="s">
        <v>719</v>
      </c>
    </row>
    <row r="179" spans="1:1" s="244" customFormat="1">
      <c r="A179" s="244" t="s">
        <v>720</v>
      </c>
    </row>
    <row r="180" spans="1:1" s="244" customFormat="1">
      <c r="A180" s="340" t="s">
        <v>721</v>
      </c>
    </row>
    <row r="181" spans="1:1" s="244" customFormat="1">
      <c r="A181" s="244" t="s">
        <v>722</v>
      </c>
    </row>
    <row r="182" spans="1:1" s="244" customFormat="1">
      <c r="A182" s="244" t="s">
        <v>723</v>
      </c>
    </row>
    <row r="183" spans="1:1" s="244" customFormat="1">
      <c r="A183" s="338" t="s">
        <v>724</v>
      </c>
    </row>
    <row r="184" spans="1:1" s="244" customFormat="1">
      <c r="A184" s="338" t="s">
        <v>725</v>
      </c>
    </row>
    <row r="185" spans="1:1" s="244" customFormat="1">
      <c r="A185" s="244" t="s">
        <v>726</v>
      </c>
    </row>
    <row r="186" spans="1:1" s="244" customFormat="1">
      <c r="A186" s="244" t="s">
        <v>727</v>
      </c>
    </row>
    <row r="187" spans="1:1" s="244" customFormat="1">
      <c r="A187" s="341" t="s">
        <v>728</v>
      </c>
    </row>
    <row r="188" spans="1:1" s="244" customFormat="1">
      <c r="A188" s="341" t="s">
        <v>729</v>
      </c>
    </row>
    <row r="189" spans="1:1" s="244" customFormat="1">
      <c r="A189" s="340" t="s">
        <v>730</v>
      </c>
    </row>
    <row r="190" spans="1:1" s="244" customFormat="1">
      <c r="A190" s="341" t="s">
        <v>750</v>
      </c>
    </row>
    <row r="191" spans="1:1" s="244" customFormat="1">
      <c r="A191" s="244" t="s">
        <v>751</v>
      </c>
    </row>
    <row r="192" spans="1:1" s="244" customFormat="1"/>
    <row r="193" spans="1:17">
      <c r="A193" s="342" t="s">
        <v>733</v>
      </c>
    </row>
    <row r="194" spans="1:17">
      <c r="A194" s="735"/>
      <c r="B194" s="736"/>
      <c r="C194" s="736"/>
      <c r="D194" s="736"/>
      <c r="E194" s="736"/>
      <c r="F194" s="736"/>
      <c r="G194" s="736"/>
      <c r="H194" s="736"/>
      <c r="I194" s="736"/>
      <c r="J194" s="736"/>
      <c r="K194" s="736"/>
      <c r="L194" s="736"/>
      <c r="M194" s="737"/>
      <c r="N194" s="736"/>
      <c r="O194" s="736"/>
      <c r="P194" s="736"/>
      <c r="Q194" s="738"/>
    </row>
  </sheetData>
  <pageMargins left="0" right="0" top="0" bottom="0" header="0.51180555555555496" footer="0.51180555555555496"/>
  <pageSetup scale="54" firstPageNumber="0" orientation="landscape"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80B4D-C172-4CCD-9E5C-05560F7567BA}">
  <dimension ref="A1:AB194"/>
  <sheetViews>
    <sheetView zoomScale="110" zoomScaleNormal="110" workbookViewId="0">
      <selection activeCell="B4" sqref="B4:B9"/>
    </sheetView>
  </sheetViews>
  <sheetFormatPr baseColWidth="10" defaultColWidth="8.83203125" defaultRowHeight="15"/>
  <cols>
    <col min="1" max="1" width="18.83203125" style="241" customWidth="1"/>
    <col min="2" max="3" width="11.33203125" style="241" customWidth="1"/>
    <col min="4" max="4" width="7.6640625" style="241" customWidth="1"/>
    <col min="5" max="5" width="7.83203125" style="241" customWidth="1"/>
    <col min="6" max="6" width="10.1640625" style="241" customWidth="1"/>
    <col min="7" max="7" width="11.5" style="241" customWidth="1"/>
    <col min="8" max="8" width="9.1640625" style="241" customWidth="1"/>
    <col min="9" max="9" width="13.1640625" style="241" customWidth="1"/>
    <col min="10" max="10" width="5.33203125" style="241" customWidth="1"/>
    <col min="11" max="12" width="9.1640625" style="241" customWidth="1"/>
    <col min="13" max="13" width="9" style="244" customWidth="1"/>
    <col min="14" max="1025" width="9.1640625" style="241" customWidth="1"/>
    <col min="1026" max="16384" width="8.83203125" style="241"/>
  </cols>
  <sheetData>
    <row r="1" spans="1:25" ht="34">
      <c r="B1" s="242" t="s">
        <v>0</v>
      </c>
      <c r="C1" s="243"/>
      <c r="Y1" s="730"/>
    </row>
    <row r="2" spans="1:25" s="244" customFormat="1" ht="21">
      <c r="B2" s="731" t="s">
        <v>1</v>
      </c>
      <c r="C2" s="247"/>
      <c r="Y2" s="248"/>
    </row>
    <row r="3" spans="1:25" s="244" customFormat="1" ht="19">
      <c r="B3" s="732" t="s">
        <v>2</v>
      </c>
      <c r="C3" s="247"/>
      <c r="Y3" s="733"/>
    </row>
    <row r="4" spans="1:25">
      <c r="A4" s="734" t="s">
        <v>3</v>
      </c>
      <c r="B4" s="735"/>
      <c r="C4" s="736"/>
      <c r="D4" s="736"/>
      <c r="E4" s="736"/>
      <c r="F4" s="736"/>
      <c r="G4" s="736"/>
      <c r="H4" s="736"/>
      <c r="I4" s="736"/>
      <c r="J4" s="736"/>
      <c r="K4" s="736"/>
      <c r="L4" s="736"/>
      <c r="M4" s="737"/>
      <c r="N4" s="736"/>
      <c r="O4" s="736"/>
      <c r="P4" s="736"/>
      <c r="Q4" s="736"/>
      <c r="R4" s="738"/>
    </row>
    <row r="5" spans="1:25">
      <c r="A5" s="734" t="s">
        <v>4</v>
      </c>
      <c r="B5" s="256"/>
      <c r="C5" s="256"/>
      <c r="D5" s="256"/>
      <c r="E5" s="256"/>
      <c r="F5" s="256"/>
      <c r="G5" s="256"/>
      <c r="H5" s="256"/>
      <c r="I5" s="256"/>
      <c r="J5" s="256"/>
      <c r="K5" s="256"/>
      <c r="L5" s="256"/>
      <c r="M5" s="257"/>
      <c r="N5" s="256"/>
      <c r="O5" s="256"/>
      <c r="P5" s="256"/>
      <c r="Q5" s="256"/>
      <c r="R5" s="739"/>
    </row>
    <row r="6" spans="1:25">
      <c r="A6" s="740" t="s">
        <v>5</v>
      </c>
      <c r="B6" s="735"/>
      <c r="C6" s="736"/>
      <c r="D6" s="736"/>
      <c r="E6" s="736"/>
      <c r="F6" s="736"/>
      <c r="G6" s="736"/>
      <c r="H6" s="736"/>
      <c r="I6" s="736"/>
      <c r="J6" s="736"/>
      <c r="K6" s="736"/>
      <c r="L6" s="736"/>
      <c r="M6" s="737"/>
      <c r="N6" s="736"/>
      <c r="O6" s="736"/>
      <c r="P6" s="736"/>
      <c r="Q6" s="736"/>
      <c r="R6" s="738"/>
    </row>
    <row r="7" spans="1:25">
      <c r="A7" s="741"/>
      <c r="B7" s="742"/>
      <c r="C7" s="256"/>
      <c r="D7" s="256"/>
      <c r="E7" s="256"/>
      <c r="F7" s="256"/>
      <c r="G7" s="256"/>
      <c r="H7" s="256"/>
      <c r="I7" s="256"/>
      <c r="J7" s="256"/>
      <c r="K7" s="256"/>
      <c r="L7" s="256"/>
      <c r="M7" s="257"/>
      <c r="N7" s="256"/>
      <c r="O7" s="256"/>
      <c r="P7" s="256"/>
      <c r="Q7" s="256"/>
      <c r="R7" s="739"/>
    </row>
    <row r="8" spans="1:25">
      <c r="A8" s="740" t="s">
        <v>6</v>
      </c>
      <c r="B8" s="735"/>
      <c r="C8" s="736"/>
      <c r="D8" s="736"/>
      <c r="E8" s="736"/>
      <c r="F8" s="736"/>
      <c r="G8" s="736"/>
      <c r="H8" s="736"/>
      <c r="I8" s="736"/>
      <c r="J8" s="736"/>
      <c r="K8" s="736"/>
      <c r="L8" s="736"/>
      <c r="M8" s="737"/>
      <c r="N8" s="736"/>
      <c r="O8" s="736"/>
      <c r="P8" s="736"/>
      <c r="Q8" s="736"/>
      <c r="R8" s="738"/>
    </row>
    <row r="9" spans="1:25">
      <c r="A9" s="743" t="s">
        <v>7</v>
      </c>
      <c r="B9" s="744"/>
      <c r="C9" s="745"/>
      <c r="D9" s="745"/>
      <c r="E9" s="745"/>
      <c r="F9" s="745"/>
      <c r="G9" s="745"/>
      <c r="H9" s="745"/>
      <c r="I9" s="745"/>
      <c r="J9" s="745"/>
      <c r="K9" s="745"/>
      <c r="L9" s="745"/>
      <c r="M9" s="746"/>
      <c r="N9" s="745"/>
      <c r="O9" s="745"/>
      <c r="P9" s="745"/>
      <c r="Q9" s="745"/>
      <c r="R9" s="747"/>
    </row>
    <row r="10" spans="1:25">
      <c r="A10" s="266"/>
    </row>
    <row r="11" spans="1:25" s="267" customFormat="1" ht="26">
      <c r="A11" s="267" t="s">
        <v>689</v>
      </c>
    </row>
    <row r="12" spans="1:25">
      <c r="B12" s="268" t="s">
        <v>690</v>
      </c>
    </row>
    <row r="13" spans="1:25" s="270" customFormat="1">
      <c r="A13" s="269" t="s">
        <v>691</v>
      </c>
    </row>
    <row r="14" spans="1:25">
      <c r="B14" s="748" t="s">
        <v>32</v>
      </c>
      <c r="C14" s="241" t="s">
        <v>11</v>
      </c>
    </row>
    <row r="15" spans="1:25" s="270" customFormat="1">
      <c r="A15" s="269" t="s">
        <v>12</v>
      </c>
    </row>
    <row r="16" spans="1:25">
      <c r="B16" s="748"/>
      <c r="C16" s="241" t="s">
        <v>11</v>
      </c>
    </row>
    <row r="17" spans="1:28" s="270" customFormat="1">
      <c r="A17" s="269" t="s">
        <v>13</v>
      </c>
    </row>
    <row r="18" spans="1:28">
      <c r="B18" s="735"/>
      <c r="C18" s="736"/>
      <c r="D18" s="736"/>
      <c r="E18" s="736"/>
      <c r="F18" s="736"/>
      <c r="G18" s="736"/>
      <c r="H18" s="736"/>
      <c r="I18" s="736"/>
      <c r="J18" s="736"/>
      <c r="K18" s="736"/>
      <c r="L18" s="736"/>
      <c r="M18" s="737"/>
      <c r="N18" s="736"/>
      <c r="O18" s="736"/>
      <c r="P18" s="736"/>
      <c r="Q18" s="736"/>
      <c r="R18" s="738"/>
      <c r="S18" s="241" t="s">
        <v>15</v>
      </c>
    </row>
    <row r="20" spans="1:28" s="272" customFormat="1">
      <c r="A20" s="272" t="s">
        <v>693</v>
      </c>
    </row>
    <row r="21" spans="1:28" s="276" customFormat="1" ht="35" thickBot="1">
      <c r="A21" s="273" t="s">
        <v>694</v>
      </c>
      <c r="B21" s="274"/>
      <c r="C21" s="274"/>
      <c r="D21" s="274"/>
      <c r="E21" s="274"/>
      <c r="F21" s="274"/>
      <c r="G21" s="274"/>
      <c r="H21" s="274"/>
      <c r="I21" s="274"/>
      <c r="J21" s="274"/>
      <c r="K21" s="274"/>
      <c r="L21" s="274"/>
      <c r="M21" s="275"/>
      <c r="N21" s="244"/>
      <c r="O21" s="244"/>
      <c r="P21" s="244"/>
      <c r="Q21" s="244"/>
      <c r="R21" s="244"/>
      <c r="S21" s="244"/>
      <c r="T21" s="244"/>
      <c r="U21" s="244"/>
      <c r="V21" s="244"/>
      <c r="W21" s="244"/>
      <c r="X21" s="244"/>
      <c r="Y21" s="244"/>
      <c r="Z21" s="244"/>
      <c r="AA21" s="244"/>
      <c r="AB21" s="244"/>
    </row>
    <row r="22" spans="1:28" ht="41.25" customHeight="1" thickBot="1">
      <c r="A22" s="749" t="s">
        <v>18</v>
      </c>
      <c r="B22" s="750" t="s">
        <v>695</v>
      </c>
      <c r="C22" s="750" t="s">
        <v>696</v>
      </c>
      <c r="D22" s="750" t="s">
        <v>21</v>
      </c>
      <c r="E22" s="750" t="s">
        <v>22</v>
      </c>
      <c r="F22" s="750" t="s">
        <v>23</v>
      </c>
      <c r="G22" s="751" t="s">
        <v>697</v>
      </c>
      <c r="H22" s="751" t="s">
        <v>698</v>
      </c>
      <c r="I22" s="752"/>
      <c r="J22" s="753" t="s">
        <v>27</v>
      </c>
      <c r="K22" s="753"/>
      <c r="L22" s="753"/>
      <c r="M22" s="754" t="s">
        <v>28</v>
      </c>
      <c r="N22" s="755"/>
      <c r="O22" s="755"/>
      <c r="P22" s="755"/>
      <c r="Q22" s="755"/>
      <c r="R22" s="755"/>
      <c r="S22" s="755"/>
      <c r="T22" s="756"/>
      <c r="U22" s="276"/>
      <c r="V22" s="276"/>
      <c r="W22" s="276"/>
      <c r="X22" s="276"/>
      <c r="Y22" s="276"/>
      <c r="Z22" s="276"/>
      <c r="AA22" s="276"/>
      <c r="AB22" s="276"/>
    </row>
    <row r="23" spans="1:28">
      <c r="A23" s="285" t="s">
        <v>29</v>
      </c>
      <c r="B23" s="241">
        <v>-2.1412382125854501</v>
      </c>
      <c r="C23" s="287" t="s">
        <v>30</v>
      </c>
      <c r="D23" s="288">
        <v>0.17592262140645501</v>
      </c>
      <c r="E23" s="289">
        <v>11</v>
      </c>
      <c r="F23" s="289">
        <v>258.5</v>
      </c>
      <c r="G23" s="290">
        <v>-0.86</v>
      </c>
      <c r="H23" s="291">
        <f t="shared" ref="H23:H86" si="0">0.5-G23-0.01*(F23-25)</f>
        <v>-0.97500000000000009</v>
      </c>
      <c r="I23" s="757" t="s">
        <v>31</v>
      </c>
      <c r="J23" s="758"/>
      <c r="K23" s="291"/>
      <c r="L23" s="291"/>
      <c r="M23" s="294" t="s">
        <v>33</v>
      </c>
    </row>
    <row r="24" spans="1:28">
      <c r="A24" s="295" t="s">
        <v>35</v>
      </c>
      <c r="B24" s="241">
        <v>-1.5646818876266499</v>
      </c>
      <c r="C24" s="287" t="s">
        <v>36</v>
      </c>
      <c r="D24" s="288">
        <v>0.14701293131372201</v>
      </c>
      <c r="E24" s="289">
        <v>16</v>
      </c>
      <c r="F24" s="289">
        <v>142.4</v>
      </c>
      <c r="G24" s="290">
        <v>1.31</v>
      </c>
      <c r="H24" s="291">
        <f t="shared" si="0"/>
        <v>-1.9840000000000002</v>
      </c>
      <c r="I24" s="757" t="s">
        <v>37</v>
      </c>
      <c r="J24" s="758"/>
      <c r="K24" s="291"/>
      <c r="L24" s="291"/>
      <c r="M24" s="294" t="s">
        <v>38</v>
      </c>
    </row>
    <row r="25" spans="1:28">
      <c r="A25" s="285" t="s">
        <v>40</v>
      </c>
      <c r="B25" s="241">
        <v>-1.88074278831482</v>
      </c>
      <c r="C25" s="287" t="s">
        <v>41</v>
      </c>
      <c r="D25" s="288">
        <v>0.15746026945991601</v>
      </c>
      <c r="E25" s="289">
        <v>4</v>
      </c>
      <c r="F25" s="289">
        <v>92</v>
      </c>
      <c r="G25" s="290">
        <v>2.5299999999999998</v>
      </c>
      <c r="H25" s="291">
        <f t="shared" si="0"/>
        <v>-2.6999999999999997</v>
      </c>
      <c r="I25" s="757" t="s">
        <v>42</v>
      </c>
      <c r="J25" s="758"/>
      <c r="K25" s="291"/>
      <c r="L25" s="291"/>
      <c r="M25" s="294" t="s">
        <v>43</v>
      </c>
    </row>
    <row r="26" spans="1:28">
      <c r="A26" s="295" t="s">
        <v>45</v>
      </c>
      <c r="B26" s="241">
        <v>-0.72924739122390803</v>
      </c>
      <c r="C26" s="287" t="s">
        <v>46</v>
      </c>
      <c r="D26" s="288">
        <v>0.169992225074696</v>
      </c>
      <c r="E26" s="289">
        <v>3</v>
      </c>
      <c r="F26" s="289">
        <v>234</v>
      </c>
      <c r="G26" s="290">
        <v>3.19</v>
      </c>
      <c r="H26" s="291">
        <f t="shared" si="0"/>
        <v>-4.7799999999999994</v>
      </c>
      <c r="I26" s="759" t="s">
        <v>47</v>
      </c>
      <c r="J26" s="760" t="s">
        <v>32</v>
      </c>
      <c r="K26" s="291"/>
      <c r="L26" s="291"/>
      <c r="M26" s="294" t="s">
        <v>48</v>
      </c>
    </row>
    <row r="27" spans="1:28">
      <c r="A27" s="295" t="s">
        <v>50</v>
      </c>
      <c r="B27" s="241">
        <v>-2.8681306838989298</v>
      </c>
      <c r="C27" s="287" t="s">
        <v>51</v>
      </c>
      <c r="D27" s="288">
        <v>0.21168830858587201</v>
      </c>
      <c r="E27" s="289">
        <v>3</v>
      </c>
      <c r="F27" s="289">
        <v>139.25</v>
      </c>
      <c r="G27" s="290">
        <v>4.8600000000000003</v>
      </c>
      <c r="H27" s="291">
        <f t="shared" si="0"/>
        <v>-5.5025000000000004</v>
      </c>
      <c r="I27" s="759" t="s">
        <v>52</v>
      </c>
      <c r="J27" s="760"/>
      <c r="K27" s="291"/>
      <c r="L27" s="291"/>
      <c r="M27" s="294" t="s">
        <v>53</v>
      </c>
    </row>
    <row r="28" spans="1:28">
      <c r="A28" s="285" t="s">
        <v>55</v>
      </c>
      <c r="B28" s="241">
        <v>-5.0430326461792001</v>
      </c>
      <c r="C28" s="299"/>
      <c r="D28" s="288">
        <v>0.18412396392404201</v>
      </c>
      <c r="E28" s="289">
        <v>3</v>
      </c>
      <c r="F28" s="289">
        <v>224</v>
      </c>
      <c r="G28" s="290">
        <v>5.51</v>
      </c>
      <c r="H28" s="291">
        <f t="shared" si="0"/>
        <v>-7</v>
      </c>
      <c r="I28" s="759" t="s">
        <v>56</v>
      </c>
      <c r="J28" s="760"/>
      <c r="K28" s="291"/>
      <c r="L28" s="291"/>
      <c r="M28" s="294" t="s">
        <v>57</v>
      </c>
    </row>
    <row r="29" spans="1:28">
      <c r="A29" s="285" t="s">
        <v>59</v>
      </c>
      <c r="B29" s="241">
        <v>-1.5168868303298999</v>
      </c>
      <c r="C29" s="299"/>
      <c r="D29" s="288">
        <v>0.149337338745232</v>
      </c>
      <c r="E29" s="289">
        <v>6</v>
      </c>
      <c r="F29" s="289">
        <v>172.5</v>
      </c>
      <c r="G29" s="290">
        <v>1.78</v>
      </c>
      <c r="H29" s="291">
        <f t="shared" si="0"/>
        <v>-2.7549999999999999</v>
      </c>
      <c r="I29" s="759" t="s">
        <v>60</v>
      </c>
      <c r="J29" s="761"/>
      <c r="K29" s="291"/>
      <c r="L29" s="291"/>
      <c r="M29" s="294" t="s">
        <v>61</v>
      </c>
    </row>
    <row r="30" spans="1:28">
      <c r="A30" s="285" t="s">
        <v>63</v>
      </c>
      <c r="B30" s="241">
        <v>-1.36528313159943</v>
      </c>
      <c r="C30" s="299"/>
      <c r="D30" s="288">
        <v>0.14842266063120099</v>
      </c>
      <c r="E30" s="289">
        <v>4</v>
      </c>
      <c r="F30" s="289">
        <v>207.5</v>
      </c>
      <c r="G30" s="290">
        <v>1.86</v>
      </c>
      <c r="H30" s="291">
        <f t="shared" si="0"/>
        <v>-3.1850000000000001</v>
      </c>
      <c r="I30" s="762" t="s">
        <v>64</v>
      </c>
      <c r="J30" s="763"/>
      <c r="K30" s="764"/>
      <c r="L30" s="765"/>
      <c r="M30" s="294" t="s">
        <v>65</v>
      </c>
    </row>
    <row r="31" spans="1:28">
      <c r="A31" s="305" t="s">
        <v>66</v>
      </c>
      <c r="B31" s="241">
        <v>-1.4302939176559399</v>
      </c>
      <c r="C31" s="299"/>
      <c r="D31" s="288">
        <v>0.16179731069006001</v>
      </c>
      <c r="E31" s="289">
        <v>10</v>
      </c>
      <c r="F31" s="289">
        <v>166.5</v>
      </c>
      <c r="G31" s="290">
        <v>0.79</v>
      </c>
      <c r="H31" s="291">
        <f t="shared" si="0"/>
        <v>-1.7050000000000001</v>
      </c>
      <c r="J31" s="291"/>
      <c r="K31" s="291"/>
      <c r="L31" s="291"/>
      <c r="M31" s="294" t="s">
        <v>67</v>
      </c>
    </row>
    <row r="32" spans="1:28">
      <c r="A32" s="295" t="s">
        <v>68</v>
      </c>
      <c r="B32" s="241">
        <v>-3.7748489379882799</v>
      </c>
      <c r="C32" s="299"/>
      <c r="D32" s="288">
        <v>0.21543706061278201</v>
      </c>
      <c r="E32" s="289">
        <v>6</v>
      </c>
      <c r="F32" s="289">
        <v>231.5</v>
      </c>
      <c r="G32" s="290">
        <v>2.4300000000000002</v>
      </c>
      <c r="H32" s="291">
        <f t="shared" si="0"/>
        <v>-3.9950000000000001</v>
      </c>
      <c r="I32" s="766" t="s">
        <v>69</v>
      </c>
      <c r="J32" s="767"/>
      <c r="K32" s="767"/>
      <c r="L32" s="768"/>
      <c r="M32" s="294" t="s">
        <v>70</v>
      </c>
    </row>
    <row r="33" spans="1:13">
      <c r="A33" s="295" t="s">
        <v>71</v>
      </c>
      <c r="B33" s="241">
        <v>-2.6538319587707502</v>
      </c>
      <c r="C33" s="299"/>
      <c r="D33" s="288">
        <v>0.129125206050696</v>
      </c>
      <c r="E33" s="289">
        <v>3</v>
      </c>
      <c r="F33" s="309">
        <v>192.7</v>
      </c>
      <c r="G33" s="290">
        <v>2.63</v>
      </c>
      <c r="H33" s="291">
        <f t="shared" si="0"/>
        <v>-3.8069999999999995</v>
      </c>
      <c r="I33" s="769" t="s">
        <v>1056</v>
      </c>
      <c r="J33" s="770"/>
      <c r="K33" s="770"/>
      <c r="L33" s="771"/>
      <c r="M33" s="294" t="s">
        <v>72</v>
      </c>
    </row>
    <row r="34" spans="1:13">
      <c r="A34" s="285" t="s">
        <v>74</v>
      </c>
      <c r="B34" s="241">
        <v>-5.8986077308654803</v>
      </c>
      <c r="C34" s="299"/>
      <c r="D34" s="288">
        <v>0.14911462098310899</v>
      </c>
      <c r="E34" s="289">
        <v>6</v>
      </c>
      <c r="F34" s="289">
        <v>167</v>
      </c>
      <c r="G34" s="290">
        <v>6.32</v>
      </c>
      <c r="H34" s="291">
        <f t="shared" si="0"/>
        <v>-7.24</v>
      </c>
      <c r="I34" s="772"/>
      <c r="J34" s="314"/>
      <c r="K34" s="314"/>
      <c r="L34" s="773"/>
      <c r="M34" s="294" t="s">
        <v>75</v>
      </c>
    </row>
    <row r="35" spans="1:13">
      <c r="A35" s="295" t="s">
        <v>77</v>
      </c>
      <c r="B35" s="241">
        <v>-2.4024190902710001</v>
      </c>
      <c r="C35" s="299"/>
      <c r="D35" s="288">
        <v>0.15809078703524701</v>
      </c>
      <c r="E35" s="289">
        <v>15</v>
      </c>
      <c r="F35" s="289">
        <v>191.5</v>
      </c>
      <c r="G35" s="290">
        <v>3.39</v>
      </c>
      <c r="H35" s="291">
        <f t="shared" si="0"/>
        <v>-4.5549999999999997</v>
      </c>
      <c r="I35" s="772"/>
      <c r="J35" s="314"/>
      <c r="K35" s="314"/>
      <c r="L35" s="773"/>
      <c r="M35" s="294" t="s">
        <v>78</v>
      </c>
    </row>
    <row r="36" spans="1:13">
      <c r="A36" s="305" t="s">
        <v>80</v>
      </c>
      <c r="B36" s="241">
        <v>-1.2799702882766699</v>
      </c>
      <c r="C36" s="299"/>
      <c r="D36" s="288">
        <v>0.191150308906822</v>
      </c>
      <c r="E36" s="289">
        <v>3</v>
      </c>
      <c r="F36" s="289">
        <v>246.2</v>
      </c>
      <c r="G36" s="290">
        <v>3.32</v>
      </c>
      <c r="H36" s="291">
        <f t="shared" si="0"/>
        <v>-5.032</v>
      </c>
      <c r="I36" s="774"/>
      <c r="J36" s="314"/>
      <c r="K36" s="314"/>
      <c r="L36" s="773"/>
      <c r="M36" s="294" t="s">
        <v>81</v>
      </c>
    </row>
    <row r="37" spans="1:13">
      <c r="A37" s="305" t="s">
        <v>73</v>
      </c>
      <c r="B37" s="241">
        <v>-1.0678294897079501</v>
      </c>
      <c r="C37" s="299"/>
      <c r="D37" s="288">
        <v>0.19050575600734301</v>
      </c>
      <c r="E37" s="289">
        <v>4</v>
      </c>
      <c r="F37" s="289">
        <v>304</v>
      </c>
      <c r="G37" s="290">
        <v>1.74</v>
      </c>
      <c r="H37" s="291">
        <f t="shared" si="0"/>
        <v>-4.03</v>
      </c>
      <c r="I37" s="774"/>
      <c r="J37" s="314"/>
      <c r="K37" s="314"/>
      <c r="L37" s="773"/>
      <c r="M37" s="294" t="s">
        <v>83</v>
      </c>
    </row>
    <row r="38" spans="1:13">
      <c r="A38" s="285" t="s">
        <v>76</v>
      </c>
      <c r="B38" s="241">
        <v>-1.15107762813568</v>
      </c>
      <c r="C38" s="299"/>
      <c r="D38" s="288">
        <v>0.13682393527498099</v>
      </c>
      <c r="E38" s="289">
        <v>7</v>
      </c>
      <c r="F38" s="289">
        <v>187</v>
      </c>
      <c r="G38" s="290">
        <v>-0.87</v>
      </c>
      <c r="H38" s="291">
        <f t="shared" si="0"/>
        <v>-0.25</v>
      </c>
      <c r="I38" s="774"/>
      <c r="J38" s="314"/>
      <c r="K38" s="314"/>
      <c r="L38" s="773"/>
      <c r="M38" s="775" t="s">
        <v>85</v>
      </c>
    </row>
    <row r="39" spans="1:13">
      <c r="A39" s="285" t="s">
        <v>87</v>
      </c>
      <c r="B39" s="241">
        <v>-1.39777207374573</v>
      </c>
      <c r="C39" s="299"/>
      <c r="D39" s="288">
        <v>0.20462356367491999</v>
      </c>
      <c r="E39" s="289">
        <v>4</v>
      </c>
      <c r="F39" s="289">
        <v>221.5</v>
      </c>
      <c r="G39" s="290">
        <v>0.71</v>
      </c>
      <c r="H39" s="291">
        <f t="shared" si="0"/>
        <v>-2.1749999999999998</v>
      </c>
      <c r="I39" s="774"/>
      <c r="J39" s="314"/>
      <c r="K39" s="314"/>
      <c r="L39" s="773"/>
      <c r="M39" s="294" t="s">
        <v>88</v>
      </c>
    </row>
    <row r="40" spans="1:13">
      <c r="A40" s="285" t="s">
        <v>90</v>
      </c>
      <c r="B40" s="241">
        <v>-3.8991644382476802</v>
      </c>
      <c r="C40" s="299"/>
      <c r="D40" s="288">
        <v>0.182746025644656</v>
      </c>
      <c r="E40" s="289">
        <v>6</v>
      </c>
      <c r="F40" s="289">
        <v>157.833333333333</v>
      </c>
      <c r="G40" s="290">
        <v>3.51</v>
      </c>
      <c r="H40" s="291">
        <f t="shared" si="0"/>
        <v>-4.3383333333333294</v>
      </c>
      <c r="I40" s="774"/>
      <c r="J40" s="256"/>
      <c r="K40" s="256"/>
      <c r="L40" s="739"/>
      <c r="M40" s="294" t="s">
        <v>91</v>
      </c>
    </row>
    <row r="41" spans="1:13">
      <c r="A41" s="295" t="s">
        <v>93</v>
      </c>
      <c r="B41" s="241">
        <v>-1.21616899967194</v>
      </c>
      <c r="C41" s="299"/>
      <c r="D41" s="288">
        <v>0.12610247911779701</v>
      </c>
      <c r="E41" s="289">
        <v>8</v>
      </c>
      <c r="F41" s="289">
        <v>140</v>
      </c>
      <c r="G41" s="290">
        <v>0.35</v>
      </c>
      <c r="H41" s="291">
        <f t="shared" si="0"/>
        <v>-1</v>
      </c>
      <c r="I41" s="774"/>
      <c r="J41" s="256"/>
      <c r="K41" s="256"/>
      <c r="L41" s="739"/>
      <c r="M41" s="294" t="s">
        <v>94</v>
      </c>
    </row>
    <row r="42" spans="1:13">
      <c r="A42" s="295" t="s">
        <v>96</v>
      </c>
      <c r="B42" s="241">
        <v>-1.7932499647140501</v>
      </c>
      <c r="C42" s="299"/>
      <c r="D42" s="288">
        <v>0.14493441954544001</v>
      </c>
      <c r="E42" s="289">
        <v>7</v>
      </c>
      <c r="F42" s="289">
        <v>127.933333333333</v>
      </c>
      <c r="G42" s="290">
        <v>1.74</v>
      </c>
      <c r="H42" s="291">
        <f t="shared" si="0"/>
        <v>-2.2693333333333299</v>
      </c>
      <c r="I42" s="774"/>
      <c r="J42" s="256"/>
      <c r="K42" s="256"/>
      <c r="L42" s="739"/>
      <c r="M42" s="294" t="s">
        <v>97</v>
      </c>
    </row>
    <row r="43" spans="1:13">
      <c r="A43" s="295" t="s">
        <v>79</v>
      </c>
      <c r="B43" s="241">
        <v>-4.2098469734191903</v>
      </c>
      <c r="C43" s="299"/>
      <c r="D43" s="288">
        <v>0.148613886268708</v>
      </c>
      <c r="E43" s="289">
        <v>7</v>
      </c>
      <c r="F43" s="289">
        <v>176</v>
      </c>
      <c r="G43" s="290">
        <v>4.4800000000000004</v>
      </c>
      <c r="H43" s="291">
        <f t="shared" si="0"/>
        <v>-5.49</v>
      </c>
      <c r="I43" s="774"/>
      <c r="J43" s="256"/>
      <c r="K43" s="256"/>
      <c r="L43" s="739"/>
      <c r="M43" s="294" t="s">
        <v>99</v>
      </c>
    </row>
    <row r="44" spans="1:13">
      <c r="A44" s="285" t="s">
        <v>101</v>
      </c>
      <c r="B44" s="241">
        <v>-2.7668931484222399</v>
      </c>
      <c r="C44" s="299"/>
      <c r="D44" s="288">
        <v>0.12807114954002</v>
      </c>
      <c r="E44" s="289">
        <v>3</v>
      </c>
      <c r="F44" s="289">
        <v>159.69999999999999</v>
      </c>
      <c r="G44" s="290">
        <v>3.46</v>
      </c>
      <c r="H44" s="291">
        <f t="shared" si="0"/>
        <v>-4.3070000000000004</v>
      </c>
      <c r="I44" s="774"/>
      <c r="J44" s="256"/>
      <c r="K44" s="256"/>
      <c r="L44" s="739"/>
      <c r="M44" s="294" t="s">
        <v>102</v>
      </c>
    </row>
    <row r="45" spans="1:13">
      <c r="A45" s="295" t="s">
        <v>104</v>
      </c>
      <c r="B45" s="241">
        <v>-2.0587577819824201</v>
      </c>
      <c r="C45" s="299"/>
      <c r="D45" s="288">
        <v>0.21683500301481101</v>
      </c>
      <c r="E45" s="289">
        <v>8</v>
      </c>
      <c r="F45" s="289">
        <v>142</v>
      </c>
      <c r="G45" s="290">
        <v>0.6</v>
      </c>
      <c r="H45" s="291">
        <f t="shared" si="0"/>
        <v>-1.27</v>
      </c>
      <c r="I45" s="774"/>
      <c r="J45" s="256"/>
      <c r="K45" s="256"/>
      <c r="L45" s="739"/>
      <c r="M45" s="294" t="s">
        <v>105</v>
      </c>
    </row>
    <row r="46" spans="1:13">
      <c r="A46" s="295" t="s">
        <v>107</v>
      </c>
      <c r="B46" s="241">
        <v>-2.6068985462188698</v>
      </c>
      <c r="C46" s="299"/>
      <c r="D46" s="288">
        <v>0.18255878892749899</v>
      </c>
      <c r="E46" s="289">
        <v>20</v>
      </c>
      <c r="F46" s="289">
        <v>267</v>
      </c>
      <c r="G46" s="290">
        <v>1.58</v>
      </c>
      <c r="H46" s="291">
        <f t="shared" si="0"/>
        <v>-3.5</v>
      </c>
      <c r="I46" s="774"/>
      <c r="J46" s="256"/>
      <c r="K46" s="256"/>
      <c r="L46" s="739"/>
      <c r="M46" s="294" t="s">
        <v>108</v>
      </c>
    </row>
    <row r="47" spans="1:13">
      <c r="A47" s="285" t="s">
        <v>110</v>
      </c>
      <c r="B47" s="241">
        <v>-3.9074912071228001</v>
      </c>
      <c r="C47" s="299"/>
      <c r="D47" s="288">
        <v>0.16704647063532599</v>
      </c>
      <c r="E47" s="289">
        <v>6</v>
      </c>
      <c r="F47" s="289">
        <v>110</v>
      </c>
      <c r="G47" s="290">
        <v>3.36</v>
      </c>
      <c r="H47" s="291">
        <f t="shared" si="0"/>
        <v>-3.71</v>
      </c>
      <c r="I47" s="774"/>
      <c r="J47" s="256"/>
      <c r="K47" s="256"/>
      <c r="L47" s="739"/>
      <c r="M47" s="294" t="s">
        <v>111</v>
      </c>
    </row>
    <row r="48" spans="1:13">
      <c r="A48" s="295" t="s">
        <v>82</v>
      </c>
      <c r="B48" s="241">
        <v>-2.78187155723572</v>
      </c>
      <c r="C48" s="299"/>
      <c r="D48" s="288">
        <v>0.1716450131236</v>
      </c>
      <c r="E48" s="289">
        <v>7</v>
      </c>
      <c r="F48" s="289">
        <v>182</v>
      </c>
      <c r="G48" s="290">
        <v>2.67</v>
      </c>
      <c r="H48" s="291">
        <f t="shared" si="0"/>
        <v>-3.74</v>
      </c>
      <c r="I48" s="774"/>
      <c r="J48" s="256"/>
      <c r="K48" s="256"/>
      <c r="L48" s="739"/>
      <c r="M48" s="294" t="s">
        <v>113</v>
      </c>
    </row>
    <row r="49" spans="1:13">
      <c r="A49" s="295" t="s">
        <v>115</v>
      </c>
      <c r="B49" s="241">
        <v>-3.7187020778656001</v>
      </c>
      <c r="C49" s="299"/>
      <c r="D49" s="288">
        <v>0.12558353028546099</v>
      </c>
      <c r="E49" s="289">
        <v>4</v>
      </c>
      <c r="F49" s="289">
        <v>222</v>
      </c>
      <c r="G49" s="290">
        <v>2.56</v>
      </c>
      <c r="H49" s="291">
        <f t="shared" si="0"/>
        <v>-4.03</v>
      </c>
      <c r="I49" s="774"/>
      <c r="J49" s="256"/>
      <c r="K49" s="256"/>
      <c r="L49" s="739"/>
      <c r="M49" s="294" t="s">
        <v>116</v>
      </c>
    </row>
    <row r="50" spans="1:13">
      <c r="A50" s="295" t="s">
        <v>118</v>
      </c>
      <c r="B50" s="241">
        <v>-2.8255205154418901</v>
      </c>
      <c r="C50" s="299"/>
      <c r="D50" s="288">
        <v>0.15681339906647901</v>
      </c>
      <c r="E50" s="289">
        <v>6</v>
      </c>
      <c r="F50" s="289">
        <v>151</v>
      </c>
      <c r="G50" s="290">
        <v>3.27</v>
      </c>
      <c r="H50" s="291">
        <f t="shared" si="0"/>
        <v>-4.03</v>
      </c>
      <c r="I50" s="774"/>
      <c r="J50" s="256"/>
      <c r="K50" s="256"/>
      <c r="L50" s="739"/>
      <c r="M50" s="294" t="s">
        <v>119</v>
      </c>
    </row>
    <row r="51" spans="1:13">
      <c r="A51" s="285" t="s">
        <v>84</v>
      </c>
      <c r="B51" s="241">
        <v>-3.23944139480591</v>
      </c>
      <c r="C51" s="299"/>
      <c r="D51" s="288">
        <v>0.12789394574374299</v>
      </c>
      <c r="E51" s="289">
        <v>5</v>
      </c>
      <c r="F51" s="289">
        <v>330</v>
      </c>
      <c r="G51" s="290">
        <v>2.87</v>
      </c>
      <c r="H51" s="291">
        <f t="shared" si="0"/>
        <v>-5.42</v>
      </c>
      <c r="I51" s="774"/>
      <c r="J51" s="256"/>
      <c r="K51" s="256"/>
      <c r="L51" s="739"/>
      <c r="M51" s="294" t="s">
        <v>120</v>
      </c>
    </row>
    <row r="52" spans="1:13">
      <c r="A52" s="295" t="s">
        <v>121</v>
      </c>
      <c r="B52" s="241">
        <v>-2.21158051490784</v>
      </c>
      <c r="C52" s="299"/>
      <c r="D52" s="288">
        <v>0.18012800124370401</v>
      </c>
      <c r="E52" s="289">
        <v>3</v>
      </c>
      <c r="F52" s="289">
        <v>100</v>
      </c>
      <c r="G52" s="290">
        <v>3.53</v>
      </c>
      <c r="H52" s="291">
        <f t="shared" si="0"/>
        <v>-3.78</v>
      </c>
      <c r="I52" s="772"/>
      <c r="J52" s="314"/>
      <c r="K52" s="314"/>
      <c r="L52" s="773"/>
      <c r="M52" s="294" t="s">
        <v>122</v>
      </c>
    </row>
    <row r="53" spans="1:13">
      <c r="A53" s="285" t="s">
        <v>123</v>
      </c>
      <c r="B53" s="241">
        <v>-3.1850776672363299</v>
      </c>
      <c r="C53" s="299"/>
      <c r="D53" s="288">
        <v>0.180621047507217</v>
      </c>
      <c r="E53" s="289">
        <v>16</v>
      </c>
      <c r="F53" s="289">
        <v>262.5</v>
      </c>
      <c r="G53" s="290">
        <v>1.9</v>
      </c>
      <c r="H53" s="291">
        <f t="shared" si="0"/>
        <v>-3.7749999999999999</v>
      </c>
      <c r="I53" s="772"/>
      <c r="J53" s="314"/>
      <c r="K53" s="314"/>
      <c r="L53" s="773"/>
      <c r="M53" s="294" t="s">
        <v>124</v>
      </c>
    </row>
    <row r="54" spans="1:13">
      <c r="A54" s="295" t="s">
        <v>125</v>
      </c>
      <c r="B54" s="241">
        <v>-2.8359897136688201</v>
      </c>
      <c r="C54" s="299"/>
      <c r="D54" s="288">
        <v>0.2215624426866</v>
      </c>
      <c r="E54" s="289">
        <v>4</v>
      </c>
      <c r="F54" s="289">
        <v>328.85</v>
      </c>
      <c r="G54" s="290">
        <v>1.87</v>
      </c>
      <c r="H54" s="291">
        <f t="shared" si="0"/>
        <v>-4.4085000000000001</v>
      </c>
      <c r="I54" s="772"/>
      <c r="J54" s="314"/>
      <c r="K54" s="314"/>
      <c r="L54" s="773"/>
      <c r="M54" s="294" t="s">
        <v>126</v>
      </c>
    </row>
    <row r="55" spans="1:13">
      <c r="A55" s="295" t="s">
        <v>127</v>
      </c>
      <c r="B55" s="241">
        <v>-3.7620987892150901</v>
      </c>
      <c r="C55" s="299"/>
      <c r="D55" s="288">
        <v>0.184508117807134</v>
      </c>
      <c r="E55" s="289">
        <v>33</v>
      </c>
      <c r="F55" s="289">
        <v>167.5</v>
      </c>
      <c r="G55" s="290">
        <v>4.3600000000000003</v>
      </c>
      <c r="H55" s="291">
        <f t="shared" si="0"/>
        <v>-5.2850000000000001</v>
      </c>
      <c r="I55" s="772"/>
      <c r="J55" s="314"/>
      <c r="K55" s="314"/>
      <c r="L55" s="773"/>
      <c r="M55" s="294" t="s">
        <v>128</v>
      </c>
    </row>
    <row r="56" spans="1:13">
      <c r="A56" s="295" t="s">
        <v>86</v>
      </c>
      <c r="B56" s="241">
        <v>-4.46923875808716</v>
      </c>
      <c r="C56" s="299"/>
      <c r="D56" s="288">
        <v>0.15609203233531499</v>
      </c>
      <c r="E56" s="289">
        <v>3</v>
      </c>
      <c r="F56" s="289">
        <v>223</v>
      </c>
      <c r="G56" s="290">
        <v>2.99</v>
      </c>
      <c r="H56" s="291">
        <f t="shared" si="0"/>
        <v>-4.4700000000000006</v>
      </c>
      <c r="I56" s="772"/>
      <c r="J56" s="314"/>
      <c r="K56" s="314"/>
      <c r="L56" s="773"/>
      <c r="M56" s="294" t="s">
        <v>129</v>
      </c>
    </row>
    <row r="57" spans="1:13">
      <c r="A57" s="295" t="s">
        <v>89</v>
      </c>
      <c r="B57" s="241">
        <v>-2.7804827690124498</v>
      </c>
      <c r="C57" s="299"/>
      <c r="D57" s="288">
        <v>0.20872343532408</v>
      </c>
      <c r="E57" s="289">
        <v>3</v>
      </c>
      <c r="F57" s="289">
        <v>210.5</v>
      </c>
      <c r="G57" s="290">
        <v>2.72</v>
      </c>
      <c r="H57" s="291">
        <f t="shared" si="0"/>
        <v>-4.0750000000000002</v>
      </c>
      <c r="I57" s="742"/>
      <c r="J57" s="776"/>
      <c r="K57" s="776"/>
      <c r="L57" s="777"/>
      <c r="M57" s="294" t="s">
        <v>130</v>
      </c>
    </row>
    <row r="58" spans="1:13">
      <c r="A58" s="295" t="s">
        <v>131</v>
      </c>
      <c r="B58" s="241">
        <v>-2.3125693798065199</v>
      </c>
      <c r="C58" s="299"/>
      <c r="D58" s="288">
        <v>0.12973190134165599</v>
      </c>
      <c r="E58" s="289">
        <v>3</v>
      </c>
      <c r="F58" s="289">
        <v>209.75</v>
      </c>
      <c r="G58" s="290">
        <v>3.37</v>
      </c>
      <c r="H58" s="291">
        <f t="shared" si="0"/>
        <v>-4.7175000000000002</v>
      </c>
      <c r="J58" s="291"/>
      <c r="K58" s="291"/>
      <c r="L58" s="291"/>
      <c r="M58" s="294" t="s">
        <v>132</v>
      </c>
    </row>
    <row r="59" spans="1:13">
      <c r="A59" s="285" t="s">
        <v>92</v>
      </c>
      <c r="B59" s="241">
        <v>-0.94068324565887396</v>
      </c>
      <c r="C59" s="299"/>
      <c r="D59" s="288">
        <v>0.14124198841117799</v>
      </c>
      <c r="E59" s="289">
        <v>3</v>
      </c>
      <c r="F59" s="289">
        <v>53.5</v>
      </c>
      <c r="G59" s="290">
        <v>3.43</v>
      </c>
      <c r="H59" s="291">
        <f t="shared" si="0"/>
        <v>-3.2150000000000003</v>
      </c>
      <c r="I59" s="778" t="s">
        <v>133</v>
      </c>
      <c r="J59" s="763">
        <v>312</v>
      </c>
      <c r="K59" s="765"/>
      <c r="L59" s="291"/>
      <c r="M59" s="294" t="s">
        <v>134</v>
      </c>
    </row>
    <row r="60" spans="1:13">
      <c r="A60" s="285" t="s">
        <v>135</v>
      </c>
      <c r="B60" s="241">
        <v>-0.88183552026748702</v>
      </c>
      <c r="C60" s="299"/>
      <c r="D60" s="288">
        <v>0.170692818664089</v>
      </c>
      <c r="E60" s="289">
        <v>6</v>
      </c>
      <c r="F60" s="289">
        <v>270</v>
      </c>
      <c r="G60" s="290">
        <v>0.05</v>
      </c>
      <c r="H60" s="291">
        <f t="shared" si="0"/>
        <v>-2</v>
      </c>
      <c r="I60" s="778" t="s">
        <v>136</v>
      </c>
      <c r="J60" s="763"/>
      <c r="K60" s="765">
        <v>0</v>
      </c>
      <c r="L60" s="291"/>
      <c r="M60" s="294" t="s">
        <v>137</v>
      </c>
    </row>
    <row r="61" spans="1:13">
      <c r="A61" s="295" t="s">
        <v>138</v>
      </c>
      <c r="B61" s="241">
        <v>-0.951488018035889</v>
      </c>
      <c r="C61" s="299"/>
      <c r="D61" s="288">
        <v>0.206147596831632</v>
      </c>
      <c r="E61" s="289">
        <v>3</v>
      </c>
      <c r="F61" s="289">
        <v>143.75</v>
      </c>
      <c r="G61" s="290">
        <v>1.6</v>
      </c>
      <c r="H61" s="291">
        <f t="shared" si="0"/>
        <v>-2.2875000000000001</v>
      </c>
      <c r="I61" s="778" t="s">
        <v>139</v>
      </c>
      <c r="J61" s="779">
        <f>COUNTA(A23:A122)</f>
        <v>100</v>
      </c>
      <c r="K61" s="765"/>
      <c r="L61" s="291"/>
      <c r="M61" s="294" t="s">
        <v>140</v>
      </c>
    </row>
    <row r="62" spans="1:13">
      <c r="A62" s="285" t="s">
        <v>141</v>
      </c>
      <c r="B62" s="241">
        <v>-3.7565610408782999</v>
      </c>
      <c r="C62" s="299"/>
      <c r="D62" s="288">
        <v>0.180214226227635</v>
      </c>
      <c r="E62" s="289">
        <v>5</v>
      </c>
      <c r="F62" s="289">
        <v>214.5</v>
      </c>
      <c r="G62" s="290">
        <v>3.61</v>
      </c>
      <c r="H62" s="291">
        <f t="shared" si="0"/>
        <v>-5.0049999999999999</v>
      </c>
      <c r="I62" s="291"/>
      <c r="J62" s="291"/>
      <c r="K62" s="291"/>
      <c r="L62" s="291"/>
      <c r="M62" s="294" t="s">
        <v>142</v>
      </c>
    </row>
    <row r="63" spans="1:13">
      <c r="A63" s="295" t="s">
        <v>143</v>
      </c>
      <c r="B63" s="241">
        <v>-4.2069025039672896</v>
      </c>
      <c r="C63" s="299"/>
      <c r="D63" s="288">
        <v>0.19225415374507401</v>
      </c>
      <c r="E63" s="289">
        <v>8</v>
      </c>
      <c r="F63" s="289">
        <v>255.3</v>
      </c>
      <c r="G63" s="290">
        <v>3.82</v>
      </c>
      <c r="H63" s="291">
        <f t="shared" si="0"/>
        <v>-5.6230000000000002</v>
      </c>
      <c r="I63" s="780" t="s">
        <v>144</v>
      </c>
      <c r="J63" s="767"/>
      <c r="K63" s="767"/>
      <c r="L63" s="768"/>
      <c r="M63" s="294" t="s">
        <v>145</v>
      </c>
    </row>
    <row r="64" spans="1:13">
      <c r="A64" s="295" t="s">
        <v>146</v>
      </c>
      <c r="B64" s="241">
        <v>-1.0413022041320801</v>
      </c>
      <c r="C64" s="299"/>
      <c r="D64" s="288">
        <v>0.17</v>
      </c>
      <c r="E64" s="289">
        <v>3</v>
      </c>
      <c r="F64" s="289">
        <v>189</v>
      </c>
      <c r="G64" s="290">
        <v>1.34</v>
      </c>
      <c r="H64" s="291">
        <f t="shared" si="0"/>
        <v>-2.4800000000000004</v>
      </c>
      <c r="I64" s="769" t="s">
        <v>1057</v>
      </c>
      <c r="J64" s="770"/>
      <c r="K64" s="770"/>
      <c r="L64" s="771"/>
      <c r="M64" s="294" t="s">
        <v>148</v>
      </c>
    </row>
    <row r="65" spans="1:13">
      <c r="A65" s="295" t="s">
        <v>149</v>
      </c>
      <c r="B65" s="241">
        <v>-2.4514257907867401</v>
      </c>
      <c r="C65" s="299"/>
      <c r="D65" s="288">
        <v>0.19794493160510701</v>
      </c>
      <c r="E65" s="289">
        <v>4</v>
      </c>
      <c r="F65" s="289">
        <v>243.5</v>
      </c>
      <c r="G65" s="290">
        <v>1.34</v>
      </c>
      <c r="H65" s="291">
        <f t="shared" si="0"/>
        <v>-3.0250000000000004</v>
      </c>
      <c r="I65" s="772"/>
      <c r="J65" s="314"/>
      <c r="K65" s="314"/>
      <c r="L65" s="773"/>
      <c r="M65" s="294" t="s">
        <v>151</v>
      </c>
    </row>
    <row r="66" spans="1:13">
      <c r="A66" s="285" t="s">
        <v>95</v>
      </c>
      <c r="B66" s="241">
        <v>-1.4935784339904801</v>
      </c>
      <c r="C66" s="299"/>
      <c r="D66" s="288">
        <v>0.210560990742934</v>
      </c>
      <c r="E66" s="289">
        <v>3</v>
      </c>
      <c r="F66" s="289">
        <v>36.5</v>
      </c>
      <c r="G66" s="290">
        <v>2.74</v>
      </c>
      <c r="H66" s="291">
        <f t="shared" si="0"/>
        <v>-2.3550000000000004</v>
      </c>
      <c r="I66" s="772"/>
      <c r="J66" s="314"/>
      <c r="K66" s="314"/>
      <c r="L66" s="773"/>
      <c r="M66" s="294" t="s">
        <v>152</v>
      </c>
    </row>
    <row r="67" spans="1:13">
      <c r="A67" s="305" t="s">
        <v>153</v>
      </c>
      <c r="B67" s="241">
        <v>-3.2903261184692401</v>
      </c>
      <c r="C67" s="299"/>
      <c r="D67" s="288">
        <v>0.21092434073951899</v>
      </c>
      <c r="E67" s="289">
        <v>10</v>
      </c>
      <c r="F67" s="289">
        <v>186</v>
      </c>
      <c r="G67" s="290">
        <v>3.4</v>
      </c>
      <c r="H67" s="291">
        <f t="shared" si="0"/>
        <v>-4.51</v>
      </c>
      <c r="I67" s="772"/>
      <c r="J67" s="314"/>
      <c r="K67" s="314"/>
      <c r="L67" s="773"/>
      <c r="M67" s="294" t="s">
        <v>154</v>
      </c>
    </row>
    <row r="68" spans="1:13">
      <c r="A68" s="285" t="s">
        <v>98</v>
      </c>
      <c r="B68" s="241">
        <v>-2.1972689628601101</v>
      </c>
      <c r="C68" s="299"/>
      <c r="D68" s="288">
        <v>0.18695478693957199</v>
      </c>
      <c r="E68" s="289">
        <v>3</v>
      </c>
      <c r="F68" s="289">
        <v>253</v>
      </c>
      <c r="G68" s="290">
        <v>2.35</v>
      </c>
      <c r="H68" s="291">
        <f t="shared" si="0"/>
        <v>-4.1300000000000008</v>
      </c>
      <c r="I68" s="772"/>
      <c r="J68" s="314"/>
      <c r="K68" s="314"/>
      <c r="L68" s="773"/>
      <c r="M68" s="294" t="s">
        <v>155</v>
      </c>
    </row>
    <row r="69" spans="1:13">
      <c r="A69" s="305" t="s">
        <v>156</v>
      </c>
      <c r="B69" s="241">
        <v>-1.8596205711364699</v>
      </c>
      <c r="C69" s="299"/>
      <c r="D69" s="288">
        <v>0.20491085989689101</v>
      </c>
      <c r="E69" s="289">
        <v>23</v>
      </c>
      <c r="F69" s="289">
        <v>111</v>
      </c>
      <c r="G69" s="290">
        <v>3.68</v>
      </c>
      <c r="H69" s="291">
        <f t="shared" si="0"/>
        <v>-4.04</v>
      </c>
      <c r="I69" s="772"/>
      <c r="J69" s="314"/>
      <c r="K69" s="314"/>
      <c r="L69" s="773"/>
      <c r="M69" s="294" t="s">
        <v>157</v>
      </c>
    </row>
    <row r="70" spans="1:13">
      <c r="A70" s="285" t="s">
        <v>158</v>
      </c>
      <c r="B70" s="241">
        <v>-3.51747798919678</v>
      </c>
      <c r="C70" s="299"/>
      <c r="D70" s="288">
        <v>0.15545016183846899</v>
      </c>
      <c r="E70" s="289">
        <v>6</v>
      </c>
      <c r="F70" s="289">
        <v>250</v>
      </c>
      <c r="G70" s="290">
        <v>-0.04</v>
      </c>
      <c r="H70" s="291">
        <f t="shared" si="0"/>
        <v>-1.71</v>
      </c>
      <c r="I70" s="772"/>
      <c r="J70" s="314"/>
      <c r="K70" s="314"/>
      <c r="L70" s="773"/>
      <c r="M70" s="294" t="s">
        <v>159</v>
      </c>
    </row>
    <row r="71" spans="1:13">
      <c r="A71" s="295" t="s">
        <v>160</v>
      </c>
      <c r="B71" s="241">
        <v>-1.5130022764205899</v>
      </c>
      <c r="C71" s="299"/>
      <c r="D71" s="288">
        <v>0.13261436390895101</v>
      </c>
      <c r="E71" s="289">
        <v>3</v>
      </c>
      <c r="F71" s="289">
        <v>250</v>
      </c>
      <c r="G71" s="290">
        <v>-1.97</v>
      </c>
      <c r="H71" s="291">
        <f t="shared" si="0"/>
        <v>0.21999999999999975</v>
      </c>
      <c r="I71" s="772"/>
      <c r="J71" s="314"/>
      <c r="K71" s="314"/>
      <c r="L71" s="773"/>
      <c r="M71" s="294" t="s">
        <v>161</v>
      </c>
    </row>
    <row r="72" spans="1:13">
      <c r="A72" s="295" t="s">
        <v>162</v>
      </c>
      <c r="B72" s="241">
        <v>-3.90636014938354</v>
      </c>
      <c r="C72" s="299"/>
      <c r="D72" s="288">
        <v>0.21159815676624999</v>
      </c>
      <c r="E72" s="289">
        <v>9</v>
      </c>
      <c r="F72" s="289">
        <v>208.5</v>
      </c>
      <c r="G72" s="290">
        <v>2.08</v>
      </c>
      <c r="H72" s="291">
        <f t="shared" si="0"/>
        <v>-3.415</v>
      </c>
      <c r="I72" s="772"/>
      <c r="J72" s="314"/>
      <c r="K72" s="314"/>
      <c r="L72" s="773"/>
      <c r="M72" s="294" t="s">
        <v>163</v>
      </c>
    </row>
    <row r="73" spans="1:13">
      <c r="A73" s="295" t="s">
        <v>164</v>
      </c>
      <c r="B73" s="241">
        <v>-2.5043754577636701</v>
      </c>
      <c r="C73" s="299"/>
      <c r="D73" s="288">
        <v>0.19001512437058701</v>
      </c>
      <c r="E73" s="289">
        <v>15</v>
      </c>
      <c r="F73" s="289">
        <v>220</v>
      </c>
      <c r="G73" s="290">
        <v>2.69</v>
      </c>
      <c r="H73" s="291">
        <f t="shared" si="0"/>
        <v>-4.1399999999999997</v>
      </c>
      <c r="I73" s="772"/>
      <c r="J73" s="314"/>
      <c r="K73" s="314"/>
      <c r="L73" s="773"/>
      <c r="M73" s="294" t="s">
        <v>165</v>
      </c>
    </row>
    <row r="74" spans="1:13">
      <c r="A74" s="295" t="s">
        <v>166</v>
      </c>
      <c r="B74" s="241">
        <v>-4.02610206604004</v>
      </c>
      <c r="C74" s="299"/>
      <c r="D74" s="288">
        <v>0.169781830230266</v>
      </c>
      <c r="E74" s="289">
        <v>10</v>
      </c>
      <c r="F74" s="289">
        <v>151</v>
      </c>
      <c r="G74" s="290">
        <v>4.43</v>
      </c>
      <c r="H74" s="291">
        <f t="shared" si="0"/>
        <v>-5.1899999999999995</v>
      </c>
      <c r="I74" s="772"/>
      <c r="J74" s="314"/>
      <c r="K74" s="314"/>
      <c r="L74" s="773"/>
      <c r="M74" s="294" t="s">
        <v>167</v>
      </c>
    </row>
    <row r="75" spans="1:13">
      <c r="A75" s="305" t="s">
        <v>100</v>
      </c>
      <c r="B75" s="241">
        <v>-3.0520570278167698</v>
      </c>
      <c r="C75" s="299"/>
      <c r="D75" s="288">
        <v>0.19416214604145601</v>
      </c>
      <c r="E75" s="289">
        <v>7</v>
      </c>
      <c r="F75" s="289">
        <v>154.5</v>
      </c>
      <c r="G75" s="290">
        <v>4.22</v>
      </c>
      <c r="H75" s="291">
        <f t="shared" si="0"/>
        <v>-5.0149999999999997</v>
      </c>
      <c r="I75" s="772"/>
      <c r="J75" s="314"/>
      <c r="K75" s="314"/>
      <c r="L75" s="773"/>
      <c r="M75" s="294" t="s">
        <v>168</v>
      </c>
    </row>
    <row r="76" spans="1:13">
      <c r="A76" s="295" t="s">
        <v>169</v>
      </c>
      <c r="B76" s="241">
        <v>-3.01434397697449</v>
      </c>
      <c r="C76" s="299"/>
      <c r="D76" s="288">
        <v>0.16048013551961601</v>
      </c>
      <c r="E76" s="289">
        <v>5</v>
      </c>
      <c r="F76" s="289">
        <v>167.75</v>
      </c>
      <c r="G76" s="290">
        <v>2.87</v>
      </c>
      <c r="H76" s="291">
        <f t="shared" si="0"/>
        <v>-3.7975000000000003</v>
      </c>
      <c r="I76" s="772"/>
      <c r="J76" s="314"/>
      <c r="K76" s="314"/>
      <c r="L76" s="773"/>
      <c r="M76" s="294" t="s">
        <v>170</v>
      </c>
    </row>
    <row r="77" spans="1:13">
      <c r="A77" s="295" t="s">
        <v>171</v>
      </c>
      <c r="B77" s="241">
        <v>-3.5850129127502401</v>
      </c>
      <c r="C77" s="299"/>
      <c r="D77" s="288">
        <v>0.22239504833634899</v>
      </c>
      <c r="E77" s="289">
        <v>21</v>
      </c>
      <c r="F77" s="289">
        <v>159</v>
      </c>
      <c r="G77" s="290">
        <v>3.93</v>
      </c>
      <c r="H77" s="291">
        <f t="shared" si="0"/>
        <v>-4.7700000000000005</v>
      </c>
      <c r="I77" s="772"/>
      <c r="J77" s="314"/>
      <c r="K77" s="314"/>
      <c r="L77" s="773"/>
      <c r="M77" s="294" t="s">
        <v>172</v>
      </c>
    </row>
    <row r="78" spans="1:13">
      <c r="A78" s="295" t="s">
        <v>173</v>
      </c>
      <c r="B78" s="241">
        <v>-3.32818675041199</v>
      </c>
      <c r="C78" s="299"/>
      <c r="D78" s="288">
        <v>0.21209434799218399</v>
      </c>
      <c r="E78" s="289">
        <v>5</v>
      </c>
      <c r="F78" s="289">
        <v>213.5</v>
      </c>
      <c r="G78" s="290">
        <v>3.04</v>
      </c>
      <c r="H78" s="291">
        <f t="shared" si="0"/>
        <v>-4.4249999999999998</v>
      </c>
      <c r="I78" s="772"/>
      <c r="J78" s="314"/>
      <c r="K78" s="314"/>
      <c r="L78" s="773"/>
      <c r="M78" s="294" t="s">
        <v>174</v>
      </c>
    </row>
    <row r="79" spans="1:13">
      <c r="A79" s="295" t="s">
        <v>175</v>
      </c>
      <c r="B79" s="241">
        <v>-3.5838148593902601</v>
      </c>
      <c r="C79" s="299"/>
      <c r="D79" s="288">
        <v>0.14072241564069299</v>
      </c>
      <c r="E79" s="289">
        <v>11</v>
      </c>
      <c r="F79" s="289">
        <v>146</v>
      </c>
      <c r="G79" s="290">
        <v>4.21</v>
      </c>
      <c r="H79" s="291">
        <f t="shared" si="0"/>
        <v>-4.92</v>
      </c>
      <c r="I79" s="772"/>
      <c r="J79" s="314"/>
      <c r="K79" s="314"/>
      <c r="L79" s="773"/>
      <c r="M79" s="294" t="s">
        <v>176</v>
      </c>
    </row>
    <row r="80" spans="1:13">
      <c r="A80" s="295" t="s">
        <v>177</v>
      </c>
      <c r="B80" s="241">
        <v>-3.57114553451538</v>
      </c>
      <c r="C80" s="299"/>
      <c r="D80" s="288">
        <v>0.21748916450754399</v>
      </c>
      <c r="E80" s="289">
        <v>5</v>
      </c>
      <c r="F80" s="289">
        <v>92.3333333333333</v>
      </c>
      <c r="G80" s="290">
        <v>4.21</v>
      </c>
      <c r="H80" s="291">
        <f t="shared" si="0"/>
        <v>-4.3833333333333329</v>
      </c>
      <c r="I80" s="772"/>
      <c r="J80" s="314"/>
      <c r="K80" s="314"/>
      <c r="L80" s="773"/>
      <c r="M80" s="294" t="s">
        <v>178</v>
      </c>
    </row>
    <row r="81" spans="1:13">
      <c r="A81" s="285" t="s">
        <v>179</v>
      </c>
      <c r="B81" s="241">
        <v>-3.08306789398193</v>
      </c>
      <c r="C81" s="299"/>
      <c r="D81" s="288">
        <v>0.20531013145176399</v>
      </c>
      <c r="E81" s="289">
        <v>8</v>
      </c>
      <c r="F81" s="289">
        <v>256</v>
      </c>
      <c r="G81" s="290">
        <v>2.71</v>
      </c>
      <c r="H81" s="291">
        <f t="shared" si="0"/>
        <v>-4.5199999999999996</v>
      </c>
      <c r="I81" s="772"/>
      <c r="J81" s="314"/>
      <c r="K81" s="314"/>
      <c r="L81" s="773"/>
      <c r="M81" s="294" t="s">
        <v>180</v>
      </c>
    </row>
    <row r="82" spans="1:13">
      <c r="A82" s="285" t="s">
        <v>181</v>
      </c>
      <c r="B82" s="241">
        <v>-3.4752495288848899</v>
      </c>
      <c r="C82" s="299"/>
      <c r="D82" s="288">
        <v>0.211767851422238</v>
      </c>
      <c r="E82" s="289">
        <v>3</v>
      </c>
      <c r="F82" s="289">
        <v>80</v>
      </c>
      <c r="G82" s="290">
        <v>3.37</v>
      </c>
      <c r="H82" s="291">
        <f t="shared" si="0"/>
        <v>-3.42</v>
      </c>
      <c r="I82" s="772"/>
      <c r="J82" s="314"/>
      <c r="K82" s="314"/>
      <c r="L82" s="773"/>
      <c r="M82" s="294" t="s">
        <v>182</v>
      </c>
    </row>
    <row r="83" spans="1:13">
      <c r="A83" s="285" t="s">
        <v>183</v>
      </c>
      <c r="B83" s="241">
        <v>-2.8577141761779798</v>
      </c>
      <c r="C83" s="299"/>
      <c r="D83" s="288">
        <v>0.16217657762412199</v>
      </c>
      <c r="E83" s="289">
        <v>17</v>
      </c>
      <c r="F83" s="289">
        <v>153</v>
      </c>
      <c r="G83" s="290">
        <v>3.04</v>
      </c>
      <c r="H83" s="291">
        <f t="shared" si="0"/>
        <v>-3.8200000000000003</v>
      </c>
      <c r="I83" s="772"/>
      <c r="J83" s="314"/>
      <c r="K83" s="314"/>
      <c r="L83" s="773"/>
      <c r="M83" s="294" t="s">
        <v>184</v>
      </c>
    </row>
    <row r="84" spans="1:13">
      <c r="A84" s="295" t="s">
        <v>185</v>
      </c>
      <c r="B84" s="241">
        <v>-3.3535466194152801</v>
      </c>
      <c r="C84" s="299"/>
      <c r="D84" s="288">
        <v>0.204488274966239</v>
      </c>
      <c r="E84" s="289">
        <v>3</v>
      </c>
      <c r="F84" s="289">
        <v>349.84</v>
      </c>
      <c r="G84" s="290">
        <v>4.75</v>
      </c>
      <c r="H84" s="291">
        <f t="shared" si="0"/>
        <v>-7.4984000000000002</v>
      </c>
      <c r="I84" s="772"/>
      <c r="J84" s="314"/>
      <c r="K84" s="314"/>
      <c r="L84" s="773"/>
      <c r="M84" s="294" t="s">
        <v>186</v>
      </c>
    </row>
    <row r="85" spans="1:13">
      <c r="A85" s="295" t="s">
        <v>187</v>
      </c>
      <c r="B85" s="241">
        <v>-2.3553237915039098</v>
      </c>
      <c r="C85" s="299"/>
      <c r="D85" s="288">
        <v>0.14358294446577699</v>
      </c>
      <c r="E85" s="289">
        <v>6</v>
      </c>
      <c r="F85" s="289">
        <v>248</v>
      </c>
      <c r="G85" s="290">
        <v>2.65</v>
      </c>
      <c r="H85" s="291">
        <f t="shared" si="0"/>
        <v>-4.38</v>
      </c>
      <c r="I85" s="772"/>
      <c r="J85" s="314"/>
      <c r="K85" s="314"/>
      <c r="L85" s="773"/>
      <c r="M85" s="294" t="s">
        <v>188</v>
      </c>
    </row>
    <row r="86" spans="1:13">
      <c r="A86" s="295" t="s">
        <v>189</v>
      </c>
      <c r="B86" s="241">
        <v>-3.3091187477111799</v>
      </c>
      <c r="C86" s="299"/>
      <c r="D86" s="288">
        <v>0.153840969889913</v>
      </c>
      <c r="E86" s="289">
        <v>11</v>
      </c>
      <c r="F86" s="289">
        <v>173</v>
      </c>
      <c r="G86" s="290">
        <v>2.1800000000000002</v>
      </c>
      <c r="H86" s="291">
        <f t="shared" si="0"/>
        <v>-3.16</v>
      </c>
      <c r="I86" s="772"/>
      <c r="J86" s="314"/>
      <c r="K86" s="314"/>
      <c r="L86" s="773"/>
      <c r="M86" s="294" t="s">
        <v>190</v>
      </c>
    </row>
    <row r="87" spans="1:13">
      <c r="A87" s="295" t="s">
        <v>191</v>
      </c>
      <c r="B87" s="241">
        <v>-1.4874370098114</v>
      </c>
      <c r="C87" s="299"/>
      <c r="D87" s="288">
        <v>0.14176528631434901</v>
      </c>
      <c r="E87" s="289">
        <v>5</v>
      </c>
      <c r="F87" s="289">
        <v>143.75</v>
      </c>
      <c r="G87" s="290">
        <v>2.76</v>
      </c>
      <c r="H87" s="291">
        <f t="shared" ref="H87:H122" si="1">0.5-G87-0.01*(F87-25)</f>
        <v>-3.4474999999999998</v>
      </c>
      <c r="I87" s="772"/>
      <c r="J87" s="314"/>
      <c r="K87" s="314"/>
      <c r="L87" s="773"/>
      <c r="M87" s="294" t="s">
        <v>192</v>
      </c>
    </row>
    <row r="88" spans="1:13">
      <c r="A88" s="295" t="s">
        <v>193</v>
      </c>
      <c r="B88" s="241">
        <v>-2.5094254016876198</v>
      </c>
      <c r="C88" s="299"/>
      <c r="D88" s="288">
        <v>0.16213928191469301</v>
      </c>
      <c r="E88" s="289">
        <v>19</v>
      </c>
      <c r="F88" s="289">
        <v>220.5</v>
      </c>
      <c r="G88" s="290">
        <v>1.27</v>
      </c>
      <c r="H88" s="291">
        <f t="shared" si="1"/>
        <v>-2.7250000000000001</v>
      </c>
      <c r="I88" s="772"/>
      <c r="J88" s="314"/>
      <c r="K88" s="314"/>
      <c r="L88" s="773"/>
      <c r="M88" s="294" t="s">
        <v>194</v>
      </c>
    </row>
    <row r="89" spans="1:13">
      <c r="A89" s="295" t="s">
        <v>195</v>
      </c>
      <c r="B89" s="241">
        <v>-2.7829754352569598</v>
      </c>
      <c r="C89" s="299"/>
      <c r="D89" s="288">
        <v>0.16127920198135701</v>
      </c>
      <c r="E89" s="289">
        <v>5</v>
      </c>
      <c r="F89" s="289">
        <v>214</v>
      </c>
      <c r="G89" s="290">
        <v>3.83</v>
      </c>
      <c r="H89" s="291">
        <f t="shared" si="1"/>
        <v>-5.2200000000000006</v>
      </c>
      <c r="I89" s="772"/>
      <c r="J89" s="314"/>
      <c r="K89" s="314"/>
      <c r="L89" s="773"/>
      <c r="M89" s="294" t="s">
        <v>196</v>
      </c>
    </row>
    <row r="90" spans="1:13">
      <c r="A90" s="305" t="s">
        <v>197</v>
      </c>
      <c r="B90" s="241">
        <v>-1.8060392141342201</v>
      </c>
      <c r="C90" s="299"/>
      <c r="D90" s="288">
        <v>0.13869006117838001</v>
      </c>
      <c r="E90" s="289">
        <v>3</v>
      </c>
      <c r="F90" s="289">
        <v>176</v>
      </c>
      <c r="G90" s="290">
        <v>2.88</v>
      </c>
      <c r="H90" s="291">
        <f t="shared" si="1"/>
        <v>-3.8899999999999997</v>
      </c>
      <c r="I90" s="772"/>
      <c r="J90" s="314"/>
      <c r="K90" s="314"/>
      <c r="L90" s="773"/>
      <c r="M90" s="294" t="s">
        <v>198</v>
      </c>
    </row>
    <row r="91" spans="1:13">
      <c r="A91" s="285" t="s">
        <v>199</v>
      </c>
      <c r="B91" s="241">
        <v>-0.92416810989379905</v>
      </c>
      <c r="C91" s="299"/>
      <c r="D91" s="288">
        <v>0.12598340861886001</v>
      </c>
      <c r="E91" s="289">
        <v>14</v>
      </c>
      <c r="F91" s="289">
        <v>253.5</v>
      </c>
      <c r="G91" s="290">
        <v>1.54</v>
      </c>
      <c r="H91" s="291">
        <f t="shared" si="1"/>
        <v>-3.3250000000000002</v>
      </c>
      <c r="I91" s="772"/>
      <c r="J91" s="314"/>
      <c r="K91" s="314"/>
      <c r="L91" s="773"/>
      <c r="M91" s="294" t="s">
        <v>200</v>
      </c>
    </row>
    <row r="92" spans="1:13">
      <c r="A92" s="295" t="s">
        <v>201</v>
      </c>
      <c r="B92" s="241">
        <v>-2.8475875854492201</v>
      </c>
      <c r="C92" s="299"/>
      <c r="D92" s="288">
        <v>0.16504944177542499</v>
      </c>
      <c r="E92" s="289">
        <v>5</v>
      </c>
      <c r="F92" s="289">
        <v>205.5</v>
      </c>
      <c r="G92" s="290">
        <v>2.4500000000000002</v>
      </c>
      <c r="H92" s="291">
        <f t="shared" si="1"/>
        <v>-3.7549999999999999</v>
      </c>
      <c r="I92" s="772"/>
      <c r="J92" s="314"/>
      <c r="K92" s="314"/>
      <c r="L92" s="773"/>
      <c r="M92" s="294" t="s">
        <v>202</v>
      </c>
    </row>
    <row r="93" spans="1:13">
      <c r="A93" s="305" t="s">
        <v>203</v>
      </c>
      <c r="B93" s="241">
        <v>-3.12744092941284</v>
      </c>
      <c r="C93" s="299"/>
      <c r="D93" s="288">
        <v>0.19426266518058299</v>
      </c>
      <c r="E93" s="289">
        <v>3</v>
      </c>
      <c r="F93" s="289">
        <v>96</v>
      </c>
      <c r="G93" s="290">
        <v>3.49</v>
      </c>
      <c r="H93" s="291">
        <f t="shared" si="1"/>
        <v>-3.7</v>
      </c>
      <c r="I93" s="772"/>
      <c r="J93" s="314"/>
      <c r="K93" s="314"/>
      <c r="L93" s="773"/>
      <c r="M93" s="294" t="s">
        <v>204</v>
      </c>
    </row>
    <row r="94" spans="1:13">
      <c r="A94" s="295" t="s">
        <v>205</v>
      </c>
      <c r="B94" s="241">
        <v>-3.0416963100433301</v>
      </c>
      <c r="C94" s="299"/>
      <c r="D94" s="288">
        <v>0.188943371497371</v>
      </c>
      <c r="E94" s="289">
        <v>12</v>
      </c>
      <c r="F94" s="289">
        <v>147.25</v>
      </c>
      <c r="G94" s="290">
        <v>3.86</v>
      </c>
      <c r="H94" s="291">
        <f t="shared" si="1"/>
        <v>-4.5824999999999996</v>
      </c>
      <c r="I94" s="772"/>
      <c r="J94" s="314"/>
      <c r="K94" s="314"/>
      <c r="L94" s="773"/>
      <c r="M94" s="294" t="s">
        <v>206</v>
      </c>
    </row>
    <row r="95" spans="1:13">
      <c r="A95" s="295" t="s">
        <v>207</v>
      </c>
      <c r="B95" s="241">
        <v>-3.1106412410736102</v>
      </c>
      <c r="C95" s="299"/>
      <c r="D95" s="288">
        <v>0.17391407185160301</v>
      </c>
      <c r="E95" s="289">
        <v>6</v>
      </c>
      <c r="F95" s="289">
        <v>97</v>
      </c>
      <c r="G95" s="290">
        <v>3.94</v>
      </c>
      <c r="H95" s="291">
        <f t="shared" si="1"/>
        <v>-4.16</v>
      </c>
      <c r="I95" s="772"/>
      <c r="J95" s="314"/>
      <c r="K95" s="314"/>
      <c r="L95" s="773"/>
      <c r="M95" s="294" t="s">
        <v>208</v>
      </c>
    </row>
    <row r="96" spans="1:13">
      <c r="A96" s="285" t="s">
        <v>209</v>
      </c>
      <c r="B96" s="241">
        <v>-1.42265737056732</v>
      </c>
      <c r="C96" s="299"/>
      <c r="D96" s="288">
        <v>0.13764369691033701</v>
      </c>
      <c r="E96" s="289">
        <v>10</v>
      </c>
      <c r="F96" s="289">
        <v>134.5</v>
      </c>
      <c r="G96" s="290">
        <v>2.04</v>
      </c>
      <c r="H96" s="291">
        <f t="shared" si="1"/>
        <v>-2.6349999999999998</v>
      </c>
      <c r="I96" s="772"/>
      <c r="J96" s="314"/>
      <c r="K96" s="314"/>
      <c r="L96" s="773"/>
      <c r="M96" s="294" t="s">
        <v>210</v>
      </c>
    </row>
    <row r="97" spans="1:13">
      <c r="A97" s="295" t="s">
        <v>211</v>
      </c>
      <c r="B97" s="241">
        <v>-0.71048122644424405</v>
      </c>
      <c r="C97" s="299"/>
      <c r="D97" s="288">
        <v>0.162457468885915</v>
      </c>
      <c r="E97" s="289">
        <v>7</v>
      </c>
      <c r="F97" s="289">
        <v>139</v>
      </c>
      <c r="G97" s="290">
        <v>2.66</v>
      </c>
      <c r="H97" s="291">
        <f t="shared" si="1"/>
        <v>-3.3000000000000003</v>
      </c>
      <c r="I97" s="772"/>
      <c r="J97" s="314"/>
      <c r="K97" s="314"/>
      <c r="L97" s="773"/>
      <c r="M97" s="294" t="s">
        <v>212</v>
      </c>
    </row>
    <row r="98" spans="1:13">
      <c r="A98" s="295" t="s">
        <v>213</v>
      </c>
      <c r="B98" s="241">
        <v>-0.40089726448059099</v>
      </c>
      <c r="C98" s="299"/>
      <c r="D98" s="288">
        <v>0.15322122505052199</v>
      </c>
      <c r="E98" s="289">
        <v>9</v>
      </c>
      <c r="F98" s="289">
        <v>170</v>
      </c>
      <c r="G98" s="290">
        <v>1.91</v>
      </c>
      <c r="H98" s="291">
        <f t="shared" si="1"/>
        <v>-2.86</v>
      </c>
      <c r="I98" s="772"/>
      <c r="J98" s="314"/>
      <c r="K98" s="314"/>
      <c r="L98" s="773"/>
      <c r="M98" s="294" t="s">
        <v>214</v>
      </c>
    </row>
    <row r="99" spans="1:13">
      <c r="A99" s="285" t="s">
        <v>215</v>
      </c>
      <c r="B99" s="241">
        <v>-3.0813410282135001</v>
      </c>
      <c r="C99" s="299"/>
      <c r="D99" s="288">
        <v>0.15273607916541099</v>
      </c>
      <c r="E99" s="289">
        <v>10</v>
      </c>
      <c r="F99" s="289">
        <v>326</v>
      </c>
      <c r="G99" s="290">
        <v>2.44</v>
      </c>
      <c r="H99" s="291">
        <f t="shared" si="1"/>
        <v>-4.95</v>
      </c>
      <c r="I99" s="772"/>
      <c r="J99" s="314"/>
      <c r="K99" s="314"/>
      <c r="L99" s="773"/>
      <c r="M99" s="294" t="s">
        <v>216</v>
      </c>
    </row>
    <row r="100" spans="1:13">
      <c r="A100" s="295" t="s">
        <v>217</v>
      </c>
      <c r="B100" s="241">
        <v>-3.0139241218566899</v>
      </c>
      <c r="C100" s="299"/>
      <c r="D100" s="288">
        <v>0.184047015121025</v>
      </c>
      <c r="E100" s="289">
        <v>5</v>
      </c>
      <c r="F100" s="289">
        <v>232.5</v>
      </c>
      <c r="G100" s="290">
        <v>1.8</v>
      </c>
      <c r="H100" s="291">
        <f t="shared" si="1"/>
        <v>-3.375</v>
      </c>
      <c r="I100" s="772"/>
      <c r="J100" s="314"/>
      <c r="K100" s="314"/>
      <c r="L100" s="773"/>
      <c r="M100" s="294" t="s">
        <v>218</v>
      </c>
    </row>
    <row r="101" spans="1:13">
      <c r="A101" s="295" t="s">
        <v>219</v>
      </c>
      <c r="B101" s="241">
        <v>-1.51129245758057</v>
      </c>
      <c r="C101" s="299"/>
      <c r="D101" s="288">
        <v>0.13604063752604401</v>
      </c>
      <c r="E101" s="289">
        <v>4</v>
      </c>
      <c r="F101" s="289">
        <v>281.5</v>
      </c>
      <c r="G101" s="290">
        <v>0.54</v>
      </c>
      <c r="H101" s="291">
        <f t="shared" si="1"/>
        <v>-2.605</v>
      </c>
      <c r="I101" s="772"/>
      <c r="J101" s="314"/>
      <c r="K101" s="314"/>
      <c r="L101" s="773"/>
      <c r="M101" s="294" t="s">
        <v>220</v>
      </c>
    </row>
    <row r="102" spans="1:13">
      <c r="A102" s="295" t="s">
        <v>221</v>
      </c>
      <c r="B102" s="241">
        <v>-2.7042686939239502</v>
      </c>
      <c r="C102" s="299"/>
      <c r="D102" s="288">
        <v>0.19798964803022501</v>
      </c>
      <c r="E102" s="289">
        <v>4</v>
      </c>
      <c r="F102" s="289">
        <v>197.1</v>
      </c>
      <c r="G102" s="290">
        <v>2.2000000000000002</v>
      </c>
      <c r="H102" s="291">
        <f t="shared" si="1"/>
        <v>-3.4210000000000003</v>
      </c>
      <c r="I102" s="772"/>
      <c r="J102" s="314"/>
      <c r="K102" s="314"/>
      <c r="L102" s="773"/>
      <c r="M102" s="294" t="s">
        <v>222</v>
      </c>
    </row>
    <row r="103" spans="1:13">
      <c r="A103" s="305" t="s">
        <v>223</v>
      </c>
      <c r="B103" s="241">
        <v>-2.7379407882690399</v>
      </c>
      <c r="C103" s="299"/>
      <c r="D103" s="288">
        <v>0.13486720020739101</v>
      </c>
      <c r="E103" s="289">
        <v>4</v>
      </c>
      <c r="F103" s="289">
        <v>33</v>
      </c>
      <c r="G103" s="290">
        <v>4.24</v>
      </c>
      <c r="H103" s="291">
        <f t="shared" si="1"/>
        <v>-3.8200000000000003</v>
      </c>
      <c r="I103" s="772"/>
      <c r="J103" s="314"/>
      <c r="K103" s="314"/>
      <c r="L103" s="773"/>
      <c r="M103" s="294" t="s">
        <v>224</v>
      </c>
    </row>
    <row r="104" spans="1:13">
      <c r="A104" s="295" t="s">
        <v>225</v>
      </c>
      <c r="B104" s="241">
        <v>-2.7061743736267099</v>
      </c>
      <c r="C104" s="299"/>
      <c r="D104" s="288">
        <v>0.188012747606043</v>
      </c>
      <c r="E104" s="289">
        <v>11</v>
      </c>
      <c r="F104" s="289">
        <v>60</v>
      </c>
      <c r="G104" s="290">
        <v>4.24</v>
      </c>
      <c r="H104" s="291">
        <f t="shared" si="1"/>
        <v>-4.09</v>
      </c>
      <c r="I104" s="772"/>
      <c r="J104" s="314"/>
      <c r="K104" s="314"/>
      <c r="L104" s="773"/>
      <c r="M104" s="294" t="s">
        <v>226</v>
      </c>
    </row>
    <row r="105" spans="1:13">
      <c r="A105" s="295" t="s">
        <v>227</v>
      </c>
      <c r="B105" s="241">
        <v>-4.34470415115356</v>
      </c>
      <c r="C105" s="299"/>
      <c r="D105" s="288">
        <v>0.16640140742242099</v>
      </c>
      <c r="E105" s="289">
        <v>4</v>
      </c>
      <c r="F105" s="289">
        <v>130.5</v>
      </c>
      <c r="G105" s="290">
        <v>5.22</v>
      </c>
      <c r="H105" s="291">
        <f t="shared" si="1"/>
        <v>-5.7749999999999995</v>
      </c>
      <c r="I105" s="772"/>
      <c r="J105" s="314"/>
      <c r="K105" s="314"/>
      <c r="L105" s="773"/>
      <c r="M105" s="294" t="s">
        <v>228</v>
      </c>
    </row>
    <row r="106" spans="1:13">
      <c r="A106" s="305" t="s">
        <v>103</v>
      </c>
      <c r="B106" s="241">
        <v>-2.8810007572174099</v>
      </c>
      <c r="C106" s="299"/>
      <c r="D106" s="288">
        <v>0.17506472136099999</v>
      </c>
      <c r="E106" s="289">
        <v>7</v>
      </c>
      <c r="F106" s="289">
        <v>254</v>
      </c>
      <c r="G106" s="290">
        <v>2.97</v>
      </c>
      <c r="H106" s="291">
        <f t="shared" si="1"/>
        <v>-4.76</v>
      </c>
      <c r="I106" s="772"/>
      <c r="J106" s="314"/>
      <c r="K106" s="314"/>
      <c r="L106" s="773"/>
      <c r="M106" s="294" t="s">
        <v>229</v>
      </c>
    </row>
    <row r="107" spans="1:13">
      <c r="A107" s="305" t="s">
        <v>230</v>
      </c>
      <c r="B107" s="241">
        <v>-4.3894953727722203</v>
      </c>
      <c r="C107" s="299"/>
      <c r="D107" s="288">
        <v>0.160541646006926</v>
      </c>
      <c r="E107" s="289">
        <v>5</v>
      </c>
      <c r="F107" s="289">
        <v>121</v>
      </c>
      <c r="G107" s="290">
        <v>5.91</v>
      </c>
      <c r="H107" s="291">
        <f t="shared" si="1"/>
        <v>-6.37</v>
      </c>
      <c r="I107" s="772"/>
      <c r="J107" s="314"/>
      <c r="K107" s="314"/>
      <c r="L107" s="773"/>
      <c r="M107" s="294" t="s">
        <v>231</v>
      </c>
    </row>
    <row r="108" spans="1:13">
      <c r="A108" s="295" t="s">
        <v>232</v>
      </c>
      <c r="B108" s="241">
        <v>-2.64630126953125</v>
      </c>
      <c r="C108" s="299"/>
      <c r="D108" s="288">
        <v>0.15756984748208799</v>
      </c>
      <c r="E108" s="289">
        <v>5</v>
      </c>
      <c r="F108" s="289">
        <v>207</v>
      </c>
      <c r="G108" s="290">
        <v>2.56</v>
      </c>
      <c r="H108" s="291">
        <f t="shared" si="1"/>
        <v>-3.88</v>
      </c>
      <c r="I108" s="772"/>
      <c r="J108" s="314"/>
      <c r="K108" s="314"/>
      <c r="L108" s="773"/>
      <c r="M108" s="294" t="s">
        <v>233</v>
      </c>
    </row>
    <row r="109" spans="1:13">
      <c r="A109" s="285" t="s">
        <v>234</v>
      </c>
      <c r="B109" s="241">
        <v>-3.50189113616943</v>
      </c>
      <c r="C109" s="299"/>
      <c r="D109" s="288">
        <v>0.161603623531796</v>
      </c>
      <c r="E109" s="289">
        <v>6</v>
      </c>
      <c r="F109" s="289">
        <v>134.5</v>
      </c>
      <c r="G109" s="290">
        <v>4.8499999999999996</v>
      </c>
      <c r="H109" s="291">
        <f t="shared" si="1"/>
        <v>-5.4449999999999994</v>
      </c>
      <c r="I109" s="772"/>
      <c r="J109" s="314"/>
      <c r="K109" s="314"/>
      <c r="L109" s="773"/>
      <c r="M109" s="294" t="s">
        <v>235</v>
      </c>
    </row>
    <row r="110" spans="1:13">
      <c r="A110" s="285" t="s">
        <v>236</v>
      </c>
      <c r="B110" s="241">
        <v>-2.0606243610382098</v>
      </c>
      <c r="C110" s="299"/>
      <c r="D110" s="288">
        <v>0.18685765827674</v>
      </c>
      <c r="E110" s="289">
        <v>6</v>
      </c>
      <c r="F110" s="289">
        <v>275</v>
      </c>
      <c r="G110" s="290">
        <v>2.09</v>
      </c>
      <c r="H110" s="291">
        <f t="shared" si="1"/>
        <v>-4.09</v>
      </c>
      <c r="I110" s="772"/>
      <c r="J110" s="314"/>
      <c r="K110" s="314"/>
      <c r="L110" s="773"/>
      <c r="M110" s="294" t="s">
        <v>237</v>
      </c>
    </row>
    <row r="111" spans="1:13">
      <c r="A111" s="295" t="s">
        <v>238</v>
      </c>
      <c r="B111" s="241">
        <v>-4.4858145713806197</v>
      </c>
      <c r="C111" s="299"/>
      <c r="D111" s="288">
        <v>0.13950112944748699</v>
      </c>
      <c r="E111" s="289">
        <v>9</v>
      </c>
      <c r="F111" s="289">
        <v>220</v>
      </c>
      <c r="G111" s="290">
        <v>1.8</v>
      </c>
      <c r="H111" s="291">
        <f t="shared" si="1"/>
        <v>-3.25</v>
      </c>
      <c r="I111" s="772"/>
      <c r="J111" s="314"/>
      <c r="K111" s="314"/>
      <c r="L111" s="773"/>
      <c r="M111" s="294" t="s">
        <v>239</v>
      </c>
    </row>
    <row r="112" spans="1:13">
      <c r="A112" s="285" t="s">
        <v>240</v>
      </c>
      <c r="B112" s="241">
        <v>-1.62913429737091</v>
      </c>
      <c r="C112" s="299"/>
      <c r="D112" s="288">
        <v>0.22014005046870999</v>
      </c>
      <c r="E112" s="289">
        <v>9</v>
      </c>
      <c r="F112" s="289">
        <v>202</v>
      </c>
      <c r="G112" s="290">
        <v>1.53</v>
      </c>
      <c r="H112" s="291">
        <f t="shared" si="1"/>
        <v>-2.8</v>
      </c>
      <c r="I112" s="772"/>
      <c r="J112" s="314"/>
      <c r="K112" s="314"/>
      <c r="L112" s="773"/>
      <c r="M112" s="294" t="s">
        <v>241</v>
      </c>
    </row>
    <row r="113" spans="1:28">
      <c r="A113" s="295" t="s">
        <v>242</v>
      </c>
      <c r="B113" s="241">
        <v>-1.6989327669143699</v>
      </c>
      <c r="C113" s="299"/>
      <c r="D113" s="288">
        <v>0.140140838794855</v>
      </c>
      <c r="E113" s="289">
        <v>3</v>
      </c>
      <c r="F113" s="289">
        <v>243</v>
      </c>
      <c r="G113" s="290">
        <v>1.48</v>
      </c>
      <c r="H113" s="291">
        <f t="shared" si="1"/>
        <v>-3.16</v>
      </c>
      <c r="I113" s="772"/>
      <c r="J113" s="314"/>
      <c r="K113" s="314"/>
      <c r="L113" s="773"/>
      <c r="M113" s="294" t="s">
        <v>243</v>
      </c>
    </row>
    <row r="114" spans="1:28">
      <c r="A114" s="305" t="s">
        <v>244</v>
      </c>
      <c r="B114" s="241">
        <v>-2.7593004703521702</v>
      </c>
      <c r="C114" s="299"/>
      <c r="D114" s="288">
        <v>0.13726989684758001</v>
      </c>
      <c r="E114" s="289">
        <v>3</v>
      </c>
      <c r="F114" s="289">
        <v>191</v>
      </c>
      <c r="G114" s="290">
        <v>1.67</v>
      </c>
      <c r="H114" s="291">
        <f t="shared" si="1"/>
        <v>-2.83</v>
      </c>
      <c r="I114" s="772"/>
      <c r="J114" s="314"/>
      <c r="K114" s="314"/>
      <c r="L114" s="773"/>
      <c r="M114" s="294" t="s">
        <v>245</v>
      </c>
    </row>
    <row r="115" spans="1:28">
      <c r="A115" s="295" t="s">
        <v>246</v>
      </c>
      <c r="B115" s="241">
        <v>-4.0664863586425799</v>
      </c>
      <c r="C115" s="299"/>
      <c r="D115" s="288">
        <v>0.21357402153711499</v>
      </c>
      <c r="E115" s="289">
        <v>7</v>
      </c>
      <c r="F115" s="289">
        <v>183.5</v>
      </c>
      <c r="G115" s="290">
        <v>4.37</v>
      </c>
      <c r="H115" s="291">
        <f t="shared" si="1"/>
        <v>-5.4550000000000001</v>
      </c>
      <c r="I115" s="772"/>
      <c r="J115" s="314"/>
      <c r="K115" s="314"/>
      <c r="L115" s="773"/>
      <c r="M115" s="294" t="s">
        <v>247</v>
      </c>
    </row>
    <row r="116" spans="1:28">
      <c r="A116" s="295" t="s">
        <v>248</v>
      </c>
      <c r="B116" s="241">
        <v>-1.30214655399323</v>
      </c>
      <c r="C116" s="299"/>
      <c r="D116" s="288">
        <v>0.105644111777479</v>
      </c>
      <c r="E116" s="289">
        <v>3</v>
      </c>
      <c r="F116" s="289">
        <v>149</v>
      </c>
      <c r="G116" s="290">
        <v>2.62</v>
      </c>
      <c r="H116" s="291">
        <f t="shared" si="1"/>
        <v>-3.3600000000000003</v>
      </c>
      <c r="I116" s="772"/>
      <c r="J116" s="314"/>
      <c r="K116" s="314"/>
      <c r="L116" s="773"/>
      <c r="M116" s="294" t="s">
        <v>249</v>
      </c>
    </row>
    <row r="117" spans="1:28">
      <c r="A117" s="285" t="s">
        <v>250</v>
      </c>
      <c r="B117" s="241">
        <v>-2.5244152545928999</v>
      </c>
      <c r="C117" s="299"/>
      <c r="D117" s="288">
        <v>0.14623917640453399</v>
      </c>
      <c r="E117" s="289">
        <v>8</v>
      </c>
      <c r="F117" s="289">
        <v>165</v>
      </c>
      <c r="G117" s="290">
        <v>-0.37</v>
      </c>
      <c r="H117" s="291">
        <f t="shared" si="1"/>
        <v>-0.53000000000000014</v>
      </c>
      <c r="I117" s="772"/>
      <c r="J117" s="314"/>
      <c r="K117" s="314"/>
      <c r="L117" s="773"/>
      <c r="M117" s="294" t="s">
        <v>251</v>
      </c>
    </row>
    <row r="118" spans="1:28">
      <c r="A118" s="295" t="s">
        <v>252</v>
      </c>
      <c r="B118" s="241">
        <v>-1.4722265005111701</v>
      </c>
      <c r="C118" s="299"/>
      <c r="D118" s="288">
        <v>0.16291639539032499</v>
      </c>
      <c r="E118" s="289">
        <v>10</v>
      </c>
      <c r="F118" s="289">
        <v>225</v>
      </c>
      <c r="G118" s="290">
        <v>0.81</v>
      </c>
      <c r="H118" s="291">
        <f t="shared" si="1"/>
        <v>-2.31</v>
      </c>
      <c r="I118" s="772"/>
      <c r="J118" s="314"/>
      <c r="K118" s="314"/>
      <c r="L118" s="773"/>
      <c r="M118" s="294" t="s">
        <v>253</v>
      </c>
    </row>
    <row r="119" spans="1:28">
      <c r="A119" s="295" t="s">
        <v>254</v>
      </c>
      <c r="B119" s="241">
        <v>-3.0590975284576398</v>
      </c>
      <c r="C119" s="299"/>
      <c r="D119" s="288">
        <v>0.211666473574778</v>
      </c>
      <c r="E119" s="289">
        <v>5</v>
      </c>
      <c r="F119" s="289">
        <v>270</v>
      </c>
      <c r="G119" s="290">
        <v>0.62</v>
      </c>
      <c r="H119" s="291">
        <f t="shared" si="1"/>
        <v>-2.5700000000000003</v>
      </c>
      <c r="I119" s="772"/>
      <c r="J119" s="314"/>
      <c r="K119" s="314"/>
      <c r="L119" s="773"/>
      <c r="M119" s="294" t="s">
        <v>255</v>
      </c>
    </row>
    <row r="120" spans="1:28">
      <c r="A120" s="285" t="s">
        <v>256</v>
      </c>
      <c r="B120" s="241">
        <v>-1.0802590847015401</v>
      </c>
      <c r="C120" s="299"/>
      <c r="D120" s="288">
        <v>0.14175650298978701</v>
      </c>
      <c r="E120" s="289">
        <v>9</v>
      </c>
      <c r="F120" s="289">
        <v>312.66666666666703</v>
      </c>
      <c r="G120" s="290">
        <v>0.83</v>
      </c>
      <c r="H120" s="291">
        <f t="shared" si="1"/>
        <v>-3.2066666666666706</v>
      </c>
      <c r="I120" s="772"/>
      <c r="J120" s="314"/>
      <c r="K120" s="314"/>
      <c r="L120" s="773"/>
      <c r="M120" s="294" t="s">
        <v>257</v>
      </c>
    </row>
    <row r="121" spans="1:28">
      <c r="A121" s="295" t="s">
        <v>258</v>
      </c>
      <c r="B121" s="241">
        <v>-3.9484720230102499</v>
      </c>
      <c r="C121" s="299"/>
      <c r="D121" s="288">
        <v>0.20346886353462401</v>
      </c>
      <c r="E121" s="289">
        <v>11</v>
      </c>
      <c r="F121" s="289">
        <v>161</v>
      </c>
      <c r="G121" s="290">
        <v>3.61</v>
      </c>
      <c r="H121" s="291">
        <f t="shared" si="1"/>
        <v>-4.47</v>
      </c>
      <c r="I121" s="772"/>
      <c r="J121" s="314"/>
      <c r="K121" s="314"/>
      <c r="L121" s="773"/>
      <c r="M121" s="294" t="s">
        <v>259</v>
      </c>
    </row>
    <row r="122" spans="1:28">
      <c r="A122" s="285" t="s">
        <v>109</v>
      </c>
      <c r="B122" s="241">
        <v>-1.85186874866486</v>
      </c>
      <c r="C122" s="299"/>
      <c r="D122" s="288">
        <v>0.20579636821699801</v>
      </c>
      <c r="E122" s="289">
        <v>3</v>
      </c>
      <c r="F122" s="289">
        <v>300</v>
      </c>
      <c r="G122" s="290">
        <v>-1.06</v>
      </c>
      <c r="H122" s="291">
        <f t="shared" si="1"/>
        <v>-1.19</v>
      </c>
      <c r="I122" s="781"/>
      <c r="J122" s="776"/>
      <c r="K122" s="776"/>
      <c r="L122" s="777"/>
      <c r="M122" s="294" t="s">
        <v>260</v>
      </c>
    </row>
    <row r="123" spans="1:28">
      <c r="A123" s="294"/>
      <c r="C123" s="326" t="s">
        <v>261</v>
      </c>
      <c r="D123" s="327">
        <f>AVERAGE(D23:D122)</f>
        <v>0.17115851538193169</v>
      </c>
      <c r="E123" s="328"/>
      <c r="F123" s="329"/>
      <c r="G123" s="329"/>
      <c r="H123" s="330" t="s">
        <v>262</v>
      </c>
      <c r="I123" s="329"/>
      <c r="J123" s="290"/>
      <c r="K123" s="290"/>
      <c r="L123" s="290"/>
      <c r="M123" s="294"/>
    </row>
    <row r="124" spans="1:28">
      <c r="A124" s="294"/>
      <c r="C124" s="326" t="s">
        <v>263</v>
      </c>
      <c r="D124" s="327">
        <f>MIN(D23:D122)</f>
        <v>0.105644111777479</v>
      </c>
      <c r="E124" s="328"/>
      <c r="F124" s="329"/>
      <c r="G124" s="329"/>
      <c r="H124" s="330" t="s">
        <v>264</v>
      </c>
      <c r="I124" s="329"/>
      <c r="J124" s="290"/>
      <c r="K124" s="290"/>
      <c r="L124" s="290"/>
      <c r="M124" s="294"/>
    </row>
    <row r="125" spans="1:28">
      <c r="A125" s="294"/>
      <c r="C125" s="326" t="s">
        <v>265</v>
      </c>
      <c r="D125" s="327">
        <f>MAX(D23:D122)</f>
        <v>0.22239504833634899</v>
      </c>
      <c r="E125" s="328"/>
      <c r="F125" s="329"/>
      <c r="G125" s="329"/>
      <c r="H125" s="330"/>
      <c r="I125" s="329"/>
      <c r="J125" s="290"/>
      <c r="K125" s="290"/>
      <c r="L125" s="290"/>
      <c r="M125" s="294"/>
    </row>
    <row r="126" spans="1:28" s="244" customFormat="1">
      <c r="A126" s="331"/>
      <c r="B126" s="290"/>
      <c r="C126" s="290"/>
      <c r="D126" s="332"/>
      <c r="E126" s="290"/>
      <c r="F126" s="290"/>
      <c r="G126" s="290"/>
      <c r="H126" s="290"/>
      <c r="I126" s="290"/>
      <c r="J126" s="290"/>
      <c r="K126" s="290"/>
      <c r="L126" s="290"/>
      <c r="M126" s="294"/>
      <c r="N126" s="241"/>
      <c r="O126" s="241"/>
      <c r="P126" s="241"/>
      <c r="Q126" s="241"/>
      <c r="R126" s="241"/>
      <c r="S126" s="241"/>
      <c r="T126" s="241"/>
      <c r="U126" s="241"/>
      <c r="V126" s="241"/>
      <c r="W126" s="241"/>
      <c r="X126" s="241"/>
      <c r="Y126" s="241"/>
      <c r="Z126" s="241"/>
      <c r="AA126" s="241"/>
      <c r="AB126" s="241"/>
    </row>
    <row r="127" spans="1:28" s="276" customFormat="1" ht="32.25" customHeight="1" thickBot="1">
      <c r="A127" s="273" t="s">
        <v>708</v>
      </c>
      <c r="B127" s="332"/>
      <c r="C127" s="332"/>
      <c r="D127" s="332"/>
      <c r="E127" s="332"/>
      <c r="F127" s="332"/>
      <c r="G127" s="332"/>
      <c r="H127" s="332"/>
      <c r="I127" s="332"/>
      <c r="J127" s="332"/>
      <c r="K127" s="332"/>
      <c r="L127" s="332"/>
      <c r="M127" s="294"/>
      <c r="N127" s="244"/>
      <c r="O127" s="244"/>
      <c r="P127" s="244"/>
      <c r="Q127" s="244"/>
      <c r="R127" s="244"/>
      <c r="S127" s="244"/>
      <c r="T127" s="244"/>
      <c r="U127" s="244"/>
      <c r="V127" s="244"/>
      <c r="W127" s="244"/>
      <c r="X127" s="244"/>
      <c r="Y127" s="244"/>
      <c r="Z127" s="244"/>
      <c r="AA127" s="244"/>
      <c r="AB127" s="244"/>
    </row>
    <row r="128" spans="1:28" ht="43.5" customHeight="1" thickBot="1">
      <c r="A128" s="749" t="s">
        <v>18</v>
      </c>
      <c r="B128" s="750" t="s">
        <v>709</v>
      </c>
      <c r="C128" s="750" t="s">
        <v>696</v>
      </c>
      <c r="D128" s="750" t="s">
        <v>21</v>
      </c>
      <c r="E128" s="750" t="s">
        <v>22</v>
      </c>
      <c r="F128" s="750" t="s">
        <v>23</v>
      </c>
      <c r="G128" s="751" t="s">
        <v>697</v>
      </c>
      <c r="H128" s="751" t="s">
        <v>698</v>
      </c>
      <c r="I128" s="752"/>
      <c r="J128" s="753" t="s">
        <v>27</v>
      </c>
      <c r="K128" s="753"/>
      <c r="L128" s="753"/>
      <c r="M128" s="754" t="s">
        <v>28</v>
      </c>
      <c r="N128" s="755"/>
      <c r="O128" s="755"/>
      <c r="P128" s="755"/>
      <c r="Q128" s="755"/>
      <c r="R128" s="755"/>
      <c r="S128" s="755"/>
      <c r="T128" s="755"/>
      <c r="U128" s="755"/>
      <c r="V128" s="756"/>
      <c r="W128" s="276"/>
      <c r="X128" s="276"/>
      <c r="Y128" s="276"/>
      <c r="Z128" s="276"/>
      <c r="AA128" s="276"/>
      <c r="AB128" s="276"/>
    </row>
    <row r="129" spans="1:13">
      <c r="A129" s="295" t="s">
        <v>268</v>
      </c>
      <c r="B129" s="241">
        <v>-1.8303803205490099</v>
      </c>
      <c r="C129" s="287" t="s">
        <v>30</v>
      </c>
      <c r="D129" s="288">
        <v>0.50033555401430196</v>
      </c>
      <c r="E129" s="289">
        <v>3</v>
      </c>
      <c r="F129" s="289">
        <v>180</v>
      </c>
      <c r="G129" s="290">
        <v>1.91</v>
      </c>
      <c r="H129" s="291">
        <f t="shared" ref="H129:H160" si="2">0.5-G129-0.01*(F129-25)</f>
        <v>-2.96</v>
      </c>
      <c r="I129" s="757" t="s">
        <v>31</v>
      </c>
      <c r="J129" s="758"/>
      <c r="K129" s="291"/>
      <c r="L129" s="291"/>
      <c r="M129" s="294" t="s">
        <v>269</v>
      </c>
    </row>
    <row r="130" spans="1:13">
      <c r="A130" s="295" t="s">
        <v>270</v>
      </c>
      <c r="B130" s="241">
        <v>-5.2353134155273402</v>
      </c>
      <c r="C130" s="287" t="s">
        <v>36</v>
      </c>
      <c r="D130" s="288">
        <v>0.5</v>
      </c>
      <c r="E130" s="290">
        <v>5</v>
      </c>
      <c r="F130" s="289">
        <v>156</v>
      </c>
      <c r="G130" s="290">
        <v>6.94</v>
      </c>
      <c r="H130" s="291">
        <f t="shared" si="2"/>
        <v>-7.75</v>
      </c>
      <c r="I130" s="757" t="s">
        <v>37</v>
      </c>
      <c r="J130" s="758"/>
      <c r="K130" s="291"/>
      <c r="L130" s="291"/>
      <c r="M130" s="294" t="s">
        <v>271</v>
      </c>
    </row>
    <row r="131" spans="1:13">
      <c r="A131" s="305" t="s">
        <v>272</v>
      </c>
      <c r="B131" s="241">
        <v>-5.6211266517639196</v>
      </c>
      <c r="C131" s="287" t="s">
        <v>41</v>
      </c>
      <c r="D131" s="288">
        <v>0.65309579002601004</v>
      </c>
      <c r="E131" s="289">
        <v>3</v>
      </c>
      <c r="F131" s="289">
        <v>208</v>
      </c>
      <c r="G131" s="290">
        <v>5.18</v>
      </c>
      <c r="H131" s="291">
        <f t="shared" si="2"/>
        <v>-6.51</v>
      </c>
      <c r="I131" s="757" t="s">
        <v>42</v>
      </c>
      <c r="J131" s="758"/>
      <c r="K131" s="291"/>
      <c r="L131" s="291"/>
      <c r="M131" s="294" t="s">
        <v>273</v>
      </c>
    </row>
    <row r="132" spans="1:13">
      <c r="A132" s="295" t="s">
        <v>274</v>
      </c>
      <c r="B132" s="241">
        <v>-1.2920836210250899</v>
      </c>
      <c r="C132" s="287" t="s">
        <v>46</v>
      </c>
      <c r="D132" s="288">
        <v>0.59285217963150305</v>
      </c>
      <c r="E132" s="289">
        <v>3</v>
      </c>
      <c r="F132" s="289">
        <v>100</v>
      </c>
      <c r="G132" s="290">
        <v>2.37</v>
      </c>
      <c r="H132" s="291">
        <f t="shared" si="2"/>
        <v>-2.62</v>
      </c>
      <c r="I132" s="759" t="s">
        <v>47</v>
      </c>
      <c r="J132" s="760" t="s">
        <v>32</v>
      </c>
      <c r="K132" s="291"/>
      <c r="L132" s="291"/>
      <c r="M132" s="294" t="s">
        <v>275</v>
      </c>
    </row>
    <row r="133" spans="1:13">
      <c r="A133" s="295" t="s">
        <v>276</v>
      </c>
      <c r="B133" s="241">
        <v>-3.9384891986846902</v>
      </c>
      <c r="C133" s="287" t="s">
        <v>51</v>
      </c>
      <c r="D133" s="288">
        <v>0.51067901383936598</v>
      </c>
      <c r="E133" s="289">
        <v>5</v>
      </c>
      <c r="F133" s="289">
        <v>217</v>
      </c>
      <c r="G133" s="290">
        <v>3.19</v>
      </c>
      <c r="H133" s="291">
        <f t="shared" si="2"/>
        <v>-4.6099999999999994</v>
      </c>
      <c r="I133" s="759" t="s">
        <v>52</v>
      </c>
      <c r="J133" s="760"/>
      <c r="K133" s="291"/>
      <c r="L133" s="291"/>
      <c r="M133" s="294" t="s">
        <v>277</v>
      </c>
    </row>
    <row r="134" spans="1:13">
      <c r="A134" s="295" t="s">
        <v>278</v>
      </c>
      <c r="B134" s="241">
        <v>-4.3976025581359899</v>
      </c>
      <c r="C134" s="299"/>
      <c r="D134" s="288">
        <v>0.83065522865171404</v>
      </c>
      <c r="E134" s="289">
        <v>3</v>
      </c>
      <c r="F134" s="289">
        <v>209.5</v>
      </c>
      <c r="G134" s="290">
        <v>4.41</v>
      </c>
      <c r="H134" s="291">
        <f t="shared" si="2"/>
        <v>-5.7549999999999999</v>
      </c>
      <c r="I134" s="759" t="s">
        <v>56</v>
      </c>
      <c r="J134" s="760"/>
      <c r="K134" s="291"/>
      <c r="L134" s="291"/>
      <c r="M134" s="294" t="s">
        <v>279</v>
      </c>
    </row>
    <row r="135" spans="1:13">
      <c r="A135" s="295" t="s">
        <v>280</v>
      </c>
      <c r="B135" s="241">
        <v>-4.4134244918823198</v>
      </c>
      <c r="C135" s="299"/>
      <c r="D135" s="288">
        <v>0.51097181417141702</v>
      </c>
      <c r="E135" s="289">
        <v>6</v>
      </c>
      <c r="F135" s="289">
        <v>97.5</v>
      </c>
      <c r="G135" s="290">
        <v>5.19</v>
      </c>
      <c r="H135" s="291">
        <f t="shared" si="2"/>
        <v>-5.415</v>
      </c>
      <c r="I135" s="759" t="s">
        <v>60</v>
      </c>
      <c r="J135" s="761"/>
      <c r="K135" s="291"/>
      <c r="L135" s="291"/>
      <c r="M135" s="294" t="s">
        <v>281</v>
      </c>
    </row>
    <row r="136" spans="1:13">
      <c r="A136" s="285" t="s">
        <v>282</v>
      </c>
      <c r="B136" s="241">
        <v>-6.82737493515015</v>
      </c>
      <c r="C136" s="299"/>
      <c r="D136" s="288">
        <v>0.92735432696895004</v>
      </c>
      <c r="E136" s="289">
        <v>5</v>
      </c>
      <c r="F136" s="289">
        <v>211</v>
      </c>
      <c r="G136" s="290">
        <v>7.49</v>
      </c>
      <c r="H136" s="291">
        <f t="shared" si="2"/>
        <v>-8.85</v>
      </c>
      <c r="I136" s="762" t="s">
        <v>64</v>
      </c>
      <c r="J136" s="763"/>
      <c r="K136" s="764"/>
      <c r="L136" s="765"/>
      <c r="M136" s="294" t="s">
        <v>283</v>
      </c>
    </row>
    <row r="137" spans="1:13">
      <c r="A137" s="295" t="s">
        <v>112</v>
      </c>
      <c r="B137" s="241">
        <v>-5.35787010192871</v>
      </c>
      <c r="C137" s="299"/>
      <c r="D137" s="288">
        <v>0.68239272333923895</v>
      </c>
      <c r="E137" s="289">
        <v>3</v>
      </c>
      <c r="F137" s="289">
        <v>177</v>
      </c>
      <c r="G137" s="290">
        <v>3.37</v>
      </c>
      <c r="H137" s="291">
        <f t="shared" si="2"/>
        <v>-4.3900000000000006</v>
      </c>
      <c r="J137" s="291"/>
      <c r="K137" s="291"/>
      <c r="L137" s="291"/>
      <c r="M137" s="294" t="s">
        <v>284</v>
      </c>
    </row>
    <row r="138" spans="1:13">
      <c r="A138" s="295" t="s">
        <v>285</v>
      </c>
      <c r="B138" s="241">
        <v>-5.5648636817932102</v>
      </c>
      <c r="C138" s="299"/>
      <c r="D138" s="288">
        <v>0.520951861602862</v>
      </c>
      <c r="E138" s="289">
        <v>10</v>
      </c>
      <c r="F138" s="289">
        <v>228.6</v>
      </c>
      <c r="G138" s="290">
        <v>4.22</v>
      </c>
      <c r="H138" s="291">
        <f t="shared" si="2"/>
        <v>-5.7560000000000002</v>
      </c>
      <c r="I138" s="766" t="s">
        <v>286</v>
      </c>
      <c r="J138" s="767"/>
      <c r="K138" s="767"/>
      <c r="L138" s="768"/>
      <c r="M138" s="294" t="s">
        <v>287</v>
      </c>
    </row>
    <row r="139" spans="1:13">
      <c r="A139" s="285" t="s">
        <v>288</v>
      </c>
      <c r="B139" s="241">
        <v>-1.6500866413116499</v>
      </c>
      <c r="C139" s="299"/>
      <c r="D139" s="288">
        <v>0.53906642829149898</v>
      </c>
      <c r="E139" s="289">
        <v>3</v>
      </c>
      <c r="F139" s="289">
        <v>161.5</v>
      </c>
      <c r="G139" s="290">
        <v>-0.21</v>
      </c>
      <c r="H139" s="291">
        <f t="shared" si="2"/>
        <v>-0.65500000000000003</v>
      </c>
      <c r="I139" s="769" t="s">
        <v>1056</v>
      </c>
      <c r="J139" s="770"/>
      <c r="K139" s="770"/>
      <c r="L139" s="771"/>
      <c r="M139" s="294" t="s">
        <v>289</v>
      </c>
    </row>
    <row r="140" spans="1:13">
      <c r="A140" s="285" t="s">
        <v>290</v>
      </c>
      <c r="B140" s="241">
        <v>-3.8589038848877002</v>
      </c>
      <c r="C140" s="299"/>
      <c r="D140" s="288">
        <v>0.56233984781338697</v>
      </c>
      <c r="E140" s="289">
        <v>11</v>
      </c>
      <c r="F140" s="289">
        <v>213.5</v>
      </c>
      <c r="G140" s="290">
        <v>3.04</v>
      </c>
      <c r="H140" s="291">
        <f t="shared" si="2"/>
        <v>-4.4249999999999998</v>
      </c>
      <c r="I140" s="772"/>
      <c r="J140" s="314"/>
      <c r="K140" s="314"/>
      <c r="L140" s="773"/>
      <c r="M140" s="294" t="s">
        <v>291</v>
      </c>
    </row>
    <row r="141" spans="1:13">
      <c r="A141" s="305" t="s">
        <v>292</v>
      </c>
      <c r="B141" s="241">
        <v>-2.8412351608276398</v>
      </c>
      <c r="C141" s="299"/>
      <c r="D141" s="288">
        <v>0.54710381306524802</v>
      </c>
      <c r="E141" s="289">
        <v>4</v>
      </c>
      <c r="F141" s="289">
        <v>168.5</v>
      </c>
      <c r="G141" s="290">
        <v>3.35</v>
      </c>
      <c r="H141" s="291">
        <f t="shared" si="2"/>
        <v>-4.2850000000000001</v>
      </c>
      <c r="I141" s="772"/>
      <c r="J141" s="314"/>
      <c r="K141" s="314"/>
      <c r="L141" s="773"/>
      <c r="M141" s="294" t="s">
        <v>293</v>
      </c>
    </row>
    <row r="142" spans="1:13">
      <c r="A142" s="285" t="s">
        <v>114</v>
      </c>
      <c r="B142" s="241">
        <v>-2.2097434997558598</v>
      </c>
      <c r="C142" s="299"/>
      <c r="D142" s="288">
        <v>0.54612637818466903</v>
      </c>
      <c r="E142" s="289">
        <v>3</v>
      </c>
      <c r="F142" s="309">
        <v>124.1</v>
      </c>
      <c r="G142" s="290">
        <v>2.81</v>
      </c>
      <c r="H142" s="291">
        <f t="shared" si="2"/>
        <v>-3.3010000000000002</v>
      </c>
      <c r="I142" s="774"/>
      <c r="J142" s="314"/>
      <c r="K142" s="314"/>
      <c r="L142" s="773"/>
      <c r="M142" s="294" t="s">
        <v>294</v>
      </c>
    </row>
    <row r="143" spans="1:13">
      <c r="A143" s="285" t="s">
        <v>295</v>
      </c>
      <c r="B143" s="241">
        <v>-4.1122603416442898</v>
      </c>
      <c r="C143" s="299"/>
      <c r="D143" s="288">
        <v>0.51160213896594597</v>
      </c>
      <c r="E143" s="289">
        <v>4</v>
      </c>
      <c r="F143" s="289">
        <v>165</v>
      </c>
      <c r="G143" s="290">
        <v>4.8899999999999997</v>
      </c>
      <c r="H143" s="291">
        <f t="shared" si="2"/>
        <v>-5.79</v>
      </c>
      <c r="I143" s="774"/>
      <c r="J143" s="314"/>
      <c r="K143" s="314"/>
      <c r="L143" s="773"/>
      <c r="M143" s="294" t="s">
        <v>296</v>
      </c>
    </row>
    <row r="144" spans="1:13">
      <c r="A144" s="285" t="s">
        <v>117</v>
      </c>
      <c r="B144" s="241">
        <v>-4.8799943923950204</v>
      </c>
      <c r="C144" s="299"/>
      <c r="D144" s="288">
        <v>0.65141515533308303</v>
      </c>
      <c r="E144" s="289">
        <v>4</v>
      </c>
      <c r="F144" s="289">
        <v>161.1</v>
      </c>
      <c r="G144" s="290">
        <v>4.76</v>
      </c>
      <c r="H144" s="291">
        <f t="shared" si="2"/>
        <v>-5.6209999999999996</v>
      </c>
      <c r="I144" s="774"/>
      <c r="J144" s="314"/>
      <c r="K144" s="314"/>
      <c r="L144" s="773"/>
      <c r="M144" s="294" t="s">
        <v>297</v>
      </c>
    </row>
    <row r="145" spans="1:28">
      <c r="A145" s="305" t="s">
        <v>298</v>
      </c>
      <c r="B145" s="241">
        <v>-3.3605270385742201</v>
      </c>
      <c r="C145" s="299"/>
      <c r="D145" s="288">
        <v>0.65883215509381898</v>
      </c>
      <c r="E145" s="289">
        <v>3</v>
      </c>
      <c r="F145" s="289">
        <v>155</v>
      </c>
      <c r="G145" s="290">
        <v>3.74</v>
      </c>
      <c r="H145" s="291">
        <f t="shared" si="2"/>
        <v>-4.54</v>
      </c>
      <c r="I145" s="774"/>
      <c r="J145" s="314"/>
      <c r="K145" s="314"/>
      <c r="L145" s="773"/>
      <c r="M145" s="294" t="s">
        <v>299</v>
      </c>
    </row>
    <row r="146" spans="1:28">
      <c r="A146" s="295" t="s">
        <v>300</v>
      </c>
      <c r="B146" s="241">
        <v>-3.7704918384552002</v>
      </c>
      <c r="C146" s="299"/>
      <c r="D146" s="288">
        <v>0.61400477095750305</v>
      </c>
      <c r="E146" s="289">
        <v>3</v>
      </c>
      <c r="F146" s="289">
        <v>165.4</v>
      </c>
      <c r="G146" s="290">
        <v>5.58</v>
      </c>
      <c r="H146" s="291">
        <f t="shared" si="2"/>
        <v>-6.484</v>
      </c>
      <c r="I146" s="774"/>
      <c r="J146" s="314"/>
      <c r="K146" s="314"/>
      <c r="L146" s="773"/>
      <c r="M146" s="294" t="s">
        <v>301</v>
      </c>
    </row>
    <row r="147" spans="1:28">
      <c r="A147" s="295" t="s">
        <v>302</v>
      </c>
      <c r="B147" s="241">
        <v>-4.6250791549682599</v>
      </c>
      <c r="C147" s="299"/>
      <c r="D147" s="288">
        <v>0.50406532001413296</v>
      </c>
      <c r="E147" s="289">
        <v>6</v>
      </c>
      <c r="F147" s="289">
        <v>161</v>
      </c>
      <c r="G147" s="290">
        <v>6.45</v>
      </c>
      <c r="H147" s="291">
        <f t="shared" si="2"/>
        <v>-7.3100000000000005</v>
      </c>
      <c r="I147" s="742"/>
      <c r="J147" s="776"/>
      <c r="K147" s="776"/>
      <c r="L147" s="777"/>
      <c r="M147" s="294" t="s">
        <v>303</v>
      </c>
    </row>
    <row r="148" spans="1:28">
      <c r="A148" s="295" t="s">
        <v>304</v>
      </c>
      <c r="B148" s="241">
        <v>-5.8358073234558097</v>
      </c>
      <c r="C148" s="299"/>
      <c r="D148" s="288">
        <v>0.75493366325441702</v>
      </c>
      <c r="E148" s="289">
        <v>4</v>
      </c>
      <c r="F148" s="289">
        <v>193.5</v>
      </c>
      <c r="G148" s="290">
        <v>5.41</v>
      </c>
      <c r="H148" s="291">
        <f t="shared" si="2"/>
        <v>-6.5950000000000006</v>
      </c>
      <c r="J148" s="291"/>
      <c r="K148" s="291"/>
      <c r="L148" s="291"/>
      <c r="M148" s="294" t="s">
        <v>305</v>
      </c>
    </row>
    <row r="149" spans="1:28">
      <c r="A149" s="295" t="s">
        <v>306</v>
      </c>
      <c r="B149" s="241">
        <v>-2.92172074317932</v>
      </c>
      <c r="C149" s="299"/>
      <c r="D149" s="288">
        <v>0.500893580585972</v>
      </c>
      <c r="E149" s="289">
        <v>3</v>
      </c>
      <c r="F149" s="289">
        <v>156</v>
      </c>
      <c r="G149" s="290">
        <v>2.9</v>
      </c>
      <c r="H149" s="291">
        <f t="shared" si="2"/>
        <v>-3.71</v>
      </c>
      <c r="I149" s="778" t="s">
        <v>133</v>
      </c>
      <c r="J149" s="763">
        <v>312</v>
      </c>
      <c r="K149" s="765"/>
      <c r="L149" s="291"/>
      <c r="M149" s="294" t="s">
        <v>307</v>
      </c>
    </row>
    <row r="150" spans="1:28">
      <c r="A150" s="305" t="s">
        <v>308</v>
      </c>
      <c r="B150" s="241">
        <v>-2.5954945087432901</v>
      </c>
      <c r="C150" s="299"/>
      <c r="D150" s="288">
        <v>0.65879843298663399</v>
      </c>
      <c r="E150" s="289">
        <v>4</v>
      </c>
      <c r="F150" s="289">
        <v>183.5</v>
      </c>
      <c r="G150" s="290">
        <v>3.16</v>
      </c>
      <c r="H150" s="291">
        <f t="shared" si="2"/>
        <v>-4.2450000000000001</v>
      </c>
      <c r="I150" s="778" t="s">
        <v>136</v>
      </c>
      <c r="J150" s="763">
        <v>0</v>
      </c>
      <c r="K150" s="765"/>
      <c r="L150" s="291"/>
      <c r="M150" s="294" t="s">
        <v>309</v>
      </c>
    </row>
    <row r="151" spans="1:28">
      <c r="A151" s="305" t="s">
        <v>310</v>
      </c>
      <c r="B151" s="241">
        <v>-1.5517007112503101</v>
      </c>
      <c r="C151" s="299"/>
      <c r="D151" s="288">
        <v>0.59871706042825701</v>
      </c>
      <c r="E151" s="289">
        <v>3</v>
      </c>
      <c r="F151" s="289">
        <v>61</v>
      </c>
      <c r="G151" s="290">
        <v>1.77</v>
      </c>
      <c r="H151" s="291">
        <f t="shared" si="2"/>
        <v>-1.63</v>
      </c>
      <c r="I151" s="778" t="s">
        <v>139</v>
      </c>
      <c r="J151" s="779">
        <f>COUNTA(A129:A160)</f>
        <v>32</v>
      </c>
      <c r="K151" s="765"/>
      <c r="L151" s="291"/>
      <c r="M151" s="294" t="s">
        <v>311</v>
      </c>
    </row>
    <row r="152" spans="1:28">
      <c r="A152" s="295" t="s">
        <v>312</v>
      </c>
      <c r="B152" s="241">
        <v>-2.8213639259338401</v>
      </c>
      <c r="C152" s="299"/>
      <c r="D152" s="288">
        <v>0.57115657899345496</v>
      </c>
      <c r="E152" s="289">
        <v>7</v>
      </c>
      <c r="F152" s="289">
        <v>177</v>
      </c>
      <c r="G152" s="290">
        <v>3.17</v>
      </c>
      <c r="H152" s="291">
        <f t="shared" si="2"/>
        <v>-4.1899999999999995</v>
      </c>
      <c r="I152" s="291"/>
      <c r="J152" s="291"/>
      <c r="K152" s="291"/>
      <c r="L152" s="291"/>
      <c r="M152" s="294" t="s">
        <v>313</v>
      </c>
    </row>
    <row r="153" spans="1:28">
      <c r="A153" s="285" t="s">
        <v>314</v>
      </c>
      <c r="B153" s="241">
        <v>-5.6047239303588903</v>
      </c>
      <c r="C153" s="299"/>
      <c r="D153" s="288">
        <v>0.55807775121880299</v>
      </c>
      <c r="E153" s="289">
        <v>6</v>
      </c>
      <c r="F153" s="289">
        <v>145</v>
      </c>
      <c r="G153" s="290">
        <v>6.08</v>
      </c>
      <c r="H153" s="291">
        <f t="shared" si="2"/>
        <v>-6.78</v>
      </c>
      <c r="I153" s="780" t="s">
        <v>144</v>
      </c>
      <c r="J153" s="767"/>
      <c r="K153" s="767"/>
      <c r="L153" s="768"/>
      <c r="M153" s="294" t="s">
        <v>315</v>
      </c>
    </row>
    <row r="154" spans="1:28">
      <c r="A154" s="285" t="s">
        <v>316</v>
      </c>
      <c r="B154" s="241">
        <v>-6.8204865455627397</v>
      </c>
      <c r="C154" s="299"/>
      <c r="D154" s="288">
        <v>0.66417698790166102</v>
      </c>
      <c r="E154" s="289">
        <v>3</v>
      </c>
      <c r="F154" s="309">
        <v>175.8</v>
      </c>
      <c r="G154" s="290">
        <v>4.62</v>
      </c>
      <c r="H154" s="291">
        <f t="shared" si="2"/>
        <v>-5.6280000000000001</v>
      </c>
      <c r="I154" s="769" t="s">
        <v>1057</v>
      </c>
      <c r="J154" s="770"/>
      <c r="K154" s="770"/>
      <c r="L154" s="771"/>
      <c r="M154" s="294" t="s">
        <v>317</v>
      </c>
    </row>
    <row r="155" spans="1:28">
      <c r="A155" s="295" t="s">
        <v>318</v>
      </c>
      <c r="B155" s="241">
        <v>-3.7808911800384499</v>
      </c>
      <c r="C155" s="299"/>
      <c r="D155" s="288">
        <v>0.57716593661781801</v>
      </c>
      <c r="E155" s="289">
        <v>3</v>
      </c>
      <c r="F155" s="289">
        <v>349.84</v>
      </c>
      <c r="G155" s="290">
        <v>3.09</v>
      </c>
      <c r="H155" s="291">
        <f t="shared" si="2"/>
        <v>-5.8384</v>
      </c>
      <c r="I155" s="772"/>
      <c r="J155" s="314"/>
      <c r="K155" s="314"/>
      <c r="L155" s="773"/>
      <c r="M155" s="294" t="s">
        <v>319</v>
      </c>
    </row>
    <row r="156" spans="1:28">
      <c r="A156" s="305" t="s">
        <v>320</v>
      </c>
      <c r="B156" s="241">
        <v>-2.5979249477386501</v>
      </c>
      <c r="C156" s="299"/>
      <c r="D156" s="288">
        <v>0.70324590282883903</v>
      </c>
      <c r="E156" s="289">
        <v>3</v>
      </c>
      <c r="F156" s="289">
        <v>204</v>
      </c>
      <c r="G156" s="290">
        <v>0.88</v>
      </c>
      <c r="H156" s="291">
        <f t="shared" si="2"/>
        <v>-2.17</v>
      </c>
      <c r="I156" s="772"/>
      <c r="J156" s="314"/>
      <c r="K156" s="314"/>
      <c r="L156" s="773"/>
      <c r="M156" s="294" t="s">
        <v>321</v>
      </c>
    </row>
    <row r="157" spans="1:28">
      <c r="A157" s="295" t="s">
        <v>322</v>
      </c>
      <c r="B157" s="241">
        <v>-3.9612112045288099</v>
      </c>
      <c r="C157" s="299"/>
      <c r="D157" s="288">
        <v>0.72379035887947596</v>
      </c>
      <c r="E157" s="289">
        <v>7</v>
      </c>
      <c r="F157" s="289">
        <v>97.8</v>
      </c>
      <c r="G157" s="290">
        <v>6</v>
      </c>
      <c r="H157" s="291">
        <f t="shared" si="2"/>
        <v>-6.2279999999999998</v>
      </c>
      <c r="I157" s="772"/>
      <c r="J157" s="314"/>
      <c r="K157" s="314"/>
      <c r="L157" s="773"/>
      <c r="M157" s="294" t="s">
        <v>323</v>
      </c>
    </row>
    <row r="158" spans="1:28">
      <c r="A158" s="295" t="s">
        <v>324</v>
      </c>
      <c r="B158" s="241">
        <v>-6.4074630737304696</v>
      </c>
      <c r="C158" s="299"/>
      <c r="D158" s="288">
        <v>0.84033450922624497</v>
      </c>
      <c r="E158" s="289">
        <v>5</v>
      </c>
      <c r="F158" s="289">
        <v>262</v>
      </c>
      <c r="G158" s="290">
        <v>7.26</v>
      </c>
      <c r="H158" s="291">
        <f t="shared" si="2"/>
        <v>-9.129999999999999</v>
      </c>
      <c r="I158" s="772"/>
      <c r="J158" s="314"/>
      <c r="K158" s="314"/>
      <c r="L158" s="773"/>
      <c r="M158" s="294" t="s">
        <v>325</v>
      </c>
    </row>
    <row r="159" spans="1:28">
      <c r="A159" s="295" t="s">
        <v>326</v>
      </c>
      <c r="B159" s="241">
        <v>-5.05049848556519</v>
      </c>
      <c r="C159" s="299"/>
      <c r="D159" s="288">
        <v>0.70969645885144095</v>
      </c>
      <c r="E159" s="289">
        <v>11</v>
      </c>
      <c r="F159" s="289">
        <v>149.6</v>
      </c>
      <c r="G159" s="290">
        <v>6.45</v>
      </c>
      <c r="H159" s="291">
        <f t="shared" si="2"/>
        <v>-7.1959999999999997</v>
      </c>
      <c r="I159" s="772"/>
      <c r="J159" s="314"/>
      <c r="K159" s="314"/>
      <c r="L159" s="773"/>
      <c r="M159" s="294" t="s">
        <v>327</v>
      </c>
    </row>
    <row r="160" spans="1:28" s="334" customFormat="1">
      <c r="A160" s="285" t="s">
        <v>328</v>
      </c>
      <c r="B160" s="241">
        <v>-0.65695041418075595</v>
      </c>
      <c r="C160" s="299"/>
      <c r="D160" s="288">
        <v>0.49644864464459898</v>
      </c>
      <c r="E160" s="289">
        <v>4</v>
      </c>
      <c r="F160" s="289">
        <v>304.5</v>
      </c>
      <c r="G160" s="290">
        <v>2.69</v>
      </c>
      <c r="H160" s="291">
        <f t="shared" si="2"/>
        <v>-4.9849999999999994</v>
      </c>
      <c r="I160" s="781"/>
      <c r="J160" s="776"/>
      <c r="K160" s="776"/>
      <c r="L160" s="777"/>
      <c r="M160" s="294" t="s">
        <v>329</v>
      </c>
      <c r="N160" s="241"/>
      <c r="O160" s="241"/>
      <c r="P160" s="241"/>
      <c r="Q160" s="241"/>
      <c r="R160" s="241"/>
      <c r="S160" s="241"/>
      <c r="T160" s="241"/>
      <c r="U160" s="241"/>
      <c r="V160" s="241"/>
      <c r="W160" s="241"/>
      <c r="X160" s="241"/>
      <c r="Y160" s="241"/>
      <c r="Z160" s="241"/>
      <c r="AA160" s="241"/>
      <c r="AB160" s="241"/>
    </row>
    <row r="161" spans="1:28">
      <c r="A161" s="334"/>
      <c r="B161" s="334"/>
      <c r="C161" s="326" t="s">
        <v>261</v>
      </c>
      <c r="D161" s="327">
        <f>AVERAGE(D129:D160)</f>
        <v>0.61629001144944584</v>
      </c>
      <c r="E161" s="334"/>
      <c r="F161" s="334"/>
      <c r="G161" s="334"/>
      <c r="H161" s="330" t="s">
        <v>262</v>
      </c>
      <c r="I161" s="335"/>
      <c r="J161" s="335"/>
      <c r="K161" s="335"/>
      <c r="L161" s="335"/>
      <c r="M161" s="272"/>
      <c r="N161" s="334"/>
      <c r="O161" s="334"/>
      <c r="P161" s="334"/>
      <c r="Q161" s="334"/>
      <c r="R161" s="334"/>
      <c r="S161" s="334"/>
      <c r="T161" s="334"/>
      <c r="U161" s="334"/>
      <c r="V161" s="334"/>
      <c r="W161" s="334"/>
      <c r="X161" s="334"/>
      <c r="Y161" s="334"/>
      <c r="Z161" s="334"/>
      <c r="AA161" s="334"/>
      <c r="AB161" s="334"/>
    </row>
    <row r="162" spans="1:28">
      <c r="A162" s="294"/>
      <c r="C162" s="326" t="s">
        <v>263</v>
      </c>
      <c r="D162" s="327">
        <f>MIN(D129:D160)</f>
        <v>0.49644864464459898</v>
      </c>
      <c r="E162" s="328"/>
      <c r="F162" s="329"/>
      <c r="G162" s="329"/>
      <c r="H162" s="330" t="s">
        <v>330</v>
      </c>
      <c r="I162" s="329"/>
      <c r="J162" s="290"/>
      <c r="K162" s="290"/>
      <c r="L162" s="290"/>
      <c r="M162" s="294"/>
    </row>
    <row r="163" spans="1:28">
      <c r="A163" s="294"/>
      <c r="C163" s="326" t="s">
        <v>265</v>
      </c>
      <c r="D163" s="327">
        <f>MAX(D129:D160)</f>
        <v>0.92735432696895004</v>
      </c>
      <c r="E163" s="328"/>
      <c r="F163" s="329"/>
      <c r="G163" s="329"/>
      <c r="H163" s="330"/>
      <c r="I163" s="329"/>
      <c r="J163" s="290"/>
      <c r="K163" s="290"/>
      <c r="L163" s="290"/>
      <c r="M163" s="294"/>
    </row>
    <row r="165" spans="1:28">
      <c r="A165" s="241" t="s">
        <v>711</v>
      </c>
    </row>
    <row r="166" spans="1:28">
      <c r="A166" s="241" t="s">
        <v>332</v>
      </c>
    </row>
    <row r="168" spans="1:28">
      <c r="A168" s="241" t="s">
        <v>333</v>
      </c>
    </row>
    <row r="169" spans="1:28">
      <c r="A169" s="241" t="s">
        <v>712</v>
      </c>
    </row>
    <row r="170" spans="1:28" ht="15.75" customHeight="1"/>
    <row r="171" spans="1:28" s="244" customFormat="1" ht="19">
      <c r="A171" s="336" t="s">
        <v>335</v>
      </c>
    </row>
    <row r="172" spans="1:28" s="244" customFormat="1" ht="18">
      <c r="A172" s="337" t="s">
        <v>713</v>
      </c>
    </row>
    <row r="173" spans="1:28" s="244" customFormat="1" ht="16">
      <c r="A173" s="337" t="s">
        <v>714</v>
      </c>
    </row>
    <row r="174" spans="1:28" s="244" customFormat="1">
      <c r="A174" s="338" t="s">
        <v>715</v>
      </c>
    </row>
    <row r="175" spans="1:28" s="244" customFormat="1">
      <c r="A175" s="339" t="s">
        <v>716</v>
      </c>
    </row>
    <row r="176" spans="1:28" s="244" customFormat="1">
      <c r="A176" s="340" t="s">
        <v>717</v>
      </c>
    </row>
    <row r="177" spans="1:1" s="244" customFormat="1">
      <c r="A177" s="244" t="s">
        <v>718</v>
      </c>
    </row>
    <row r="178" spans="1:1" s="244" customFormat="1">
      <c r="A178" s="341" t="s">
        <v>719</v>
      </c>
    </row>
    <row r="179" spans="1:1" s="244" customFormat="1">
      <c r="A179" s="244" t="s">
        <v>720</v>
      </c>
    </row>
    <row r="180" spans="1:1" s="244" customFormat="1">
      <c r="A180" s="340" t="s">
        <v>721</v>
      </c>
    </row>
    <row r="181" spans="1:1" s="244" customFormat="1">
      <c r="A181" s="244" t="s">
        <v>722</v>
      </c>
    </row>
    <row r="182" spans="1:1" s="244" customFormat="1">
      <c r="A182" s="244" t="s">
        <v>723</v>
      </c>
    </row>
    <row r="183" spans="1:1" s="244" customFormat="1">
      <c r="A183" s="338" t="s">
        <v>724</v>
      </c>
    </row>
    <row r="184" spans="1:1" s="244" customFormat="1">
      <c r="A184" s="338" t="s">
        <v>725</v>
      </c>
    </row>
    <row r="185" spans="1:1" s="244" customFormat="1">
      <c r="A185" s="244" t="s">
        <v>726</v>
      </c>
    </row>
    <row r="186" spans="1:1" s="244" customFormat="1">
      <c r="A186" s="244" t="s">
        <v>727</v>
      </c>
    </row>
    <row r="187" spans="1:1" s="244" customFormat="1">
      <c r="A187" s="341" t="s">
        <v>728</v>
      </c>
    </row>
    <row r="188" spans="1:1" s="244" customFormat="1">
      <c r="A188" s="341" t="s">
        <v>729</v>
      </c>
    </row>
    <row r="189" spans="1:1" s="244" customFormat="1">
      <c r="A189" s="340" t="s">
        <v>730</v>
      </c>
    </row>
    <row r="190" spans="1:1" s="244" customFormat="1">
      <c r="A190" s="341" t="s">
        <v>750</v>
      </c>
    </row>
    <row r="191" spans="1:1" s="244" customFormat="1">
      <c r="A191" s="244" t="s">
        <v>751</v>
      </c>
    </row>
    <row r="192" spans="1:1" s="244" customFormat="1"/>
    <row r="193" spans="1:17">
      <c r="A193" s="342" t="s">
        <v>733</v>
      </c>
    </row>
    <row r="194" spans="1:17">
      <c r="A194" s="735"/>
      <c r="B194" s="736"/>
      <c r="C194" s="736"/>
      <c r="D194" s="736"/>
      <c r="E194" s="736"/>
      <c r="F194" s="736"/>
      <c r="G194" s="736"/>
      <c r="H194" s="736"/>
      <c r="I194" s="736"/>
      <c r="J194" s="736"/>
      <c r="K194" s="736"/>
      <c r="L194" s="736"/>
      <c r="M194" s="737"/>
      <c r="N194" s="736"/>
      <c r="O194" s="736"/>
      <c r="P194" s="736"/>
      <c r="Q194" s="738"/>
    </row>
  </sheetData>
  <pageMargins left="0" right="0" top="0" bottom="0" header="0.51180555555555496" footer="0.51180555555555496"/>
  <pageSetup scale="54" firstPageNumber="0" orientation="landscape"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AC871-395E-426B-8219-6584AED0336C}">
  <dimension ref="A1:AB194"/>
  <sheetViews>
    <sheetView zoomScale="110" zoomScaleNormal="110" workbookViewId="0">
      <selection activeCell="B4" sqref="B4:B9"/>
    </sheetView>
  </sheetViews>
  <sheetFormatPr baseColWidth="10" defaultColWidth="8.83203125" defaultRowHeight="15"/>
  <cols>
    <col min="1" max="1" width="18.83203125" style="241" customWidth="1"/>
    <col min="2" max="3" width="11.33203125" style="241" customWidth="1"/>
    <col min="4" max="4" width="7.6640625" style="241" customWidth="1"/>
    <col min="5" max="5" width="7.83203125" style="241" customWidth="1"/>
    <col min="6" max="6" width="10.1640625" style="241" customWidth="1"/>
    <col min="7" max="7" width="11.5" style="241" customWidth="1"/>
    <col min="8" max="8" width="9.1640625" style="241" customWidth="1"/>
    <col min="9" max="9" width="13.1640625" style="241" customWidth="1"/>
    <col min="10" max="10" width="4.5" style="241" customWidth="1"/>
    <col min="11" max="12" width="9.1640625" style="241" customWidth="1"/>
    <col min="13" max="13" width="9" style="244" customWidth="1"/>
    <col min="14" max="1025" width="9.1640625" style="241" customWidth="1"/>
    <col min="1026" max="16384" width="8.83203125" style="241"/>
  </cols>
  <sheetData>
    <row r="1" spans="1:25" ht="34">
      <c r="B1" s="242" t="s">
        <v>0</v>
      </c>
      <c r="C1" s="243"/>
      <c r="Y1" s="730"/>
    </row>
    <row r="2" spans="1:25" s="244" customFormat="1" ht="21">
      <c r="B2" s="731" t="s">
        <v>1</v>
      </c>
      <c r="C2" s="247"/>
      <c r="Y2" s="248"/>
    </row>
    <row r="3" spans="1:25" s="244" customFormat="1" ht="19">
      <c r="B3" s="732" t="s">
        <v>2</v>
      </c>
      <c r="C3" s="247"/>
      <c r="Y3" s="733"/>
    </row>
    <row r="4" spans="1:25">
      <c r="A4" s="734" t="s">
        <v>3</v>
      </c>
      <c r="B4" s="735"/>
      <c r="C4" s="736"/>
      <c r="D4" s="736"/>
      <c r="E4" s="736"/>
      <c r="F4" s="736"/>
      <c r="G4" s="736"/>
      <c r="H4" s="736"/>
      <c r="I4" s="736"/>
      <c r="J4" s="736"/>
      <c r="K4" s="736"/>
      <c r="L4" s="736"/>
      <c r="M4" s="737"/>
      <c r="N4" s="736"/>
      <c r="O4" s="736"/>
      <c r="P4" s="736"/>
      <c r="Q4" s="736"/>
      <c r="R4" s="738"/>
    </row>
    <row r="5" spans="1:25">
      <c r="A5" s="734" t="s">
        <v>4</v>
      </c>
      <c r="B5" s="256"/>
      <c r="C5" s="256"/>
      <c r="D5" s="256"/>
      <c r="E5" s="256"/>
      <c r="F5" s="256"/>
      <c r="G5" s="256"/>
      <c r="H5" s="256"/>
      <c r="I5" s="256"/>
      <c r="J5" s="256"/>
      <c r="K5" s="256"/>
      <c r="L5" s="256"/>
      <c r="M5" s="257"/>
      <c r="N5" s="256"/>
      <c r="O5" s="256"/>
      <c r="P5" s="256"/>
      <c r="Q5" s="256"/>
      <c r="R5" s="739"/>
    </row>
    <row r="6" spans="1:25">
      <c r="A6" s="740" t="s">
        <v>5</v>
      </c>
      <c r="B6" s="735"/>
      <c r="C6" s="736"/>
      <c r="D6" s="736"/>
      <c r="E6" s="736"/>
      <c r="F6" s="736"/>
      <c r="G6" s="736"/>
      <c r="H6" s="736"/>
      <c r="I6" s="736"/>
      <c r="J6" s="736"/>
      <c r="K6" s="736"/>
      <c r="L6" s="736"/>
      <c r="M6" s="737"/>
      <c r="N6" s="736"/>
      <c r="O6" s="736"/>
      <c r="P6" s="736"/>
      <c r="Q6" s="736"/>
      <c r="R6" s="738"/>
    </row>
    <row r="7" spans="1:25">
      <c r="A7" s="741"/>
      <c r="B7" s="742"/>
      <c r="C7" s="256"/>
      <c r="D7" s="256"/>
      <c r="E7" s="256"/>
      <c r="F7" s="256"/>
      <c r="G7" s="256"/>
      <c r="H7" s="256"/>
      <c r="I7" s="256"/>
      <c r="J7" s="256"/>
      <c r="K7" s="256"/>
      <c r="L7" s="256"/>
      <c r="M7" s="257"/>
      <c r="N7" s="256"/>
      <c r="O7" s="256"/>
      <c r="P7" s="256"/>
      <c r="Q7" s="256"/>
      <c r="R7" s="739"/>
    </row>
    <row r="8" spans="1:25">
      <c r="A8" s="740" t="s">
        <v>6</v>
      </c>
      <c r="B8" s="735"/>
      <c r="C8" s="736"/>
      <c r="D8" s="736"/>
      <c r="E8" s="736"/>
      <c r="F8" s="736"/>
      <c r="G8" s="736"/>
      <c r="H8" s="736"/>
      <c r="I8" s="736"/>
      <c r="J8" s="736"/>
      <c r="K8" s="736"/>
      <c r="L8" s="736"/>
      <c r="M8" s="737"/>
      <c r="N8" s="736"/>
      <c r="O8" s="736"/>
      <c r="P8" s="736"/>
      <c r="Q8" s="736"/>
      <c r="R8" s="738"/>
    </row>
    <row r="9" spans="1:25">
      <c r="A9" s="743" t="s">
        <v>7</v>
      </c>
      <c r="B9" s="744"/>
      <c r="C9" s="745"/>
      <c r="D9" s="745"/>
      <c r="E9" s="745"/>
      <c r="F9" s="745"/>
      <c r="G9" s="745"/>
      <c r="H9" s="745"/>
      <c r="I9" s="745"/>
      <c r="J9" s="745"/>
      <c r="K9" s="745"/>
      <c r="L9" s="745"/>
      <c r="M9" s="746"/>
      <c r="N9" s="745"/>
      <c r="O9" s="745"/>
      <c r="P9" s="745"/>
      <c r="Q9" s="745"/>
      <c r="R9" s="747"/>
    </row>
    <row r="10" spans="1:25">
      <c r="A10" s="266"/>
    </row>
    <row r="11" spans="1:25" s="267" customFormat="1" ht="26">
      <c r="A11" s="267" t="s">
        <v>689</v>
      </c>
    </row>
    <row r="12" spans="1:25">
      <c r="B12" s="268" t="s">
        <v>690</v>
      </c>
    </row>
    <row r="13" spans="1:25" s="270" customFormat="1">
      <c r="A13" s="269" t="s">
        <v>691</v>
      </c>
    </row>
    <row r="14" spans="1:25">
      <c r="B14" s="748" t="s">
        <v>32</v>
      </c>
      <c r="C14" s="241" t="s">
        <v>11</v>
      </c>
    </row>
    <row r="15" spans="1:25" s="270" customFormat="1">
      <c r="A15" s="269" t="s">
        <v>12</v>
      </c>
    </row>
    <row r="16" spans="1:25">
      <c r="B16" s="748"/>
      <c r="C16" s="241" t="s">
        <v>11</v>
      </c>
    </row>
    <row r="17" spans="1:28" s="270" customFormat="1">
      <c r="A17" s="269" t="s">
        <v>13</v>
      </c>
    </row>
    <row r="18" spans="1:28">
      <c r="B18" s="735"/>
      <c r="C18" s="736"/>
      <c r="D18" s="736"/>
      <c r="E18" s="736"/>
      <c r="F18" s="736"/>
      <c r="G18" s="736"/>
      <c r="H18" s="736"/>
      <c r="I18" s="736"/>
      <c r="J18" s="736"/>
      <c r="K18" s="736"/>
      <c r="L18" s="736"/>
      <c r="M18" s="737"/>
      <c r="N18" s="736"/>
      <c r="O18" s="736"/>
      <c r="P18" s="736"/>
      <c r="Q18" s="736"/>
      <c r="R18" s="738"/>
      <c r="S18" s="241" t="s">
        <v>15</v>
      </c>
    </row>
    <row r="20" spans="1:28" s="272" customFormat="1">
      <c r="A20" s="272" t="s">
        <v>693</v>
      </c>
    </row>
    <row r="21" spans="1:28" s="276" customFormat="1" ht="35" thickBot="1">
      <c r="A21" s="273" t="s">
        <v>694</v>
      </c>
      <c r="B21" s="274"/>
      <c r="C21" s="274"/>
      <c r="D21" s="274"/>
      <c r="E21" s="274"/>
      <c r="F21" s="274"/>
      <c r="G21" s="274"/>
      <c r="H21" s="274"/>
      <c r="I21" s="274"/>
      <c r="J21" s="274"/>
      <c r="K21" s="274"/>
      <c r="L21" s="274"/>
      <c r="M21" s="275"/>
      <c r="N21" s="244"/>
      <c r="O21" s="244"/>
      <c r="P21" s="244"/>
      <c r="Q21" s="244"/>
      <c r="R21" s="244"/>
      <c r="S21" s="244"/>
      <c r="T21" s="244"/>
      <c r="U21" s="244"/>
      <c r="V21" s="244"/>
      <c r="W21" s="244"/>
      <c r="X21" s="244"/>
      <c r="Y21" s="244"/>
      <c r="Z21" s="244"/>
      <c r="AA21" s="244"/>
      <c r="AB21" s="244"/>
    </row>
    <row r="22" spans="1:28" ht="41.25" customHeight="1" thickBot="1">
      <c r="A22" s="749" t="s">
        <v>18</v>
      </c>
      <c r="B22" s="750" t="s">
        <v>695</v>
      </c>
      <c r="C22" s="750" t="s">
        <v>696</v>
      </c>
      <c r="D22" s="750" t="s">
        <v>21</v>
      </c>
      <c r="E22" s="750" t="s">
        <v>22</v>
      </c>
      <c r="F22" s="750" t="s">
        <v>23</v>
      </c>
      <c r="G22" s="751" t="s">
        <v>697</v>
      </c>
      <c r="H22" s="751" t="s">
        <v>698</v>
      </c>
      <c r="I22" s="752"/>
      <c r="J22" s="753" t="s">
        <v>27</v>
      </c>
      <c r="K22" s="753"/>
      <c r="L22" s="753"/>
      <c r="M22" s="754" t="s">
        <v>28</v>
      </c>
      <c r="N22" s="755"/>
      <c r="O22" s="755"/>
      <c r="P22" s="755"/>
      <c r="Q22" s="755"/>
      <c r="R22" s="755"/>
      <c r="S22" s="755"/>
      <c r="T22" s="756"/>
      <c r="U22" s="276"/>
      <c r="V22" s="276"/>
      <c r="W22" s="276"/>
      <c r="X22" s="276"/>
      <c r="Y22" s="276"/>
      <c r="Z22" s="276"/>
      <c r="AA22" s="276"/>
      <c r="AB22" s="276"/>
    </row>
    <row r="23" spans="1:28">
      <c r="A23" s="285" t="s">
        <v>29</v>
      </c>
      <c r="B23" s="241">
        <v>-1.84021019935608</v>
      </c>
      <c r="C23" s="287" t="s">
        <v>30</v>
      </c>
      <c r="D23" s="288">
        <v>0.17592262140645501</v>
      </c>
      <c r="E23" s="289">
        <v>11</v>
      </c>
      <c r="F23" s="289">
        <v>258.5</v>
      </c>
      <c r="G23" s="290">
        <v>-0.86</v>
      </c>
      <c r="H23" s="291">
        <f t="shared" ref="H23:H86" si="0">0.5-G23-0.01*(F23-25)</f>
        <v>-0.97500000000000009</v>
      </c>
      <c r="I23" s="757" t="s">
        <v>31</v>
      </c>
      <c r="J23" s="758"/>
      <c r="K23" s="291"/>
      <c r="L23" s="291"/>
      <c r="M23" s="294" t="s">
        <v>33</v>
      </c>
    </row>
    <row r="24" spans="1:28">
      <c r="A24" s="295" t="s">
        <v>35</v>
      </c>
      <c r="B24" s="241">
        <v>-1.4829062223434399</v>
      </c>
      <c r="C24" s="287" t="s">
        <v>36</v>
      </c>
      <c r="D24" s="288">
        <v>0.14701293131372201</v>
      </c>
      <c r="E24" s="289">
        <v>16</v>
      </c>
      <c r="F24" s="289">
        <v>142.4</v>
      </c>
      <c r="G24" s="290">
        <v>1.31</v>
      </c>
      <c r="H24" s="291">
        <f t="shared" si="0"/>
        <v>-1.9840000000000002</v>
      </c>
      <c r="I24" s="757" t="s">
        <v>37</v>
      </c>
      <c r="J24" s="758"/>
      <c r="K24" s="291"/>
      <c r="L24" s="291"/>
      <c r="M24" s="294" t="s">
        <v>38</v>
      </c>
    </row>
    <row r="25" spans="1:28">
      <c r="A25" s="285" t="s">
        <v>40</v>
      </c>
      <c r="B25" s="241">
        <v>-1.98040676116943</v>
      </c>
      <c r="C25" s="287" t="s">
        <v>41</v>
      </c>
      <c r="D25" s="288">
        <v>0.15746026945991601</v>
      </c>
      <c r="E25" s="289">
        <v>4</v>
      </c>
      <c r="F25" s="289">
        <v>92</v>
      </c>
      <c r="G25" s="290">
        <v>2.5299999999999998</v>
      </c>
      <c r="H25" s="291">
        <f t="shared" si="0"/>
        <v>-2.6999999999999997</v>
      </c>
      <c r="I25" s="757" t="s">
        <v>42</v>
      </c>
      <c r="J25" s="758"/>
      <c r="K25" s="291"/>
      <c r="L25" s="291"/>
      <c r="M25" s="294" t="s">
        <v>43</v>
      </c>
    </row>
    <row r="26" spans="1:28">
      <c r="A26" s="295" t="s">
        <v>45</v>
      </c>
      <c r="B26" s="241">
        <v>-1.81063115596771</v>
      </c>
      <c r="C26" s="287" t="s">
        <v>46</v>
      </c>
      <c r="D26" s="288">
        <v>0.169992225074696</v>
      </c>
      <c r="E26" s="289">
        <v>3</v>
      </c>
      <c r="F26" s="289">
        <v>234</v>
      </c>
      <c r="G26" s="290">
        <v>3.19</v>
      </c>
      <c r="H26" s="291">
        <f t="shared" si="0"/>
        <v>-4.7799999999999994</v>
      </c>
      <c r="I26" s="759" t="s">
        <v>47</v>
      </c>
      <c r="J26" s="760" t="s">
        <v>32</v>
      </c>
      <c r="K26" s="291"/>
      <c r="L26" s="291"/>
      <c r="M26" s="294" t="s">
        <v>48</v>
      </c>
    </row>
    <row r="27" spans="1:28">
      <c r="A27" s="295" t="s">
        <v>50</v>
      </c>
      <c r="B27" s="241">
        <v>-4.0775504112243697</v>
      </c>
      <c r="C27" s="287" t="s">
        <v>51</v>
      </c>
      <c r="D27" s="288">
        <v>0.21168830858587201</v>
      </c>
      <c r="E27" s="289">
        <v>3</v>
      </c>
      <c r="F27" s="289">
        <v>139.25</v>
      </c>
      <c r="G27" s="290">
        <v>4.8600000000000003</v>
      </c>
      <c r="H27" s="291">
        <f t="shared" si="0"/>
        <v>-5.5025000000000004</v>
      </c>
      <c r="I27" s="759" t="s">
        <v>52</v>
      </c>
      <c r="J27" s="760"/>
      <c r="K27" s="291"/>
      <c r="L27" s="291"/>
      <c r="M27" s="294" t="s">
        <v>53</v>
      </c>
    </row>
    <row r="28" spans="1:28">
      <c r="A28" s="285" t="s">
        <v>55</v>
      </c>
      <c r="B28" s="241">
        <v>-4.5885696411132804</v>
      </c>
      <c r="C28" s="299"/>
      <c r="D28" s="288">
        <v>0.18412396392404201</v>
      </c>
      <c r="E28" s="289">
        <v>3</v>
      </c>
      <c r="F28" s="289">
        <v>224</v>
      </c>
      <c r="G28" s="290">
        <v>5.51</v>
      </c>
      <c r="H28" s="291">
        <f t="shared" si="0"/>
        <v>-7</v>
      </c>
      <c r="I28" s="759" t="s">
        <v>56</v>
      </c>
      <c r="J28" s="760"/>
      <c r="K28" s="291"/>
      <c r="L28" s="291"/>
      <c r="M28" s="294" t="s">
        <v>57</v>
      </c>
    </row>
    <row r="29" spans="1:28">
      <c r="A29" s="285" t="s">
        <v>59</v>
      </c>
      <c r="B29" s="241">
        <v>-2.5483050346374498</v>
      </c>
      <c r="C29" s="299"/>
      <c r="D29" s="288">
        <v>0.149337338745232</v>
      </c>
      <c r="E29" s="289">
        <v>6</v>
      </c>
      <c r="F29" s="289">
        <v>172.5</v>
      </c>
      <c r="G29" s="290">
        <v>1.78</v>
      </c>
      <c r="H29" s="291">
        <f t="shared" si="0"/>
        <v>-2.7549999999999999</v>
      </c>
      <c r="I29" s="759" t="s">
        <v>60</v>
      </c>
      <c r="J29" s="761"/>
      <c r="K29" s="291"/>
      <c r="L29" s="291"/>
      <c r="M29" s="294" t="s">
        <v>61</v>
      </c>
    </row>
    <row r="30" spans="1:28">
      <c r="A30" s="285" t="s">
        <v>63</v>
      </c>
      <c r="B30" s="241">
        <v>-1.1145001649856601</v>
      </c>
      <c r="C30" s="299"/>
      <c r="D30" s="288">
        <v>0.14842266063120099</v>
      </c>
      <c r="E30" s="289">
        <v>4</v>
      </c>
      <c r="F30" s="289">
        <v>207.5</v>
      </c>
      <c r="G30" s="290">
        <v>1.86</v>
      </c>
      <c r="H30" s="291">
        <f t="shared" si="0"/>
        <v>-3.1850000000000001</v>
      </c>
      <c r="I30" s="762" t="s">
        <v>64</v>
      </c>
      <c r="J30" s="763"/>
      <c r="K30" s="764"/>
      <c r="L30" s="765"/>
      <c r="M30" s="294" t="s">
        <v>65</v>
      </c>
    </row>
    <row r="31" spans="1:28">
      <c r="A31" s="305" t="s">
        <v>66</v>
      </c>
      <c r="B31" s="241">
        <v>-1.58092677593231</v>
      </c>
      <c r="C31" s="299"/>
      <c r="D31" s="288">
        <v>0.16179731069006001</v>
      </c>
      <c r="E31" s="289">
        <v>10</v>
      </c>
      <c r="F31" s="289">
        <v>166.5</v>
      </c>
      <c r="G31" s="290">
        <v>0.79</v>
      </c>
      <c r="H31" s="291">
        <f t="shared" si="0"/>
        <v>-1.7050000000000001</v>
      </c>
      <c r="J31" s="291"/>
      <c r="K31" s="291"/>
      <c r="L31" s="291"/>
      <c r="M31" s="294" t="s">
        <v>67</v>
      </c>
    </row>
    <row r="32" spans="1:28">
      <c r="A32" s="295" t="s">
        <v>68</v>
      </c>
      <c r="B32" s="241">
        <v>-2.6942138671875</v>
      </c>
      <c r="C32" s="299"/>
      <c r="D32" s="288">
        <v>0.21543706061278201</v>
      </c>
      <c r="E32" s="289">
        <v>6</v>
      </c>
      <c r="F32" s="289">
        <v>231.5</v>
      </c>
      <c r="G32" s="290">
        <v>2.4300000000000002</v>
      </c>
      <c r="H32" s="291">
        <f t="shared" si="0"/>
        <v>-3.9950000000000001</v>
      </c>
      <c r="I32" s="766" t="s">
        <v>69</v>
      </c>
      <c r="J32" s="767"/>
      <c r="K32" s="767"/>
      <c r="L32" s="768"/>
      <c r="M32" s="294" t="s">
        <v>70</v>
      </c>
    </row>
    <row r="33" spans="1:13">
      <c r="A33" s="295" t="s">
        <v>71</v>
      </c>
      <c r="B33" s="241">
        <v>-2.59093046188354</v>
      </c>
      <c r="C33" s="299"/>
      <c r="D33" s="288">
        <v>0.129125206050696</v>
      </c>
      <c r="E33" s="289">
        <v>3</v>
      </c>
      <c r="F33" s="309">
        <v>192.7</v>
      </c>
      <c r="G33" s="290">
        <v>2.63</v>
      </c>
      <c r="H33" s="291">
        <f t="shared" si="0"/>
        <v>-3.8069999999999995</v>
      </c>
      <c r="I33" s="769" t="s">
        <v>1058</v>
      </c>
      <c r="J33" s="770"/>
      <c r="K33" s="770"/>
      <c r="L33" s="771"/>
      <c r="M33" s="294" t="s">
        <v>72</v>
      </c>
    </row>
    <row r="34" spans="1:13">
      <c r="A34" s="285" t="s">
        <v>74</v>
      </c>
      <c r="B34" s="241">
        <v>-5.8060770034790004</v>
      </c>
      <c r="C34" s="299"/>
      <c r="D34" s="288">
        <v>0.14911462098310899</v>
      </c>
      <c r="E34" s="289">
        <v>6</v>
      </c>
      <c r="F34" s="289">
        <v>167</v>
      </c>
      <c r="G34" s="290">
        <v>6.32</v>
      </c>
      <c r="H34" s="291">
        <f t="shared" si="0"/>
        <v>-7.24</v>
      </c>
      <c r="I34" s="772"/>
      <c r="J34" s="314"/>
      <c r="K34" s="314"/>
      <c r="L34" s="773"/>
      <c r="M34" s="294" t="s">
        <v>75</v>
      </c>
    </row>
    <row r="35" spans="1:13">
      <c r="A35" s="295" t="s">
        <v>77</v>
      </c>
      <c r="B35" s="241">
        <v>-2.2467608451843302</v>
      </c>
      <c r="C35" s="299"/>
      <c r="D35" s="288">
        <v>0.15809078703524701</v>
      </c>
      <c r="E35" s="289">
        <v>15</v>
      </c>
      <c r="F35" s="289">
        <v>191.5</v>
      </c>
      <c r="G35" s="290">
        <v>3.39</v>
      </c>
      <c r="H35" s="291">
        <f t="shared" si="0"/>
        <v>-4.5549999999999997</v>
      </c>
      <c r="I35" s="772"/>
      <c r="J35" s="314"/>
      <c r="K35" s="314"/>
      <c r="L35" s="773"/>
      <c r="M35" s="294" t="s">
        <v>78</v>
      </c>
    </row>
    <row r="36" spans="1:13">
      <c r="A36" s="305" t="s">
        <v>80</v>
      </c>
      <c r="B36" s="241">
        <v>-1.768709897995</v>
      </c>
      <c r="C36" s="299"/>
      <c r="D36" s="288">
        <v>0.191150308906822</v>
      </c>
      <c r="E36" s="289">
        <v>3</v>
      </c>
      <c r="F36" s="289">
        <v>246.2</v>
      </c>
      <c r="G36" s="290">
        <v>3.32</v>
      </c>
      <c r="H36" s="291">
        <f t="shared" si="0"/>
        <v>-5.032</v>
      </c>
      <c r="I36" s="774"/>
      <c r="J36" s="314"/>
      <c r="K36" s="314"/>
      <c r="L36" s="773"/>
      <c r="M36" s="294" t="s">
        <v>81</v>
      </c>
    </row>
    <row r="37" spans="1:13">
      <c r="A37" s="305" t="s">
        <v>73</v>
      </c>
      <c r="B37" s="241">
        <v>-1.1555745601654099</v>
      </c>
      <c r="C37" s="299"/>
      <c r="D37" s="288">
        <v>0.19050575600734301</v>
      </c>
      <c r="E37" s="289">
        <v>4</v>
      </c>
      <c r="F37" s="289">
        <v>304</v>
      </c>
      <c r="G37" s="290">
        <v>1.74</v>
      </c>
      <c r="H37" s="291">
        <f t="shared" si="0"/>
        <v>-4.03</v>
      </c>
      <c r="I37" s="774"/>
      <c r="J37" s="314"/>
      <c r="K37" s="314"/>
      <c r="L37" s="773"/>
      <c r="M37" s="294" t="s">
        <v>83</v>
      </c>
    </row>
    <row r="38" spans="1:13">
      <c r="A38" s="285" t="s">
        <v>76</v>
      </c>
      <c r="B38" s="241">
        <v>-1.81064188480377</v>
      </c>
      <c r="C38" s="299"/>
      <c r="D38" s="288">
        <v>0.13682393527498099</v>
      </c>
      <c r="E38" s="289">
        <v>7</v>
      </c>
      <c r="F38" s="289">
        <v>187</v>
      </c>
      <c r="G38" s="290">
        <v>-0.87</v>
      </c>
      <c r="H38" s="291">
        <f t="shared" si="0"/>
        <v>-0.25</v>
      </c>
      <c r="I38" s="774"/>
      <c r="J38" s="314"/>
      <c r="K38" s="314"/>
      <c r="L38" s="773"/>
      <c r="M38" s="775" t="s">
        <v>85</v>
      </c>
    </row>
    <row r="39" spans="1:13">
      <c r="A39" s="285" t="s">
        <v>87</v>
      </c>
      <c r="B39" s="241">
        <v>-2.2400145530700701</v>
      </c>
      <c r="C39" s="299"/>
      <c r="D39" s="288">
        <v>0.20462356367491999</v>
      </c>
      <c r="E39" s="289">
        <v>4</v>
      </c>
      <c r="F39" s="289">
        <v>221.5</v>
      </c>
      <c r="G39" s="290">
        <v>0.71</v>
      </c>
      <c r="H39" s="291">
        <f t="shared" si="0"/>
        <v>-2.1749999999999998</v>
      </c>
      <c r="I39" s="774"/>
      <c r="J39" s="314"/>
      <c r="K39" s="314"/>
      <c r="L39" s="773"/>
      <c r="M39" s="294" t="s">
        <v>88</v>
      </c>
    </row>
    <row r="40" spans="1:13">
      <c r="A40" s="285" t="s">
        <v>90</v>
      </c>
      <c r="B40" s="241">
        <v>-3.2906568050384499</v>
      </c>
      <c r="C40" s="299"/>
      <c r="D40" s="288">
        <v>0.182746025644656</v>
      </c>
      <c r="E40" s="289">
        <v>6</v>
      </c>
      <c r="F40" s="289">
        <v>157.833333333333</v>
      </c>
      <c r="G40" s="290">
        <v>3.51</v>
      </c>
      <c r="H40" s="291">
        <f t="shared" si="0"/>
        <v>-4.3383333333333294</v>
      </c>
      <c r="I40" s="774"/>
      <c r="J40" s="256"/>
      <c r="K40" s="256"/>
      <c r="L40" s="739"/>
      <c r="M40" s="294" t="s">
        <v>91</v>
      </c>
    </row>
    <row r="41" spans="1:13">
      <c r="A41" s="295" t="s">
        <v>93</v>
      </c>
      <c r="B41" s="241">
        <v>-2.0676755905151398</v>
      </c>
      <c r="C41" s="299"/>
      <c r="D41" s="288">
        <v>0.12610247911779701</v>
      </c>
      <c r="E41" s="289">
        <v>8</v>
      </c>
      <c r="F41" s="289">
        <v>140</v>
      </c>
      <c r="G41" s="290">
        <v>0.35</v>
      </c>
      <c r="H41" s="291">
        <f t="shared" si="0"/>
        <v>-1</v>
      </c>
      <c r="I41" s="774"/>
      <c r="J41" s="256"/>
      <c r="K41" s="256"/>
      <c r="L41" s="739"/>
      <c r="M41" s="294" t="s">
        <v>94</v>
      </c>
    </row>
    <row r="42" spans="1:13">
      <c r="A42" s="295" t="s">
        <v>96</v>
      </c>
      <c r="B42" s="241">
        <v>-2.2435426712036102</v>
      </c>
      <c r="C42" s="299"/>
      <c r="D42" s="288">
        <v>0.14493441954544001</v>
      </c>
      <c r="E42" s="289">
        <v>7</v>
      </c>
      <c r="F42" s="289">
        <v>127.933333333333</v>
      </c>
      <c r="G42" s="290">
        <v>1.74</v>
      </c>
      <c r="H42" s="291">
        <f t="shared" si="0"/>
        <v>-2.2693333333333299</v>
      </c>
      <c r="I42" s="774"/>
      <c r="J42" s="256"/>
      <c r="K42" s="256"/>
      <c r="L42" s="739"/>
      <c r="M42" s="294" t="s">
        <v>97</v>
      </c>
    </row>
    <row r="43" spans="1:13">
      <c r="A43" s="295" t="s">
        <v>79</v>
      </c>
      <c r="B43" s="241">
        <v>-3.2644686698913601</v>
      </c>
      <c r="C43" s="299"/>
      <c r="D43" s="288">
        <v>0.148613886268708</v>
      </c>
      <c r="E43" s="289">
        <v>7</v>
      </c>
      <c r="F43" s="289">
        <v>176</v>
      </c>
      <c r="G43" s="290">
        <v>4.4800000000000004</v>
      </c>
      <c r="H43" s="291">
        <f t="shared" si="0"/>
        <v>-5.49</v>
      </c>
      <c r="I43" s="774"/>
      <c r="J43" s="256"/>
      <c r="K43" s="256"/>
      <c r="L43" s="739"/>
      <c r="M43" s="294" t="s">
        <v>99</v>
      </c>
    </row>
    <row r="44" spans="1:13">
      <c r="A44" s="285" t="s">
        <v>101</v>
      </c>
      <c r="B44" s="241">
        <v>-3.2361533641815199</v>
      </c>
      <c r="C44" s="299"/>
      <c r="D44" s="288">
        <v>0.12807114954002</v>
      </c>
      <c r="E44" s="289">
        <v>3</v>
      </c>
      <c r="F44" s="289">
        <v>159.69999999999999</v>
      </c>
      <c r="G44" s="290">
        <v>3.46</v>
      </c>
      <c r="H44" s="291">
        <f t="shared" si="0"/>
        <v>-4.3070000000000004</v>
      </c>
      <c r="I44" s="774"/>
      <c r="J44" s="256"/>
      <c r="K44" s="256"/>
      <c r="L44" s="739"/>
      <c r="M44" s="294" t="s">
        <v>102</v>
      </c>
    </row>
    <row r="45" spans="1:13">
      <c r="A45" s="295" t="s">
        <v>104</v>
      </c>
      <c r="B45" s="241">
        <v>-1.7193852663040201</v>
      </c>
      <c r="C45" s="299"/>
      <c r="D45" s="288">
        <v>0.21683500301481101</v>
      </c>
      <c r="E45" s="289">
        <v>8</v>
      </c>
      <c r="F45" s="289">
        <v>142</v>
      </c>
      <c r="G45" s="290">
        <v>0.6</v>
      </c>
      <c r="H45" s="291">
        <f t="shared" si="0"/>
        <v>-1.27</v>
      </c>
      <c r="I45" s="774"/>
      <c r="J45" s="256"/>
      <c r="K45" s="256"/>
      <c r="L45" s="739"/>
      <c r="M45" s="294" t="s">
        <v>105</v>
      </c>
    </row>
    <row r="46" spans="1:13">
      <c r="A46" s="295" t="s">
        <v>107</v>
      </c>
      <c r="B46" s="241">
        <v>-2.4024422168731698</v>
      </c>
      <c r="C46" s="299"/>
      <c r="D46" s="288">
        <v>0.18255878892749899</v>
      </c>
      <c r="E46" s="289">
        <v>20</v>
      </c>
      <c r="F46" s="289">
        <v>267</v>
      </c>
      <c r="G46" s="290">
        <v>1.58</v>
      </c>
      <c r="H46" s="291">
        <f t="shared" si="0"/>
        <v>-3.5</v>
      </c>
      <c r="I46" s="774"/>
      <c r="J46" s="256"/>
      <c r="K46" s="256"/>
      <c r="L46" s="739"/>
      <c r="M46" s="294" t="s">
        <v>108</v>
      </c>
    </row>
    <row r="47" spans="1:13">
      <c r="A47" s="285" t="s">
        <v>110</v>
      </c>
      <c r="B47" s="241">
        <v>-4.46051073074341</v>
      </c>
      <c r="C47" s="299"/>
      <c r="D47" s="288">
        <v>0.16704647063532599</v>
      </c>
      <c r="E47" s="289">
        <v>6</v>
      </c>
      <c r="F47" s="289">
        <v>110</v>
      </c>
      <c r="G47" s="290">
        <v>3.36</v>
      </c>
      <c r="H47" s="291">
        <f t="shared" si="0"/>
        <v>-3.71</v>
      </c>
      <c r="I47" s="774"/>
      <c r="J47" s="256"/>
      <c r="K47" s="256"/>
      <c r="L47" s="739"/>
      <c r="M47" s="294" t="s">
        <v>111</v>
      </c>
    </row>
    <row r="48" spans="1:13">
      <c r="A48" s="295" t="s">
        <v>82</v>
      </c>
      <c r="B48" s="241">
        <v>-2.6501886844635001</v>
      </c>
      <c r="C48" s="299"/>
      <c r="D48" s="288">
        <v>0.1716450131236</v>
      </c>
      <c r="E48" s="289">
        <v>7</v>
      </c>
      <c r="F48" s="289">
        <v>182</v>
      </c>
      <c r="G48" s="290">
        <v>2.67</v>
      </c>
      <c r="H48" s="291">
        <f t="shared" si="0"/>
        <v>-3.74</v>
      </c>
      <c r="I48" s="774"/>
      <c r="J48" s="256"/>
      <c r="K48" s="256"/>
      <c r="L48" s="739"/>
      <c r="M48" s="294" t="s">
        <v>113</v>
      </c>
    </row>
    <row r="49" spans="1:13">
      <c r="A49" s="295" t="s">
        <v>115</v>
      </c>
      <c r="B49" s="241">
        <v>-2.48166060447693</v>
      </c>
      <c r="C49" s="299"/>
      <c r="D49" s="288">
        <v>0.12558353028546099</v>
      </c>
      <c r="E49" s="289">
        <v>4</v>
      </c>
      <c r="F49" s="289">
        <v>222</v>
      </c>
      <c r="G49" s="290">
        <v>2.56</v>
      </c>
      <c r="H49" s="291">
        <f t="shared" si="0"/>
        <v>-4.03</v>
      </c>
      <c r="I49" s="774"/>
      <c r="J49" s="256"/>
      <c r="K49" s="256"/>
      <c r="L49" s="739"/>
      <c r="M49" s="294" t="s">
        <v>116</v>
      </c>
    </row>
    <row r="50" spans="1:13">
      <c r="A50" s="295" t="s">
        <v>118</v>
      </c>
      <c r="B50" s="241">
        <v>-3.0846815109252899</v>
      </c>
      <c r="C50" s="299"/>
      <c r="D50" s="288">
        <v>0.15681339906647901</v>
      </c>
      <c r="E50" s="289">
        <v>6</v>
      </c>
      <c r="F50" s="289">
        <v>151</v>
      </c>
      <c r="G50" s="290">
        <v>3.27</v>
      </c>
      <c r="H50" s="291">
        <f t="shared" si="0"/>
        <v>-4.03</v>
      </c>
      <c r="I50" s="774"/>
      <c r="J50" s="256"/>
      <c r="K50" s="256"/>
      <c r="L50" s="739"/>
      <c r="M50" s="294" t="s">
        <v>119</v>
      </c>
    </row>
    <row r="51" spans="1:13">
      <c r="A51" s="285" t="s">
        <v>84</v>
      </c>
      <c r="B51" s="241">
        <v>-1.76612567901611</v>
      </c>
      <c r="C51" s="299"/>
      <c r="D51" s="288">
        <v>0.12789394574374299</v>
      </c>
      <c r="E51" s="289">
        <v>5</v>
      </c>
      <c r="F51" s="289">
        <v>330</v>
      </c>
      <c r="G51" s="290">
        <v>2.87</v>
      </c>
      <c r="H51" s="291">
        <f t="shared" si="0"/>
        <v>-5.42</v>
      </c>
      <c r="I51" s="774"/>
      <c r="J51" s="256"/>
      <c r="K51" s="256"/>
      <c r="L51" s="739"/>
      <c r="M51" s="294" t="s">
        <v>120</v>
      </c>
    </row>
    <row r="52" spans="1:13">
      <c r="A52" s="295" t="s">
        <v>121</v>
      </c>
      <c r="B52" s="241">
        <v>-1.6549211740493801</v>
      </c>
      <c r="C52" s="299"/>
      <c r="D52" s="288">
        <v>0.18012800124370401</v>
      </c>
      <c r="E52" s="289">
        <v>3</v>
      </c>
      <c r="F52" s="289">
        <v>100</v>
      </c>
      <c r="G52" s="290">
        <v>3.53</v>
      </c>
      <c r="H52" s="291">
        <f t="shared" si="0"/>
        <v>-3.78</v>
      </c>
      <c r="I52" s="772"/>
      <c r="J52" s="314"/>
      <c r="K52" s="314"/>
      <c r="L52" s="773"/>
      <c r="M52" s="294" t="s">
        <v>122</v>
      </c>
    </row>
    <row r="53" spans="1:13">
      <c r="A53" s="285" t="s">
        <v>123</v>
      </c>
      <c r="B53" s="241">
        <v>-2.0451493263244598</v>
      </c>
      <c r="C53" s="299"/>
      <c r="D53" s="288">
        <v>0.180621047507217</v>
      </c>
      <c r="E53" s="289">
        <v>16</v>
      </c>
      <c r="F53" s="289">
        <v>262.5</v>
      </c>
      <c r="G53" s="290">
        <v>1.9</v>
      </c>
      <c r="H53" s="291">
        <f t="shared" si="0"/>
        <v>-3.7749999999999999</v>
      </c>
      <c r="I53" s="772"/>
      <c r="J53" s="314"/>
      <c r="K53" s="314"/>
      <c r="L53" s="773"/>
      <c r="M53" s="294" t="s">
        <v>124</v>
      </c>
    </row>
    <row r="54" spans="1:13">
      <c r="A54" s="295" t="s">
        <v>125</v>
      </c>
      <c r="B54" s="241">
        <v>-2.3798146247863801</v>
      </c>
      <c r="C54" s="299"/>
      <c r="D54" s="288">
        <v>0.2215624426866</v>
      </c>
      <c r="E54" s="289">
        <v>4</v>
      </c>
      <c r="F54" s="289">
        <v>328.85</v>
      </c>
      <c r="G54" s="290">
        <v>1.87</v>
      </c>
      <c r="H54" s="291">
        <f t="shared" si="0"/>
        <v>-4.4085000000000001</v>
      </c>
      <c r="I54" s="772"/>
      <c r="J54" s="314"/>
      <c r="K54" s="314"/>
      <c r="L54" s="773"/>
      <c r="M54" s="294" t="s">
        <v>126</v>
      </c>
    </row>
    <row r="55" spans="1:13">
      <c r="A55" s="295" t="s">
        <v>127</v>
      </c>
      <c r="B55" s="241">
        <v>-3.2287185192108199</v>
      </c>
      <c r="C55" s="299"/>
      <c r="D55" s="288">
        <v>0.184508117807134</v>
      </c>
      <c r="E55" s="289">
        <v>33</v>
      </c>
      <c r="F55" s="289">
        <v>167.5</v>
      </c>
      <c r="G55" s="290">
        <v>4.3600000000000003</v>
      </c>
      <c r="H55" s="291">
        <f t="shared" si="0"/>
        <v>-5.2850000000000001</v>
      </c>
      <c r="I55" s="772"/>
      <c r="J55" s="314"/>
      <c r="K55" s="314"/>
      <c r="L55" s="773"/>
      <c r="M55" s="294" t="s">
        <v>128</v>
      </c>
    </row>
    <row r="56" spans="1:13">
      <c r="A56" s="295" t="s">
        <v>86</v>
      </c>
      <c r="B56" s="241">
        <v>-3.7832443714141801</v>
      </c>
      <c r="C56" s="299"/>
      <c r="D56" s="288">
        <v>0.15609203233531499</v>
      </c>
      <c r="E56" s="289">
        <v>3</v>
      </c>
      <c r="F56" s="289">
        <v>223</v>
      </c>
      <c r="G56" s="290">
        <v>2.99</v>
      </c>
      <c r="H56" s="291">
        <f t="shared" si="0"/>
        <v>-4.4700000000000006</v>
      </c>
      <c r="I56" s="772"/>
      <c r="J56" s="314"/>
      <c r="K56" s="314"/>
      <c r="L56" s="773"/>
      <c r="M56" s="294" t="s">
        <v>129</v>
      </c>
    </row>
    <row r="57" spans="1:13">
      <c r="A57" s="295" t="s">
        <v>89</v>
      </c>
      <c r="B57" s="241">
        <v>-3.5067157745361301</v>
      </c>
      <c r="C57" s="299"/>
      <c r="D57" s="288">
        <v>0.20872343532408</v>
      </c>
      <c r="E57" s="289">
        <v>3</v>
      </c>
      <c r="F57" s="289">
        <v>210.5</v>
      </c>
      <c r="G57" s="290">
        <v>2.72</v>
      </c>
      <c r="H57" s="291">
        <f t="shared" si="0"/>
        <v>-4.0750000000000002</v>
      </c>
      <c r="I57" s="742"/>
      <c r="J57" s="776"/>
      <c r="K57" s="776"/>
      <c r="L57" s="777"/>
      <c r="M57" s="294" t="s">
        <v>130</v>
      </c>
    </row>
    <row r="58" spans="1:13">
      <c r="A58" s="295" t="s">
        <v>131</v>
      </c>
      <c r="B58" s="241">
        <v>-2.0175914764404301</v>
      </c>
      <c r="C58" s="299"/>
      <c r="D58" s="288">
        <v>0.12973190134165599</v>
      </c>
      <c r="E58" s="289">
        <v>3</v>
      </c>
      <c r="F58" s="289">
        <v>209.75</v>
      </c>
      <c r="G58" s="290">
        <v>3.37</v>
      </c>
      <c r="H58" s="291">
        <f t="shared" si="0"/>
        <v>-4.7175000000000002</v>
      </c>
      <c r="J58" s="291"/>
      <c r="K58" s="291"/>
      <c r="L58" s="291"/>
      <c r="M58" s="294" t="s">
        <v>132</v>
      </c>
    </row>
    <row r="59" spans="1:13">
      <c r="A59" s="285" t="s">
        <v>92</v>
      </c>
      <c r="B59" s="241">
        <v>-1.87416803836823</v>
      </c>
      <c r="C59" s="299"/>
      <c r="D59" s="288">
        <v>0.14124198841117799</v>
      </c>
      <c r="E59" s="289">
        <v>3</v>
      </c>
      <c r="F59" s="289">
        <v>53.5</v>
      </c>
      <c r="G59" s="290">
        <v>3.43</v>
      </c>
      <c r="H59" s="291">
        <f t="shared" si="0"/>
        <v>-3.2150000000000003</v>
      </c>
      <c r="I59" s="778" t="s">
        <v>133</v>
      </c>
      <c r="J59" s="763"/>
      <c r="K59" s="765"/>
      <c r="L59" s="291"/>
      <c r="M59" s="294" t="s">
        <v>134</v>
      </c>
    </row>
    <row r="60" spans="1:13">
      <c r="A60" s="285" t="s">
        <v>135</v>
      </c>
      <c r="B60" s="241">
        <v>0.150826275348663</v>
      </c>
      <c r="C60" s="299"/>
      <c r="D60" s="288">
        <v>0.170692818664089</v>
      </c>
      <c r="E60" s="289">
        <v>6</v>
      </c>
      <c r="F60" s="289">
        <v>270</v>
      </c>
      <c r="G60" s="290">
        <v>0.05</v>
      </c>
      <c r="H60" s="291">
        <f t="shared" si="0"/>
        <v>-2</v>
      </c>
      <c r="I60" s="778" t="s">
        <v>136</v>
      </c>
      <c r="J60" s="763"/>
      <c r="K60" s="765"/>
      <c r="L60" s="291"/>
      <c r="M60" s="294" t="s">
        <v>137</v>
      </c>
    </row>
    <row r="61" spans="1:13">
      <c r="A61" s="295" t="s">
        <v>138</v>
      </c>
      <c r="B61" s="241">
        <v>-0.58994793891906705</v>
      </c>
      <c r="C61" s="299"/>
      <c r="D61" s="288">
        <v>0.206147596831632</v>
      </c>
      <c r="E61" s="289">
        <v>3</v>
      </c>
      <c r="F61" s="289">
        <v>143.75</v>
      </c>
      <c r="G61" s="290">
        <v>1.6</v>
      </c>
      <c r="H61" s="291">
        <f t="shared" si="0"/>
        <v>-2.2875000000000001</v>
      </c>
      <c r="I61" s="778" t="s">
        <v>139</v>
      </c>
      <c r="J61" s="779">
        <f>COUNTA(A23:A122)</f>
        <v>100</v>
      </c>
      <c r="K61" s="765"/>
      <c r="L61" s="291"/>
      <c r="M61" s="294" t="s">
        <v>140</v>
      </c>
    </row>
    <row r="62" spans="1:13">
      <c r="A62" s="285" t="s">
        <v>141</v>
      </c>
      <c r="B62" s="241">
        <v>-2.33747434616089</v>
      </c>
      <c r="C62" s="299"/>
      <c r="D62" s="288">
        <v>0.180214226227635</v>
      </c>
      <c r="E62" s="289">
        <v>5</v>
      </c>
      <c r="F62" s="289">
        <v>214.5</v>
      </c>
      <c r="G62" s="290">
        <v>3.61</v>
      </c>
      <c r="H62" s="291">
        <f t="shared" si="0"/>
        <v>-5.0049999999999999</v>
      </c>
      <c r="I62" s="291"/>
      <c r="J62" s="291"/>
      <c r="K62" s="291"/>
      <c r="L62" s="291"/>
      <c r="M62" s="294" t="s">
        <v>142</v>
      </c>
    </row>
    <row r="63" spans="1:13">
      <c r="A63" s="295" t="s">
        <v>143</v>
      </c>
      <c r="B63" s="241">
        <v>-2.7430794239044198</v>
      </c>
      <c r="C63" s="299"/>
      <c r="D63" s="288">
        <v>0.19225415374507401</v>
      </c>
      <c r="E63" s="289">
        <v>8</v>
      </c>
      <c r="F63" s="289">
        <v>255.3</v>
      </c>
      <c r="G63" s="290">
        <v>3.82</v>
      </c>
      <c r="H63" s="291">
        <f t="shared" si="0"/>
        <v>-5.6230000000000002</v>
      </c>
      <c r="I63" s="780" t="s">
        <v>144</v>
      </c>
      <c r="J63" s="767"/>
      <c r="K63" s="767"/>
      <c r="L63" s="768"/>
      <c r="M63" s="294" t="s">
        <v>145</v>
      </c>
    </row>
    <row r="64" spans="1:13">
      <c r="A64" s="295" t="s">
        <v>146</v>
      </c>
      <c r="B64" s="241">
        <v>-3.1594595909118701</v>
      </c>
      <c r="C64" s="299"/>
      <c r="D64" s="288">
        <v>0.17</v>
      </c>
      <c r="E64" s="289">
        <v>3</v>
      </c>
      <c r="F64" s="289">
        <v>189</v>
      </c>
      <c r="G64" s="290">
        <v>1.34</v>
      </c>
      <c r="H64" s="291">
        <f t="shared" si="0"/>
        <v>-2.4800000000000004</v>
      </c>
      <c r="I64" s="769" t="s">
        <v>1059</v>
      </c>
      <c r="J64" s="770"/>
      <c r="K64" s="770"/>
      <c r="L64" s="771"/>
      <c r="M64" s="294" t="s">
        <v>148</v>
      </c>
    </row>
    <row r="65" spans="1:13">
      <c r="A65" s="295" t="s">
        <v>149</v>
      </c>
      <c r="B65" s="241">
        <v>-2.12251973152161</v>
      </c>
      <c r="C65" s="299"/>
      <c r="D65" s="288">
        <v>0.19794493160510701</v>
      </c>
      <c r="E65" s="289">
        <v>4</v>
      </c>
      <c r="F65" s="289">
        <v>243.5</v>
      </c>
      <c r="G65" s="290">
        <v>1.34</v>
      </c>
      <c r="H65" s="291">
        <f t="shared" si="0"/>
        <v>-3.0250000000000004</v>
      </c>
      <c r="I65" s="772"/>
      <c r="J65" s="314"/>
      <c r="K65" s="314"/>
      <c r="L65" s="773"/>
      <c r="M65" s="294" t="s">
        <v>151</v>
      </c>
    </row>
    <row r="66" spans="1:13">
      <c r="A66" s="285" t="s">
        <v>95</v>
      </c>
      <c r="B66" s="241">
        <v>-1.59994339942932</v>
      </c>
      <c r="C66" s="299"/>
      <c r="D66" s="288">
        <v>0.210560990742934</v>
      </c>
      <c r="E66" s="289">
        <v>3</v>
      </c>
      <c r="F66" s="289">
        <v>36.5</v>
      </c>
      <c r="G66" s="290">
        <v>2.74</v>
      </c>
      <c r="H66" s="291">
        <f t="shared" si="0"/>
        <v>-2.3550000000000004</v>
      </c>
      <c r="I66" s="772"/>
      <c r="J66" s="314"/>
      <c r="K66" s="314"/>
      <c r="L66" s="773"/>
      <c r="M66" s="294" t="s">
        <v>152</v>
      </c>
    </row>
    <row r="67" spans="1:13">
      <c r="A67" s="305" t="s">
        <v>153</v>
      </c>
      <c r="B67" s="241">
        <v>-2.8349535465240501</v>
      </c>
      <c r="C67" s="299"/>
      <c r="D67" s="288">
        <v>0.21092434073951899</v>
      </c>
      <c r="E67" s="289">
        <v>10</v>
      </c>
      <c r="F67" s="289">
        <v>186</v>
      </c>
      <c r="G67" s="290">
        <v>3.4</v>
      </c>
      <c r="H67" s="291">
        <f t="shared" si="0"/>
        <v>-4.51</v>
      </c>
      <c r="I67" s="772"/>
      <c r="J67" s="314"/>
      <c r="K67" s="314"/>
      <c r="L67" s="773"/>
      <c r="M67" s="294" t="s">
        <v>154</v>
      </c>
    </row>
    <row r="68" spans="1:13">
      <c r="A68" s="285" t="s">
        <v>98</v>
      </c>
      <c r="B68" s="241">
        <v>-2.65537810325623</v>
      </c>
      <c r="C68" s="299"/>
      <c r="D68" s="288">
        <v>0.18695478693957199</v>
      </c>
      <c r="E68" s="289">
        <v>3</v>
      </c>
      <c r="F68" s="289">
        <v>253</v>
      </c>
      <c r="G68" s="290">
        <v>2.35</v>
      </c>
      <c r="H68" s="291">
        <f t="shared" si="0"/>
        <v>-4.1300000000000008</v>
      </c>
      <c r="I68" s="772"/>
      <c r="J68" s="314"/>
      <c r="K68" s="314"/>
      <c r="L68" s="773"/>
      <c r="M68" s="294" t="s">
        <v>155</v>
      </c>
    </row>
    <row r="69" spans="1:13">
      <c r="A69" s="305" t="s">
        <v>156</v>
      </c>
      <c r="B69" s="241">
        <v>-2.5099940299987802</v>
      </c>
      <c r="C69" s="299"/>
      <c r="D69" s="288">
        <v>0.20491085989689101</v>
      </c>
      <c r="E69" s="289">
        <v>23</v>
      </c>
      <c r="F69" s="289">
        <v>111</v>
      </c>
      <c r="G69" s="290">
        <v>3.68</v>
      </c>
      <c r="H69" s="291">
        <f t="shared" si="0"/>
        <v>-4.04</v>
      </c>
      <c r="I69" s="772"/>
      <c r="J69" s="314"/>
      <c r="K69" s="314"/>
      <c r="L69" s="773"/>
      <c r="M69" s="294" t="s">
        <v>157</v>
      </c>
    </row>
    <row r="70" spans="1:13">
      <c r="A70" s="285" t="s">
        <v>158</v>
      </c>
      <c r="B70" s="241">
        <v>-2.8626112937927202</v>
      </c>
      <c r="C70" s="299"/>
      <c r="D70" s="288">
        <v>0.15545016183846899</v>
      </c>
      <c r="E70" s="289">
        <v>6</v>
      </c>
      <c r="F70" s="289">
        <v>250</v>
      </c>
      <c r="G70" s="290">
        <v>-0.04</v>
      </c>
      <c r="H70" s="291">
        <f t="shared" si="0"/>
        <v>-1.71</v>
      </c>
      <c r="I70" s="772"/>
      <c r="J70" s="314"/>
      <c r="K70" s="314"/>
      <c r="L70" s="773"/>
      <c r="M70" s="294" t="s">
        <v>159</v>
      </c>
    </row>
    <row r="71" spans="1:13">
      <c r="A71" s="295" t="s">
        <v>160</v>
      </c>
      <c r="B71" s="241">
        <v>-0.42670556902885398</v>
      </c>
      <c r="C71" s="299"/>
      <c r="D71" s="288">
        <v>0.13261436390895101</v>
      </c>
      <c r="E71" s="289">
        <v>3</v>
      </c>
      <c r="F71" s="289">
        <v>250</v>
      </c>
      <c r="G71" s="290">
        <v>-1.97</v>
      </c>
      <c r="H71" s="291">
        <f t="shared" si="0"/>
        <v>0.21999999999999975</v>
      </c>
      <c r="I71" s="772"/>
      <c r="J71" s="314"/>
      <c r="K71" s="314"/>
      <c r="L71" s="773"/>
      <c r="M71" s="294" t="s">
        <v>161</v>
      </c>
    </row>
    <row r="72" spans="1:13">
      <c r="A72" s="295" t="s">
        <v>162</v>
      </c>
      <c r="B72" s="241">
        <v>-4.5123710632324201</v>
      </c>
      <c r="C72" s="299"/>
      <c r="D72" s="288">
        <v>0.21159815676624999</v>
      </c>
      <c r="E72" s="289">
        <v>9</v>
      </c>
      <c r="F72" s="289">
        <v>208.5</v>
      </c>
      <c r="G72" s="290">
        <v>2.08</v>
      </c>
      <c r="H72" s="291">
        <f t="shared" si="0"/>
        <v>-3.415</v>
      </c>
      <c r="I72" s="772"/>
      <c r="J72" s="314"/>
      <c r="K72" s="314"/>
      <c r="L72" s="773"/>
      <c r="M72" s="294" t="s">
        <v>163</v>
      </c>
    </row>
    <row r="73" spans="1:13">
      <c r="A73" s="295" t="s">
        <v>164</v>
      </c>
      <c r="B73" s="241">
        <v>-2.1784691810607901</v>
      </c>
      <c r="C73" s="299"/>
      <c r="D73" s="288">
        <v>0.19001512437058701</v>
      </c>
      <c r="E73" s="289">
        <v>15</v>
      </c>
      <c r="F73" s="289">
        <v>220</v>
      </c>
      <c r="G73" s="290">
        <v>2.69</v>
      </c>
      <c r="H73" s="291">
        <f t="shared" si="0"/>
        <v>-4.1399999999999997</v>
      </c>
      <c r="I73" s="772"/>
      <c r="J73" s="314"/>
      <c r="K73" s="314"/>
      <c r="L73" s="773"/>
      <c r="M73" s="294" t="s">
        <v>165</v>
      </c>
    </row>
    <row r="74" spans="1:13">
      <c r="A74" s="295" t="s">
        <v>166</v>
      </c>
      <c r="B74" s="241">
        <v>-2.6100115776061998</v>
      </c>
      <c r="C74" s="299"/>
      <c r="D74" s="288">
        <v>0.169781830230266</v>
      </c>
      <c r="E74" s="289">
        <v>10</v>
      </c>
      <c r="F74" s="289">
        <v>151</v>
      </c>
      <c r="G74" s="290">
        <v>4.43</v>
      </c>
      <c r="H74" s="291">
        <f t="shared" si="0"/>
        <v>-5.1899999999999995</v>
      </c>
      <c r="I74" s="772"/>
      <c r="J74" s="314"/>
      <c r="K74" s="314"/>
      <c r="L74" s="773"/>
      <c r="M74" s="294" t="s">
        <v>167</v>
      </c>
    </row>
    <row r="75" spans="1:13">
      <c r="A75" s="305" t="s">
        <v>100</v>
      </c>
      <c r="B75" s="241">
        <v>-3.8314795494079599</v>
      </c>
      <c r="C75" s="299"/>
      <c r="D75" s="288">
        <v>0.19416214604145601</v>
      </c>
      <c r="E75" s="289">
        <v>7</v>
      </c>
      <c r="F75" s="289">
        <v>154.5</v>
      </c>
      <c r="G75" s="290">
        <v>4.22</v>
      </c>
      <c r="H75" s="291">
        <f t="shared" si="0"/>
        <v>-5.0149999999999997</v>
      </c>
      <c r="I75" s="772"/>
      <c r="J75" s="314"/>
      <c r="K75" s="314"/>
      <c r="L75" s="773"/>
      <c r="M75" s="294" t="s">
        <v>168</v>
      </c>
    </row>
    <row r="76" spans="1:13">
      <c r="A76" s="295" t="s">
        <v>169</v>
      </c>
      <c r="B76" s="241">
        <v>-2.8853111267089799</v>
      </c>
      <c r="C76" s="299"/>
      <c r="D76" s="288">
        <v>0.16048013551961601</v>
      </c>
      <c r="E76" s="289">
        <v>5</v>
      </c>
      <c r="F76" s="289">
        <v>167.75</v>
      </c>
      <c r="G76" s="290">
        <v>2.87</v>
      </c>
      <c r="H76" s="291">
        <f t="shared" si="0"/>
        <v>-3.7975000000000003</v>
      </c>
      <c r="I76" s="772"/>
      <c r="J76" s="314"/>
      <c r="K76" s="314"/>
      <c r="L76" s="773"/>
      <c r="M76" s="294" t="s">
        <v>170</v>
      </c>
    </row>
    <row r="77" spans="1:13">
      <c r="A77" s="295" t="s">
        <v>171</v>
      </c>
      <c r="B77" s="241">
        <v>-3.69330859184265</v>
      </c>
      <c r="C77" s="299"/>
      <c r="D77" s="288">
        <v>0.22239504833634899</v>
      </c>
      <c r="E77" s="289">
        <v>21</v>
      </c>
      <c r="F77" s="289">
        <v>159</v>
      </c>
      <c r="G77" s="290">
        <v>3.93</v>
      </c>
      <c r="H77" s="291">
        <f t="shared" si="0"/>
        <v>-4.7700000000000005</v>
      </c>
      <c r="I77" s="772"/>
      <c r="J77" s="314"/>
      <c r="K77" s="314"/>
      <c r="L77" s="773"/>
      <c r="M77" s="294" t="s">
        <v>172</v>
      </c>
    </row>
    <row r="78" spans="1:13">
      <c r="A78" s="295" t="s">
        <v>173</v>
      </c>
      <c r="B78" s="241">
        <v>-3.1984808444976802</v>
      </c>
      <c r="C78" s="299"/>
      <c r="D78" s="288">
        <v>0.21209434799218399</v>
      </c>
      <c r="E78" s="289">
        <v>5</v>
      </c>
      <c r="F78" s="289">
        <v>213.5</v>
      </c>
      <c r="G78" s="290">
        <v>3.04</v>
      </c>
      <c r="H78" s="291">
        <f t="shared" si="0"/>
        <v>-4.4249999999999998</v>
      </c>
      <c r="I78" s="772"/>
      <c r="J78" s="314"/>
      <c r="K78" s="314"/>
      <c r="L78" s="773"/>
      <c r="M78" s="294" t="s">
        <v>174</v>
      </c>
    </row>
    <row r="79" spans="1:13">
      <c r="A79" s="295" t="s">
        <v>175</v>
      </c>
      <c r="B79" s="241">
        <v>-2.67508172988892</v>
      </c>
      <c r="C79" s="299"/>
      <c r="D79" s="288">
        <v>0.14072241564069299</v>
      </c>
      <c r="E79" s="289">
        <v>11</v>
      </c>
      <c r="F79" s="289">
        <v>146</v>
      </c>
      <c r="G79" s="290">
        <v>4.21</v>
      </c>
      <c r="H79" s="291">
        <f t="shared" si="0"/>
        <v>-4.92</v>
      </c>
      <c r="I79" s="772"/>
      <c r="J79" s="314"/>
      <c r="K79" s="314"/>
      <c r="L79" s="773"/>
      <c r="M79" s="294" t="s">
        <v>176</v>
      </c>
    </row>
    <row r="80" spans="1:13">
      <c r="A80" s="295" t="s">
        <v>177</v>
      </c>
      <c r="B80" s="241">
        <v>-3.92087030410767</v>
      </c>
      <c r="C80" s="299"/>
      <c r="D80" s="288">
        <v>0.21748916450754399</v>
      </c>
      <c r="E80" s="289">
        <v>5</v>
      </c>
      <c r="F80" s="289">
        <v>92.3333333333333</v>
      </c>
      <c r="G80" s="290">
        <v>4.21</v>
      </c>
      <c r="H80" s="291">
        <f t="shared" si="0"/>
        <v>-4.3833333333333329</v>
      </c>
      <c r="I80" s="772"/>
      <c r="J80" s="314"/>
      <c r="K80" s="314"/>
      <c r="L80" s="773"/>
      <c r="M80" s="294" t="s">
        <v>178</v>
      </c>
    </row>
    <row r="81" spans="1:13">
      <c r="A81" s="285" t="s">
        <v>179</v>
      </c>
      <c r="B81" s="241">
        <v>-3.5210700035095202</v>
      </c>
      <c r="C81" s="299"/>
      <c r="D81" s="288">
        <v>0.20531013145176399</v>
      </c>
      <c r="E81" s="289">
        <v>8</v>
      </c>
      <c r="F81" s="289">
        <v>256</v>
      </c>
      <c r="G81" s="290">
        <v>2.71</v>
      </c>
      <c r="H81" s="291">
        <f t="shared" si="0"/>
        <v>-4.5199999999999996</v>
      </c>
      <c r="I81" s="772"/>
      <c r="J81" s="314"/>
      <c r="K81" s="314"/>
      <c r="L81" s="773"/>
      <c r="M81" s="294" t="s">
        <v>180</v>
      </c>
    </row>
    <row r="82" spans="1:13">
      <c r="A82" s="285" t="s">
        <v>181</v>
      </c>
      <c r="B82" s="241">
        <v>-2.9278581142425502</v>
      </c>
      <c r="C82" s="299"/>
      <c r="D82" s="288">
        <v>0.211767851422238</v>
      </c>
      <c r="E82" s="289">
        <v>3</v>
      </c>
      <c r="F82" s="289">
        <v>80</v>
      </c>
      <c r="G82" s="290">
        <v>3.37</v>
      </c>
      <c r="H82" s="291">
        <f t="shared" si="0"/>
        <v>-3.42</v>
      </c>
      <c r="I82" s="772"/>
      <c r="J82" s="314"/>
      <c r="K82" s="314"/>
      <c r="L82" s="773"/>
      <c r="M82" s="294" t="s">
        <v>182</v>
      </c>
    </row>
    <row r="83" spans="1:13">
      <c r="A83" s="285" t="s">
        <v>183</v>
      </c>
      <c r="B83" s="241">
        <v>-1.9643472433090201</v>
      </c>
      <c r="C83" s="299"/>
      <c r="D83" s="288">
        <v>0.16217657762412199</v>
      </c>
      <c r="E83" s="289">
        <v>17</v>
      </c>
      <c r="F83" s="289">
        <v>153</v>
      </c>
      <c r="G83" s="290">
        <v>3.04</v>
      </c>
      <c r="H83" s="291">
        <f t="shared" si="0"/>
        <v>-3.8200000000000003</v>
      </c>
      <c r="I83" s="772"/>
      <c r="J83" s="314"/>
      <c r="K83" s="314"/>
      <c r="L83" s="773"/>
      <c r="M83" s="294" t="s">
        <v>184</v>
      </c>
    </row>
    <row r="84" spans="1:13">
      <c r="A84" s="295" t="s">
        <v>185</v>
      </c>
      <c r="B84" s="241">
        <v>-4.5265226364135698</v>
      </c>
      <c r="C84" s="299"/>
      <c r="D84" s="288">
        <v>0.204488274966239</v>
      </c>
      <c r="E84" s="289">
        <v>3</v>
      </c>
      <c r="F84" s="289">
        <v>349.84</v>
      </c>
      <c r="G84" s="290">
        <v>4.75</v>
      </c>
      <c r="H84" s="291">
        <f t="shared" si="0"/>
        <v>-7.4984000000000002</v>
      </c>
      <c r="I84" s="772"/>
      <c r="J84" s="314"/>
      <c r="K84" s="314"/>
      <c r="L84" s="773"/>
      <c r="M84" s="294" t="s">
        <v>186</v>
      </c>
    </row>
    <row r="85" spans="1:13">
      <c r="A85" s="295" t="s">
        <v>187</v>
      </c>
      <c r="B85" s="241">
        <v>-3.5905911922454798</v>
      </c>
      <c r="C85" s="299"/>
      <c r="D85" s="288">
        <v>0.14358294446577699</v>
      </c>
      <c r="E85" s="289">
        <v>6</v>
      </c>
      <c r="F85" s="289">
        <v>248</v>
      </c>
      <c r="G85" s="290">
        <v>2.65</v>
      </c>
      <c r="H85" s="291">
        <f t="shared" si="0"/>
        <v>-4.38</v>
      </c>
      <c r="I85" s="772"/>
      <c r="J85" s="314"/>
      <c r="K85" s="314"/>
      <c r="L85" s="773"/>
      <c r="M85" s="294" t="s">
        <v>188</v>
      </c>
    </row>
    <row r="86" spans="1:13">
      <c r="A86" s="295" t="s">
        <v>189</v>
      </c>
      <c r="B86" s="241">
        <v>-3.0024428367614702</v>
      </c>
      <c r="C86" s="299"/>
      <c r="D86" s="288">
        <v>0.153840969889913</v>
      </c>
      <c r="E86" s="289">
        <v>11</v>
      </c>
      <c r="F86" s="289">
        <v>173</v>
      </c>
      <c r="G86" s="290">
        <v>2.1800000000000002</v>
      </c>
      <c r="H86" s="291">
        <f t="shared" si="0"/>
        <v>-3.16</v>
      </c>
      <c r="I86" s="772"/>
      <c r="J86" s="314"/>
      <c r="K86" s="314"/>
      <c r="L86" s="773"/>
      <c r="M86" s="294" t="s">
        <v>190</v>
      </c>
    </row>
    <row r="87" spans="1:13">
      <c r="A87" s="295" t="s">
        <v>191</v>
      </c>
      <c r="B87" s="241">
        <v>-2.9241302013397199</v>
      </c>
      <c r="C87" s="299"/>
      <c r="D87" s="288">
        <v>0.14176528631434901</v>
      </c>
      <c r="E87" s="289">
        <v>5</v>
      </c>
      <c r="F87" s="289">
        <v>143.75</v>
      </c>
      <c r="G87" s="290">
        <v>2.76</v>
      </c>
      <c r="H87" s="291">
        <f t="shared" ref="H87:H122" si="1">0.5-G87-0.01*(F87-25)</f>
        <v>-3.4474999999999998</v>
      </c>
      <c r="I87" s="772"/>
      <c r="J87" s="314"/>
      <c r="K87" s="314"/>
      <c r="L87" s="773"/>
      <c r="M87" s="294" t="s">
        <v>192</v>
      </c>
    </row>
    <row r="88" spans="1:13">
      <c r="A88" s="295" t="s">
        <v>193</v>
      </c>
      <c r="B88" s="241">
        <v>-2.42191433906555</v>
      </c>
      <c r="C88" s="299"/>
      <c r="D88" s="288">
        <v>0.16213928191469301</v>
      </c>
      <c r="E88" s="289">
        <v>19</v>
      </c>
      <c r="F88" s="289">
        <v>220.5</v>
      </c>
      <c r="G88" s="290">
        <v>1.27</v>
      </c>
      <c r="H88" s="291">
        <f t="shared" si="1"/>
        <v>-2.7250000000000001</v>
      </c>
      <c r="I88" s="772"/>
      <c r="J88" s="314"/>
      <c r="K88" s="314"/>
      <c r="L88" s="773"/>
      <c r="M88" s="294" t="s">
        <v>194</v>
      </c>
    </row>
    <row r="89" spans="1:13">
      <c r="A89" s="295" t="s">
        <v>195</v>
      </c>
      <c r="B89" s="241">
        <v>-2.2323443889617902</v>
      </c>
      <c r="C89" s="299"/>
      <c r="D89" s="288">
        <v>0.16127920198135701</v>
      </c>
      <c r="E89" s="289">
        <v>5</v>
      </c>
      <c r="F89" s="289">
        <v>214</v>
      </c>
      <c r="G89" s="290">
        <v>3.83</v>
      </c>
      <c r="H89" s="291">
        <f t="shared" si="1"/>
        <v>-5.2200000000000006</v>
      </c>
      <c r="I89" s="772"/>
      <c r="J89" s="314"/>
      <c r="K89" s="314"/>
      <c r="L89" s="773"/>
      <c r="M89" s="294" t="s">
        <v>196</v>
      </c>
    </row>
    <row r="90" spans="1:13">
      <c r="A90" s="305" t="s">
        <v>197</v>
      </c>
      <c r="B90" s="241">
        <v>-2.5331225395202601</v>
      </c>
      <c r="C90" s="299"/>
      <c r="D90" s="288">
        <v>0.13869006117838001</v>
      </c>
      <c r="E90" s="289">
        <v>3</v>
      </c>
      <c r="F90" s="289">
        <v>176</v>
      </c>
      <c r="G90" s="290">
        <v>2.88</v>
      </c>
      <c r="H90" s="291">
        <f t="shared" si="1"/>
        <v>-3.8899999999999997</v>
      </c>
      <c r="I90" s="772"/>
      <c r="J90" s="314"/>
      <c r="K90" s="314"/>
      <c r="L90" s="773"/>
      <c r="M90" s="294" t="s">
        <v>198</v>
      </c>
    </row>
    <row r="91" spans="1:13">
      <c r="A91" s="285" t="s">
        <v>199</v>
      </c>
      <c r="B91" s="241">
        <v>-1.7073730230331401</v>
      </c>
      <c r="C91" s="299"/>
      <c r="D91" s="288">
        <v>0.12598340861886001</v>
      </c>
      <c r="E91" s="289">
        <v>14</v>
      </c>
      <c r="F91" s="289">
        <v>253.5</v>
      </c>
      <c r="G91" s="290">
        <v>1.54</v>
      </c>
      <c r="H91" s="291">
        <f t="shared" si="1"/>
        <v>-3.3250000000000002</v>
      </c>
      <c r="I91" s="772"/>
      <c r="J91" s="314"/>
      <c r="K91" s="314"/>
      <c r="L91" s="773"/>
      <c r="M91" s="294" t="s">
        <v>200</v>
      </c>
    </row>
    <row r="92" spans="1:13">
      <c r="A92" s="295" t="s">
        <v>201</v>
      </c>
      <c r="B92" s="241">
        <v>-2.4052655696868901</v>
      </c>
      <c r="C92" s="299"/>
      <c r="D92" s="288">
        <v>0.16504944177542499</v>
      </c>
      <c r="E92" s="289">
        <v>5</v>
      </c>
      <c r="F92" s="289">
        <v>205.5</v>
      </c>
      <c r="G92" s="290">
        <v>2.4500000000000002</v>
      </c>
      <c r="H92" s="291">
        <f t="shared" si="1"/>
        <v>-3.7549999999999999</v>
      </c>
      <c r="I92" s="772"/>
      <c r="J92" s="314"/>
      <c r="K92" s="314"/>
      <c r="L92" s="773"/>
      <c r="M92" s="294" t="s">
        <v>202</v>
      </c>
    </row>
    <row r="93" spans="1:13">
      <c r="A93" s="305" t="s">
        <v>203</v>
      </c>
      <c r="B93" s="241">
        <v>-2.8408961296081499</v>
      </c>
      <c r="C93" s="299"/>
      <c r="D93" s="288">
        <v>0.19426266518058299</v>
      </c>
      <c r="E93" s="289">
        <v>3</v>
      </c>
      <c r="F93" s="289">
        <v>96</v>
      </c>
      <c r="G93" s="290">
        <v>3.49</v>
      </c>
      <c r="H93" s="291">
        <f t="shared" si="1"/>
        <v>-3.7</v>
      </c>
      <c r="I93" s="772"/>
      <c r="J93" s="314"/>
      <c r="K93" s="314"/>
      <c r="L93" s="773"/>
      <c r="M93" s="294" t="s">
        <v>204</v>
      </c>
    </row>
    <row r="94" spans="1:13">
      <c r="A94" s="295" t="s">
        <v>205</v>
      </c>
      <c r="B94" s="241">
        <v>-4.0229153633117702</v>
      </c>
      <c r="C94" s="299"/>
      <c r="D94" s="288">
        <v>0.188943371497371</v>
      </c>
      <c r="E94" s="289">
        <v>12</v>
      </c>
      <c r="F94" s="289">
        <v>147.25</v>
      </c>
      <c r="G94" s="290">
        <v>3.86</v>
      </c>
      <c r="H94" s="291">
        <f t="shared" si="1"/>
        <v>-4.5824999999999996</v>
      </c>
      <c r="I94" s="772"/>
      <c r="J94" s="314"/>
      <c r="K94" s="314"/>
      <c r="L94" s="773"/>
      <c r="M94" s="294" t="s">
        <v>206</v>
      </c>
    </row>
    <row r="95" spans="1:13">
      <c r="A95" s="295" t="s">
        <v>207</v>
      </c>
      <c r="B95" s="241">
        <v>-3.9183814525604199</v>
      </c>
      <c r="C95" s="299"/>
      <c r="D95" s="288">
        <v>0.17391407185160301</v>
      </c>
      <c r="E95" s="289">
        <v>6</v>
      </c>
      <c r="F95" s="289">
        <v>97</v>
      </c>
      <c r="G95" s="290">
        <v>3.94</v>
      </c>
      <c r="H95" s="291">
        <f t="shared" si="1"/>
        <v>-4.16</v>
      </c>
      <c r="I95" s="772"/>
      <c r="J95" s="314"/>
      <c r="K95" s="314"/>
      <c r="L95" s="773"/>
      <c r="M95" s="294" t="s">
        <v>208</v>
      </c>
    </row>
    <row r="96" spans="1:13">
      <c r="A96" s="285" t="s">
        <v>209</v>
      </c>
      <c r="B96" s="241">
        <v>-1.8743187189102199</v>
      </c>
      <c r="C96" s="299"/>
      <c r="D96" s="288">
        <v>0.13764369691033701</v>
      </c>
      <c r="E96" s="289">
        <v>10</v>
      </c>
      <c r="F96" s="289">
        <v>134.5</v>
      </c>
      <c r="G96" s="290">
        <v>2.04</v>
      </c>
      <c r="H96" s="291">
        <f t="shared" si="1"/>
        <v>-2.6349999999999998</v>
      </c>
      <c r="I96" s="772"/>
      <c r="J96" s="314"/>
      <c r="K96" s="314"/>
      <c r="L96" s="773"/>
      <c r="M96" s="294" t="s">
        <v>210</v>
      </c>
    </row>
    <row r="97" spans="1:13">
      <c r="A97" s="295" t="s">
        <v>211</v>
      </c>
      <c r="B97" s="241">
        <v>-2.0840618610382098</v>
      </c>
      <c r="C97" s="299"/>
      <c r="D97" s="288">
        <v>0.162457468885915</v>
      </c>
      <c r="E97" s="289">
        <v>7</v>
      </c>
      <c r="F97" s="289">
        <v>139</v>
      </c>
      <c r="G97" s="290">
        <v>2.66</v>
      </c>
      <c r="H97" s="291">
        <f t="shared" si="1"/>
        <v>-3.3000000000000003</v>
      </c>
      <c r="I97" s="772"/>
      <c r="J97" s="314"/>
      <c r="K97" s="314"/>
      <c r="L97" s="773"/>
      <c r="M97" s="294" t="s">
        <v>212</v>
      </c>
    </row>
    <row r="98" spans="1:13">
      <c r="A98" s="295" t="s">
        <v>213</v>
      </c>
      <c r="B98" s="241">
        <v>-0.19774514436721799</v>
      </c>
      <c r="C98" s="299"/>
      <c r="D98" s="288">
        <v>0.15322122505052199</v>
      </c>
      <c r="E98" s="289">
        <v>9</v>
      </c>
      <c r="F98" s="289">
        <v>170</v>
      </c>
      <c r="G98" s="290">
        <v>1.91</v>
      </c>
      <c r="H98" s="291">
        <f t="shared" si="1"/>
        <v>-2.86</v>
      </c>
      <c r="I98" s="772"/>
      <c r="J98" s="314"/>
      <c r="K98" s="314"/>
      <c r="L98" s="773"/>
      <c r="M98" s="294" t="s">
        <v>214</v>
      </c>
    </row>
    <row r="99" spans="1:13">
      <c r="A99" s="285" t="s">
        <v>215</v>
      </c>
      <c r="B99" s="241">
        <v>-2.3603665828704798</v>
      </c>
      <c r="C99" s="299"/>
      <c r="D99" s="288">
        <v>0.15273607916541099</v>
      </c>
      <c r="E99" s="289">
        <v>10</v>
      </c>
      <c r="F99" s="289">
        <v>326</v>
      </c>
      <c r="G99" s="290">
        <v>2.44</v>
      </c>
      <c r="H99" s="291">
        <f t="shared" si="1"/>
        <v>-4.95</v>
      </c>
      <c r="I99" s="772"/>
      <c r="J99" s="314"/>
      <c r="K99" s="314"/>
      <c r="L99" s="773"/>
      <c r="M99" s="294" t="s">
        <v>216</v>
      </c>
    </row>
    <row r="100" spans="1:13">
      <c r="A100" s="295" t="s">
        <v>217</v>
      </c>
      <c r="B100" s="241">
        <v>-2.0410895347595202</v>
      </c>
      <c r="C100" s="299"/>
      <c r="D100" s="288">
        <v>0.184047015121025</v>
      </c>
      <c r="E100" s="289">
        <v>5</v>
      </c>
      <c r="F100" s="289">
        <v>232.5</v>
      </c>
      <c r="G100" s="290">
        <v>1.8</v>
      </c>
      <c r="H100" s="291">
        <f t="shared" si="1"/>
        <v>-3.375</v>
      </c>
      <c r="I100" s="772"/>
      <c r="J100" s="314"/>
      <c r="K100" s="314"/>
      <c r="L100" s="773"/>
      <c r="M100" s="294" t="s">
        <v>218</v>
      </c>
    </row>
    <row r="101" spans="1:13">
      <c r="A101" s="295" t="s">
        <v>219</v>
      </c>
      <c r="B101" s="241">
        <v>-0.359502643346786</v>
      </c>
      <c r="C101" s="299"/>
      <c r="D101" s="288">
        <v>0.13604063752604401</v>
      </c>
      <c r="E101" s="289">
        <v>4</v>
      </c>
      <c r="F101" s="289">
        <v>281.5</v>
      </c>
      <c r="G101" s="290">
        <v>0.54</v>
      </c>
      <c r="H101" s="291">
        <f t="shared" si="1"/>
        <v>-2.605</v>
      </c>
      <c r="I101" s="772"/>
      <c r="J101" s="314"/>
      <c r="K101" s="314"/>
      <c r="L101" s="773"/>
      <c r="M101" s="294" t="s">
        <v>220</v>
      </c>
    </row>
    <row r="102" spans="1:13">
      <c r="A102" s="295" t="s">
        <v>221</v>
      </c>
      <c r="B102" s="241">
        <v>-1.8766520023345901</v>
      </c>
      <c r="C102" s="299"/>
      <c r="D102" s="288">
        <v>0.19798964803022501</v>
      </c>
      <c r="E102" s="289">
        <v>4</v>
      </c>
      <c r="F102" s="289">
        <v>197.1</v>
      </c>
      <c r="G102" s="290">
        <v>2.2000000000000002</v>
      </c>
      <c r="H102" s="291">
        <f t="shared" si="1"/>
        <v>-3.4210000000000003</v>
      </c>
      <c r="I102" s="772"/>
      <c r="J102" s="314"/>
      <c r="K102" s="314"/>
      <c r="L102" s="773"/>
      <c r="M102" s="294" t="s">
        <v>222</v>
      </c>
    </row>
    <row r="103" spans="1:13">
      <c r="A103" s="305" t="s">
        <v>223</v>
      </c>
      <c r="B103" s="241">
        <v>-2.2792181968689</v>
      </c>
      <c r="C103" s="299"/>
      <c r="D103" s="288">
        <v>0.13486720020739101</v>
      </c>
      <c r="E103" s="289">
        <v>4</v>
      </c>
      <c r="F103" s="289">
        <v>33</v>
      </c>
      <c r="G103" s="290">
        <v>4.24</v>
      </c>
      <c r="H103" s="291">
        <f t="shared" si="1"/>
        <v>-3.8200000000000003</v>
      </c>
      <c r="I103" s="772"/>
      <c r="J103" s="314"/>
      <c r="K103" s="314"/>
      <c r="L103" s="773"/>
      <c r="M103" s="294" t="s">
        <v>224</v>
      </c>
    </row>
    <row r="104" spans="1:13">
      <c r="A104" s="295" t="s">
        <v>225</v>
      </c>
      <c r="B104" s="241">
        <v>-2.5302915573120099</v>
      </c>
      <c r="C104" s="299"/>
      <c r="D104" s="288">
        <v>0.188012747606043</v>
      </c>
      <c r="E104" s="289">
        <v>11</v>
      </c>
      <c r="F104" s="289">
        <v>60</v>
      </c>
      <c r="G104" s="290">
        <v>4.24</v>
      </c>
      <c r="H104" s="291">
        <f t="shared" si="1"/>
        <v>-4.09</v>
      </c>
      <c r="I104" s="772"/>
      <c r="J104" s="314"/>
      <c r="K104" s="314"/>
      <c r="L104" s="773"/>
      <c r="M104" s="294" t="s">
        <v>226</v>
      </c>
    </row>
    <row r="105" spans="1:13">
      <c r="A105" s="295" t="s">
        <v>227</v>
      </c>
      <c r="B105" s="241">
        <v>-4.5425143241882298</v>
      </c>
      <c r="C105" s="299"/>
      <c r="D105" s="288">
        <v>0.16640140742242099</v>
      </c>
      <c r="E105" s="289">
        <v>4</v>
      </c>
      <c r="F105" s="289">
        <v>130.5</v>
      </c>
      <c r="G105" s="290">
        <v>5.22</v>
      </c>
      <c r="H105" s="291">
        <f t="shared" si="1"/>
        <v>-5.7749999999999995</v>
      </c>
      <c r="I105" s="772"/>
      <c r="J105" s="314"/>
      <c r="K105" s="314"/>
      <c r="L105" s="773"/>
      <c r="M105" s="294" t="s">
        <v>228</v>
      </c>
    </row>
    <row r="106" spans="1:13">
      <c r="A106" s="305" t="s">
        <v>103</v>
      </c>
      <c r="B106" s="241">
        <v>-2.4318928718566899</v>
      </c>
      <c r="C106" s="299"/>
      <c r="D106" s="288">
        <v>0.17506472136099999</v>
      </c>
      <c r="E106" s="289">
        <v>7</v>
      </c>
      <c r="F106" s="289">
        <v>254</v>
      </c>
      <c r="G106" s="290">
        <v>2.97</v>
      </c>
      <c r="H106" s="291">
        <f t="shared" si="1"/>
        <v>-4.76</v>
      </c>
      <c r="I106" s="772"/>
      <c r="J106" s="314"/>
      <c r="K106" s="314"/>
      <c r="L106" s="773"/>
      <c r="M106" s="294" t="s">
        <v>229</v>
      </c>
    </row>
    <row r="107" spans="1:13">
      <c r="A107" s="305" t="s">
        <v>230</v>
      </c>
      <c r="B107" s="241">
        <v>-4.0381312370300302</v>
      </c>
      <c r="C107" s="299"/>
      <c r="D107" s="288">
        <v>0.160541646006926</v>
      </c>
      <c r="E107" s="289">
        <v>5</v>
      </c>
      <c r="F107" s="289">
        <v>121</v>
      </c>
      <c r="G107" s="290">
        <v>5.91</v>
      </c>
      <c r="H107" s="291">
        <f t="shared" si="1"/>
        <v>-6.37</v>
      </c>
      <c r="I107" s="772"/>
      <c r="J107" s="314"/>
      <c r="K107" s="314"/>
      <c r="L107" s="773"/>
      <c r="M107" s="294" t="s">
        <v>231</v>
      </c>
    </row>
    <row r="108" spans="1:13">
      <c r="A108" s="295" t="s">
        <v>232</v>
      </c>
      <c r="B108" s="241">
        <v>-3.2826845645904501</v>
      </c>
      <c r="C108" s="299"/>
      <c r="D108" s="288">
        <v>0.15756984748208799</v>
      </c>
      <c r="E108" s="289">
        <v>5</v>
      </c>
      <c r="F108" s="289">
        <v>207</v>
      </c>
      <c r="G108" s="290">
        <v>2.56</v>
      </c>
      <c r="H108" s="291">
        <f t="shared" si="1"/>
        <v>-3.88</v>
      </c>
      <c r="I108" s="772"/>
      <c r="J108" s="314"/>
      <c r="K108" s="314"/>
      <c r="L108" s="773"/>
      <c r="M108" s="294" t="s">
        <v>233</v>
      </c>
    </row>
    <row r="109" spans="1:13">
      <c r="A109" s="285" t="s">
        <v>234</v>
      </c>
      <c r="B109" s="241">
        <v>-3.23538398742676</v>
      </c>
      <c r="C109" s="299"/>
      <c r="D109" s="288">
        <v>0.161603623531796</v>
      </c>
      <c r="E109" s="289">
        <v>6</v>
      </c>
      <c r="F109" s="289">
        <v>134.5</v>
      </c>
      <c r="G109" s="290">
        <v>4.8499999999999996</v>
      </c>
      <c r="H109" s="291">
        <f t="shared" si="1"/>
        <v>-5.4449999999999994</v>
      </c>
      <c r="I109" s="772"/>
      <c r="J109" s="314"/>
      <c r="K109" s="314"/>
      <c r="L109" s="773"/>
      <c r="M109" s="294" t="s">
        <v>235</v>
      </c>
    </row>
    <row r="110" spans="1:13">
      <c r="A110" s="285" t="s">
        <v>236</v>
      </c>
      <c r="B110" s="241">
        <v>-2.6749632358550999</v>
      </c>
      <c r="C110" s="299"/>
      <c r="D110" s="288">
        <v>0.18685765827674</v>
      </c>
      <c r="E110" s="289">
        <v>6</v>
      </c>
      <c r="F110" s="289">
        <v>275</v>
      </c>
      <c r="G110" s="290">
        <v>2.09</v>
      </c>
      <c r="H110" s="291">
        <f t="shared" si="1"/>
        <v>-4.09</v>
      </c>
      <c r="I110" s="772"/>
      <c r="J110" s="314"/>
      <c r="K110" s="314"/>
      <c r="L110" s="773"/>
      <c r="M110" s="294" t="s">
        <v>237</v>
      </c>
    </row>
    <row r="111" spans="1:13">
      <c r="A111" s="295" t="s">
        <v>238</v>
      </c>
      <c r="B111" s="241">
        <v>-4.34482717514038</v>
      </c>
      <c r="C111" s="299"/>
      <c r="D111" s="288">
        <v>0.13950112944748699</v>
      </c>
      <c r="E111" s="289">
        <v>9</v>
      </c>
      <c r="F111" s="289">
        <v>220</v>
      </c>
      <c r="G111" s="290">
        <v>1.8</v>
      </c>
      <c r="H111" s="291">
        <f t="shared" si="1"/>
        <v>-3.25</v>
      </c>
      <c r="I111" s="772"/>
      <c r="J111" s="314"/>
      <c r="K111" s="314"/>
      <c r="L111" s="773"/>
      <c r="M111" s="294" t="s">
        <v>239</v>
      </c>
    </row>
    <row r="112" spans="1:13">
      <c r="A112" s="285" t="s">
        <v>240</v>
      </c>
      <c r="B112" s="241">
        <v>-2.6312985420227002</v>
      </c>
      <c r="C112" s="299"/>
      <c r="D112" s="288">
        <v>0.22014005046870999</v>
      </c>
      <c r="E112" s="289">
        <v>9</v>
      </c>
      <c r="F112" s="289">
        <v>202</v>
      </c>
      <c r="G112" s="290">
        <v>1.53</v>
      </c>
      <c r="H112" s="291">
        <f t="shared" si="1"/>
        <v>-2.8</v>
      </c>
      <c r="I112" s="772"/>
      <c r="J112" s="314"/>
      <c r="K112" s="314"/>
      <c r="L112" s="773"/>
      <c r="M112" s="294" t="s">
        <v>241</v>
      </c>
    </row>
    <row r="113" spans="1:28">
      <c r="A113" s="295" t="s">
        <v>242</v>
      </c>
      <c r="B113" s="241">
        <v>-2.5699913501739502</v>
      </c>
      <c r="C113" s="299"/>
      <c r="D113" s="288">
        <v>0.140140838794855</v>
      </c>
      <c r="E113" s="289">
        <v>3</v>
      </c>
      <c r="F113" s="289">
        <v>243</v>
      </c>
      <c r="G113" s="290">
        <v>1.48</v>
      </c>
      <c r="H113" s="291">
        <f t="shared" si="1"/>
        <v>-3.16</v>
      </c>
      <c r="I113" s="772"/>
      <c r="J113" s="314"/>
      <c r="K113" s="314"/>
      <c r="L113" s="773"/>
      <c r="M113" s="294" t="s">
        <v>243</v>
      </c>
    </row>
    <row r="114" spans="1:28">
      <c r="A114" s="305" t="s">
        <v>244</v>
      </c>
      <c r="B114" s="241">
        <v>-2.9878692626953098</v>
      </c>
      <c r="C114" s="299"/>
      <c r="D114" s="288">
        <v>0.13726989684758001</v>
      </c>
      <c r="E114" s="289">
        <v>3</v>
      </c>
      <c r="F114" s="289">
        <v>191</v>
      </c>
      <c r="G114" s="290">
        <v>1.67</v>
      </c>
      <c r="H114" s="291">
        <f t="shared" si="1"/>
        <v>-2.83</v>
      </c>
      <c r="I114" s="772"/>
      <c r="J114" s="314"/>
      <c r="K114" s="314"/>
      <c r="L114" s="773"/>
      <c r="M114" s="294" t="s">
        <v>245</v>
      </c>
    </row>
    <row r="115" spans="1:28">
      <c r="A115" s="295" t="s">
        <v>246</v>
      </c>
      <c r="B115" s="241">
        <v>-3.8172621726989702</v>
      </c>
      <c r="C115" s="299"/>
      <c r="D115" s="288">
        <v>0.21357402153711499</v>
      </c>
      <c r="E115" s="289">
        <v>7</v>
      </c>
      <c r="F115" s="289">
        <v>183.5</v>
      </c>
      <c r="G115" s="290">
        <v>4.37</v>
      </c>
      <c r="H115" s="291">
        <f t="shared" si="1"/>
        <v>-5.4550000000000001</v>
      </c>
      <c r="I115" s="772"/>
      <c r="J115" s="314"/>
      <c r="K115" s="314"/>
      <c r="L115" s="773"/>
      <c r="M115" s="294" t="s">
        <v>247</v>
      </c>
    </row>
    <row r="116" spans="1:28">
      <c r="A116" s="295" t="s">
        <v>248</v>
      </c>
      <c r="B116" s="241">
        <v>-1.39909672737122</v>
      </c>
      <c r="C116" s="299"/>
      <c r="D116" s="288">
        <v>0.105644111777479</v>
      </c>
      <c r="E116" s="289">
        <v>3</v>
      </c>
      <c r="F116" s="289">
        <v>149</v>
      </c>
      <c r="G116" s="290">
        <v>2.62</v>
      </c>
      <c r="H116" s="291">
        <f t="shared" si="1"/>
        <v>-3.3600000000000003</v>
      </c>
      <c r="I116" s="772"/>
      <c r="J116" s="314"/>
      <c r="K116" s="314"/>
      <c r="L116" s="773"/>
      <c r="M116" s="294" t="s">
        <v>249</v>
      </c>
    </row>
    <row r="117" spans="1:28">
      <c r="A117" s="285" t="s">
        <v>250</v>
      </c>
      <c r="B117" s="241">
        <v>-1.97484278678894</v>
      </c>
      <c r="C117" s="299"/>
      <c r="D117" s="288">
        <v>0.14623917640453399</v>
      </c>
      <c r="E117" s="289">
        <v>8</v>
      </c>
      <c r="F117" s="289">
        <v>165</v>
      </c>
      <c r="G117" s="290">
        <v>-0.37</v>
      </c>
      <c r="H117" s="291">
        <f t="shared" si="1"/>
        <v>-0.53000000000000014</v>
      </c>
      <c r="I117" s="772"/>
      <c r="J117" s="314"/>
      <c r="K117" s="314"/>
      <c r="L117" s="773"/>
      <c r="M117" s="294" t="s">
        <v>251</v>
      </c>
    </row>
    <row r="118" spans="1:28">
      <c r="A118" s="295" t="s">
        <v>252</v>
      </c>
      <c r="B118" s="241">
        <v>-2.44890308380127</v>
      </c>
      <c r="C118" s="299"/>
      <c r="D118" s="288">
        <v>0.16291639539032499</v>
      </c>
      <c r="E118" s="289">
        <v>10</v>
      </c>
      <c r="F118" s="289">
        <v>225</v>
      </c>
      <c r="G118" s="290">
        <v>0.81</v>
      </c>
      <c r="H118" s="291">
        <f t="shared" si="1"/>
        <v>-2.31</v>
      </c>
      <c r="I118" s="772"/>
      <c r="J118" s="314"/>
      <c r="K118" s="314"/>
      <c r="L118" s="773"/>
      <c r="M118" s="294" t="s">
        <v>253</v>
      </c>
    </row>
    <row r="119" spans="1:28">
      <c r="A119" s="295" t="s">
        <v>254</v>
      </c>
      <c r="B119" s="241">
        <v>-2.1675825119018599</v>
      </c>
      <c r="C119" s="299"/>
      <c r="D119" s="288">
        <v>0.211666473574778</v>
      </c>
      <c r="E119" s="289">
        <v>5</v>
      </c>
      <c r="F119" s="289">
        <v>270</v>
      </c>
      <c r="G119" s="290">
        <v>0.62</v>
      </c>
      <c r="H119" s="291">
        <f t="shared" si="1"/>
        <v>-2.5700000000000003</v>
      </c>
      <c r="I119" s="772"/>
      <c r="J119" s="314"/>
      <c r="K119" s="314"/>
      <c r="L119" s="773"/>
      <c r="M119" s="294" t="s">
        <v>255</v>
      </c>
    </row>
    <row r="120" spans="1:28">
      <c r="A120" s="285" t="s">
        <v>256</v>
      </c>
      <c r="B120" s="241">
        <v>-2.9265584945678702</v>
      </c>
      <c r="C120" s="299"/>
      <c r="D120" s="288">
        <v>0.14175650298978701</v>
      </c>
      <c r="E120" s="289">
        <v>9</v>
      </c>
      <c r="F120" s="289">
        <v>312.66666666666703</v>
      </c>
      <c r="G120" s="290">
        <v>0.83</v>
      </c>
      <c r="H120" s="291">
        <f t="shared" si="1"/>
        <v>-3.2066666666666706</v>
      </c>
      <c r="I120" s="772"/>
      <c r="J120" s="314"/>
      <c r="K120" s="314"/>
      <c r="L120" s="773"/>
      <c r="M120" s="294" t="s">
        <v>257</v>
      </c>
    </row>
    <row r="121" spans="1:28">
      <c r="A121" s="295" t="s">
        <v>258</v>
      </c>
      <c r="B121" s="241">
        <v>-2.5164837837219198</v>
      </c>
      <c r="C121" s="299"/>
      <c r="D121" s="288">
        <v>0.20346886353462401</v>
      </c>
      <c r="E121" s="289">
        <v>11</v>
      </c>
      <c r="F121" s="289">
        <v>161</v>
      </c>
      <c r="G121" s="290">
        <v>3.61</v>
      </c>
      <c r="H121" s="291">
        <f t="shared" si="1"/>
        <v>-4.47</v>
      </c>
      <c r="I121" s="772"/>
      <c r="J121" s="314"/>
      <c r="K121" s="314"/>
      <c r="L121" s="773"/>
      <c r="M121" s="294" t="s">
        <v>259</v>
      </c>
    </row>
    <row r="122" spans="1:28">
      <c r="A122" s="285" t="s">
        <v>109</v>
      </c>
      <c r="B122" s="241">
        <v>-1.51313352584839</v>
      </c>
      <c r="C122" s="299"/>
      <c r="D122" s="288">
        <v>0.20579636821699801</v>
      </c>
      <c r="E122" s="289">
        <v>3</v>
      </c>
      <c r="F122" s="289">
        <v>300</v>
      </c>
      <c r="G122" s="290">
        <v>-1.06</v>
      </c>
      <c r="H122" s="291">
        <f t="shared" si="1"/>
        <v>-1.19</v>
      </c>
      <c r="I122" s="781"/>
      <c r="J122" s="776"/>
      <c r="K122" s="776"/>
      <c r="L122" s="777"/>
      <c r="M122" s="294" t="s">
        <v>260</v>
      </c>
    </row>
    <row r="123" spans="1:28">
      <c r="A123" s="294"/>
      <c r="C123" s="326" t="s">
        <v>261</v>
      </c>
      <c r="D123" s="327">
        <f>AVERAGE(D23:D122)</f>
        <v>0.17115851538193169</v>
      </c>
      <c r="E123" s="328"/>
      <c r="F123" s="329"/>
      <c r="G123" s="329"/>
      <c r="H123" s="330" t="s">
        <v>262</v>
      </c>
      <c r="I123" s="329"/>
      <c r="J123" s="290"/>
      <c r="K123" s="290"/>
      <c r="L123" s="290"/>
      <c r="M123" s="294"/>
    </row>
    <row r="124" spans="1:28">
      <c r="A124" s="294"/>
      <c r="C124" s="326" t="s">
        <v>263</v>
      </c>
      <c r="D124" s="327">
        <f>MIN(D23:D122)</f>
        <v>0.105644111777479</v>
      </c>
      <c r="E124" s="328"/>
      <c r="F124" s="329"/>
      <c r="G124" s="329"/>
      <c r="H124" s="330" t="s">
        <v>264</v>
      </c>
      <c r="I124" s="329"/>
      <c r="J124" s="290"/>
      <c r="K124" s="290"/>
      <c r="L124" s="290"/>
      <c r="M124" s="294"/>
    </row>
    <row r="125" spans="1:28">
      <c r="A125" s="294"/>
      <c r="C125" s="326" t="s">
        <v>265</v>
      </c>
      <c r="D125" s="327">
        <f>MAX(D23:D122)</f>
        <v>0.22239504833634899</v>
      </c>
      <c r="E125" s="328"/>
      <c r="F125" s="329"/>
      <c r="G125" s="329"/>
      <c r="H125" s="330"/>
      <c r="I125" s="329"/>
      <c r="J125" s="290"/>
      <c r="K125" s="290"/>
      <c r="L125" s="290"/>
      <c r="M125" s="294"/>
    </row>
    <row r="126" spans="1:28" s="244" customFormat="1">
      <c r="A126" s="331"/>
      <c r="B126" s="290"/>
      <c r="C126" s="290"/>
      <c r="D126" s="332"/>
      <c r="E126" s="290"/>
      <c r="F126" s="290"/>
      <c r="G126" s="290"/>
      <c r="H126" s="290"/>
      <c r="I126" s="290"/>
      <c r="J126" s="290"/>
      <c r="K126" s="290"/>
      <c r="L126" s="290"/>
      <c r="M126" s="294"/>
      <c r="N126" s="241"/>
      <c r="O126" s="241"/>
      <c r="P126" s="241"/>
      <c r="Q126" s="241"/>
      <c r="R126" s="241"/>
      <c r="S126" s="241"/>
      <c r="T126" s="241"/>
      <c r="U126" s="241"/>
      <c r="V126" s="241"/>
      <c r="W126" s="241"/>
      <c r="X126" s="241"/>
      <c r="Y126" s="241"/>
      <c r="Z126" s="241"/>
      <c r="AA126" s="241"/>
      <c r="AB126" s="241"/>
    </row>
    <row r="127" spans="1:28" s="276" customFormat="1" ht="32.25" customHeight="1" thickBot="1">
      <c r="A127" s="273" t="s">
        <v>708</v>
      </c>
      <c r="B127" s="332"/>
      <c r="C127" s="332"/>
      <c r="D127" s="332"/>
      <c r="E127" s="332"/>
      <c r="F127" s="332"/>
      <c r="G127" s="332"/>
      <c r="H127" s="332"/>
      <c r="I127" s="332"/>
      <c r="J127" s="332"/>
      <c r="K127" s="332"/>
      <c r="L127" s="332"/>
      <c r="M127" s="294"/>
      <c r="N127" s="244"/>
      <c r="O127" s="244"/>
      <c r="P127" s="244"/>
      <c r="Q127" s="244"/>
      <c r="R127" s="244"/>
      <c r="S127" s="244"/>
      <c r="T127" s="244"/>
      <c r="U127" s="244"/>
      <c r="V127" s="244"/>
      <c r="W127" s="244"/>
      <c r="X127" s="244"/>
      <c r="Y127" s="244"/>
      <c r="Z127" s="244"/>
      <c r="AA127" s="244"/>
      <c r="AB127" s="244"/>
    </row>
    <row r="128" spans="1:28" ht="43.5" customHeight="1" thickBot="1">
      <c r="A128" s="749" t="s">
        <v>18</v>
      </c>
      <c r="B128" s="750" t="s">
        <v>709</v>
      </c>
      <c r="C128" s="750" t="s">
        <v>696</v>
      </c>
      <c r="D128" s="750" t="s">
        <v>21</v>
      </c>
      <c r="E128" s="750" t="s">
        <v>22</v>
      </c>
      <c r="F128" s="750" t="s">
        <v>23</v>
      </c>
      <c r="G128" s="751" t="s">
        <v>697</v>
      </c>
      <c r="H128" s="751" t="s">
        <v>698</v>
      </c>
      <c r="I128" s="752"/>
      <c r="J128" s="753" t="s">
        <v>27</v>
      </c>
      <c r="K128" s="753"/>
      <c r="L128" s="753"/>
      <c r="M128" s="754" t="s">
        <v>28</v>
      </c>
      <c r="N128" s="755"/>
      <c r="O128" s="755"/>
      <c r="P128" s="755"/>
      <c r="Q128" s="755"/>
      <c r="R128" s="755"/>
      <c r="S128" s="755"/>
      <c r="T128" s="755"/>
      <c r="U128" s="755"/>
      <c r="V128" s="756"/>
      <c r="W128" s="276"/>
      <c r="X128" s="276"/>
      <c r="Y128" s="276"/>
      <c r="Z128" s="276"/>
      <c r="AA128" s="276"/>
      <c r="AB128" s="276"/>
    </row>
    <row r="129" spans="1:13">
      <c r="A129" s="295" t="s">
        <v>268</v>
      </c>
      <c r="B129" s="241">
        <v>-1.62701463699341</v>
      </c>
      <c r="C129" s="287" t="s">
        <v>30</v>
      </c>
      <c r="D129" s="288">
        <v>0.50033555401430196</v>
      </c>
      <c r="E129" s="289">
        <v>3</v>
      </c>
      <c r="F129" s="289">
        <v>180</v>
      </c>
      <c r="G129" s="290">
        <v>1.91</v>
      </c>
      <c r="H129" s="291">
        <f t="shared" ref="H129:H160" si="2">0.5-G129-0.01*(F129-25)</f>
        <v>-2.96</v>
      </c>
      <c r="I129" s="757" t="s">
        <v>31</v>
      </c>
      <c r="J129" s="758"/>
      <c r="K129" s="291"/>
      <c r="L129" s="291"/>
      <c r="M129" s="294" t="s">
        <v>269</v>
      </c>
    </row>
    <row r="130" spans="1:13">
      <c r="A130" s="295" t="s">
        <v>270</v>
      </c>
      <c r="B130" s="241">
        <v>-5.4134879112243697</v>
      </c>
      <c r="C130" s="287" t="s">
        <v>36</v>
      </c>
      <c r="D130" s="288">
        <v>0.5</v>
      </c>
      <c r="E130" s="290">
        <v>5</v>
      </c>
      <c r="F130" s="289">
        <v>156</v>
      </c>
      <c r="G130" s="290">
        <v>6.94</v>
      </c>
      <c r="H130" s="291">
        <f t="shared" si="2"/>
        <v>-7.75</v>
      </c>
      <c r="I130" s="757" t="s">
        <v>37</v>
      </c>
      <c r="J130" s="758"/>
      <c r="K130" s="291"/>
      <c r="L130" s="291"/>
      <c r="M130" s="294" t="s">
        <v>271</v>
      </c>
    </row>
    <row r="131" spans="1:13">
      <c r="A131" s="305" t="s">
        <v>272</v>
      </c>
      <c r="B131" s="241">
        <v>-3.62805151939392</v>
      </c>
      <c r="C131" s="287" t="s">
        <v>41</v>
      </c>
      <c r="D131" s="288">
        <v>0.65309579002601004</v>
      </c>
      <c r="E131" s="289">
        <v>3</v>
      </c>
      <c r="F131" s="289">
        <v>208</v>
      </c>
      <c r="G131" s="290">
        <v>5.18</v>
      </c>
      <c r="H131" s="291">
        <f t="shared" si="2"/>
        <v>-6.51</v>
      </c>
      <c r="I131" s="757" t="s">
        <v>42</v>
      </c>
      <c r="J131" s="758"/>
      <c r="K131" s="291"/>
      <c r="L131" s="291"/>
      <c r="M131" s="294" t="s">
        <v>273</v>
      </c>
    </row>
    <row r="132" spans="1:13">
      <c r="A132" s="295" t="s">
        <v>274</v>
      </c>
      <c r="B132" s="241">
        <v>-1.70131516456604</v>
      </c>
      <c r="C132" s="287" t="s">
        <v>46</v>
      </c>
      <c r="D132" s="288">
        <v>0.59285217963150305</v>
      </c>
      <c r="E132" s="289">
        <v>3</v>
      </c>
      <c r="F132" s="289">
        <v>100</v>
      </c>
      <c r="G132" s="290">
        <v>2.37</v>
      </c>
      <c r="H132" s="291">
        <f t="shared" si="2"/>
        <v>-2.62</v>
      </c>
      <c r="I132" s="759" t="s">
        <v>47</v>
      </c>
      <c r="J132" s="760"/>
      <c r="K132" s="291"/>
      <c r="L132" s="291"/>
      <c r="M132" s="294" t="s">
        <v>275</v>
      </c>
    </row>
    <row r="133" spans="1:13">
      <c r="A133" s="295" t="s">
        <v>276</v>
      </c>
      <c r="B133" s="241">
        <v>-3.1786732673645002</v>
      </c>
      <c r="C133" s="287" t="s">
        <v>51</v>
      </c>
      <c r="D133" s="288">
        <v>0.51067901383936598</v>
      </c>
      <c r="E133" s="289">
        <v>5</v>
      </c>
      <c r="F133" s="289">
        <v>217</v>
      </c>
      <c r="G133" s="290">
        <v>3.19</v>
      </c>
      <c r="H133" s="291">
        <f t="shared" si="2"/>
        <v>-4.6099999999999994</v>
      </c>
      <c r="I133" s="759" t="s">
        <v>52</v>
      </c>
      <c r="J133" s="760"/>
      <c r="K133" s="291"/>
      <c r="L133" s="291"/>
      <c r="M133" s="294" t="s">
        <v>277</v>
      </c>
    </row>
    <row r="134" spans="1:13">
      <c r="A134" s="295" t="s">
        <v>278</v>
      </c>
      <c r="B134" s="241">
        <v>-4.7537045478820801</v>
      </c>
      <c r="C134" s="299"/>
      <c r="D134" s="288">
        <v>0.83065522865171404</v>
      </c>
      <c r="E134" s="289">
        <v>3</v>
      </c>
      <c r="F134" s="289">
        <v>209.5</v>
      </c>
      <c r="G134" s="290">
        <v>4.41</v>
      </c>
      <c r="H134" s="291">
        <f t="shared" si="2"/>
        <v>-5.7549999999999999</v>
      </c>
      <c r="I134" s="759" t="s">
        <v>56</v>
      </c>
      <c r="J134" s="760"/>
      <c r="K134" s="291"/>
      <c r="L134" s="291"/>
      <c r="M134" s="294" t="s">
        <v>279</v>
      </c>
    </row>
    <row r="135" spans="1:13">
      <c r="A135" s="295" t="s">
        <v>280</v>
      </c>
      <c r="B135" s="241">
        <v>-4.01729440689087</v>
      </c>
      <c r="C135" s="299"/>
      <c r="D135" s="288">
        <v>0.51097181417141702</v>
      </c>
      <c r="E135" s="289">
        <v>6</v>
      </c>
      <c r="F135" s="289">
        <v>97.5</v>
      </c>
      <c r="G135" s="290">
        <v>5.19</v>
      </c>
      <c r="H135" s="291">
        <f t="shared" si="2"/>
        <v>-5.415</v>
      </c>
      <c r="I135" s="759" t="s">
        <v>60</v>
      </c>
      <c r="J135" s="761"/>
      <c r="K135" s="291"/>
      <c r="L135" s="291"/>
      <c r="M135" s="294" t="s">
        <v>281</v>
      </c>
    </row>
    <row r="136" spans="1:13">
      <c r="A136" s="285" t="s">
        <v>282</v>
      </c>
      <c r="B136" s="241">
        <v>-6.8523416519165004</v>
      </c>
      <c r="C136" s="299"/>
      <c r="D136" s="288">
        <v>0.92735432696895004</v>
      </c>
      <c r="E136" s="289">
        <v>5</v>
      </c>
      <c r="F136" s="289">
        <v>211</v>
      </c>
      <c r="G136" s="290">
        <v>7.49</v>
      </c>
      <c r="H136" s="291">
        <f t="shared" si="2"/>
        <v>-8.85</v>
      </c>
      <c r="I136" s="762" t="s">
        <v>64</v>
      </c>
      <c r="J136" s="763"/>
      <c r="K136" s="764"/>
      <c r="L136" s="765"/>
      <c r="M136" s="294" t="s">
        <v>283</v>
      </c>
    </row>
    <row r="137" spans="1:13">
      <c r="A137" s="295" t="s">
        <v>112</v>
      </c>
      <c r="B137" s="241">
        <v>-3.72067427635193</v>
      </c>
      <c r="C137" s="299"/>
      <c r="D137" s="288">
        <v>0.68239272333923895</v>
      </c>
      <c r="E137" s="289">
        <v>3</v>
      </c>
      <c r="F137" s="289">
        <v>177</v>
      </c>
      <c r="G137" s="290">
        <v>3.37</v>
      </c>
      <c r="H137" s="291">
        <f t="shared" si="2"/>
        <v>-4.3900000000000006</v>
      </c>
      <c r="J137" s="291"/>
      <c r="K137" s="291"/>
      <c r="L137" s="291"/>
      <c r="M137" s="294" t="s">
        <v>284</v>
      </c>
    </row>
    <row r="138" spans="1:13">
      <c r="A138" s="295" t="s">
        <v>285</v>
      </c>
      <c r="B138" s="241">
        <v>-6.7076044082641602</v>
      </c>
      <c r="C138" s="299"/>
      <c r="D138" s="288">
        <v>0.520951861602862</v>
      </c>
      <c r="E138" s="289">
        <v>10</v>
      </c>
      <c r="F138" s="289">
        <v>228.6</v>
      </c>
      <c r="G138" s="290">
        <v>4.22</v>
      </c>
      <c r="H138" s="291">
        <f t="shared" si="2"/>
        <v>-5.7560000000000002</v>
      </c>
      <c r="I138" s="766" t="s">
        <v>286</v>
      </c>
      <c r="J138" s="767"/>
      <c r="K138" s="767"/>
      <c r="L138" s="768"/>
      <c r="M138" s="294" t="s">
        <v>287</v>
      </c>
    </row>
    <row r="139" spans="1:13">
      <c r="A139" s="285" t="s">
        <v>288</v>
      </c>
      <c r="B139" s="241">
        <v>-0.61199969053268399</v>
      </c>
      <c r="C139" s="299"/>
      <c r="D139" s="288">
        <v>0.53906642829149898</v>
      </c>
      <c r="E139" s="289">
        <v>3</v>
      </c>
      <c r="F139" s="289">
        <v>161.5</v>
      </c>
      <c r="G139" s="290">
        <v>-0.21</v>
      </c>
      <c r="H139" s="291">
        <f t="shared" si="2"/>
        <v>-0.65500000000000003</v>
      </c>
      <c r="I139" s="769" t="s">
        <v>1058</v>
      </c>
      <c r="J139" s="770"/>
      <c r="K139" s="770"/>
      <c r="L139" s="771"/>
      <c r="M139" s="294" t="s">
        <v>289</v>
      </c>
    </row>
    <row r="140" spans="1:13">
      <c r="A140" s="285" t="s">
        <v>290</v>
      </c>
      <c r="B140" s="241">
        <v>-3.05918645858765</v>
      </c>
      <c r="C140" s="299"/>
      <c r="D140" s="288">
        <v>0.56233984781338697</v>
      </c>
      <c r="E140" s="289">
        <v>11</v>
      </c>
      <c r="F140" s="289">
        <v>213.5</v>
      </c>
      <c r="G140" s="290">
        <v>3.04</v>
      </c>
      <c r="H140" s="291">
        <f t="shared" si="2"/>
        <v>-4.4249999999999998</v>
      </c>
      <c r="I140" s="772"/>
      <c r="J140" s="314"/>
      <c r="K140" s="314"/>
      <c r="L140" s="773"/>
      <c r="M140" s="294" t="s">
        <v>291</v>
      </c>
    </row>
    <row r="141" spans="1:13">
      <c r="A141" s="305" t="s">
        <v>292</v>
      </c>
      <c r="B141" s="241">
        <v>-3.0000922679901101</v>
      </c>
      <c r="C141" s="299"/>
      <c r="D141" s="288">
        <v>0.54710381306524802</v>
      </c>
      <c r="E141" s="289">
        <v>4</v>
      </c>
      <c r="F141" s="289">
        <v>168.5</v>
      </c>
      <c r="G141" s="290">
        <v>3.35</v>
      </c>
      <c r="H141" s="291">
        <f t="shared" si="2"/>
        <v>-4.2850000000000001</v>
      </c>
      <c r="I141" s="772"/>
      <c r="J141" s="314"/>
      <c r="K141" s="314"/>
      <c r="L141" s="773"/>
      <c r="M141" s="294" t="s">
        <v>293</v>
      </c>
    </row>
    <row r="142" spans="1:13">
      <c r="A142" s="285" t="s">
        <v>114</v>
      </c>
      <c r="B142" s="241">
        <v>-1.5523928403854399</v>
      </c>
      <c r="C142" s="299"/>
      <c r="D142" s="288">
        <v>0.54612637818466903</v>
      </c>
      <c r="E142" s="289">
        <v>3</v>
      </c>
      <c r="F142" s="309">
        <v>124.1</v>
      </c>
      <c r="G142" s="290">
        <v>2.81</v>
      </c>
      <c r="H142" s="291">
        <f t="shared" si="2"/>
        <v>-3.3010000000000002</v>
      </c>
      <c r="I142" s="774"/>
      <c r="J142" s="314"/>
      <c r="K142" s="314"/>
      <c r="L142" s="773"/>
      <c r="M142" s="294" t="s">
        <v>294</v>
      </c>
    </row>
    <row r="143" spans="1:13">
      <c r="A143" s="285" t="s">
        <v>295</v>
      </c>
      <c r="B143" s="241">
        <v>-5.6873650550842303</v>
      </c>
      <c r="C143" s="299"/>
      <c r="D143" s="288">
        <v>0.51160213896594597</v>
      </c>
      <c r="E143" s="289">
        <v>4</v>
      </c>
      <c r="F143" s="289">
        <v>165</v>
      </c>
      <c r="G143" s="290">
        <v>4.8899999999999997</v>
      </c>
      <c r="H143" s="291">
        <f t="shared" si="2"/>
        <v>-5.79</v>
      </c>
      <c r="I143" s="774"/>
      <c r="J143" s="314"/>
      <c r="K143" s="314"/>
      <c r="L143" s="773"/>
      <c r="M143" s="294" t="s">
        <v>296</v>
      </c>
    </row>
    <row r="144" spans="1:13">
      <c r="A144" s="285" t="s">
        <v>117</v>
      </c>
      <c r="B144" s="241">
        <v>-4.8498911857604998</v>
      </c>
      <c r="C144" s="299"/>
      <c r="D144" s="288">
        <v>0.65141515533308303</v>
      </c>
      <c r="E144" s="289">
        <v>4</v>
      </c>
      <c r="F144" s="289">
        <v>161.1</v>
      </c>
      <c r="G144" s="290">
        <v>4.76</v>
      </c>
      <c r="H144" s="291">
        <f t="shared" si="2"/>
        <v>-5.6209999999999996</v>
      </c>
      <c r="I144" s="774"/>
      <c r="J144" s="314"/>
      <c r="K144" s="314"/>
      <c r="L144" s="773"/>
      <c r="M144" s="294" t="s">
        <v>297</v>
      </c>
    </row>
    <row r="145" spans="1:28">
      <c r="A145" s="305" t="s">
        <v>298</v>
      </c>
      <c r="B145" s="241">
        <v>-4.2354941368103001</v>
      </c>
      <c r="C145" s="299"/>
      <c r="D145" s="288">
        <v>0.65883215509381898</v>
      </c>
      <c r="E145" s="289">
        <v>3</v>
      </c>
      <c r="F145" s="289">
        <v>155</v>
      </c>
      <c r="G145" s="290">
        <v>3.74</v>
      </c>
      <c r="H145" s="291">
        <f t="shared" si="2"/>
        <v>-4.54</v>
      </c>
      <c r="I145" s="774"/>
      <c r="J145" s="314"/>
      <c r="K145" s="314"/>
      <c r="L145" s="773"/>
      <c r="M145" s="294" t="s">
        <v>299</v>
      </c>
    </row>
    <row r="146" spans="1:28">
      <c r="A146" s="295" t="s">
        <v>300</v>
      </c>
      <c r="B146" s="241">
        <v>-4.3556656837463397</v>
      </c>
      <c r="C146" s="299"/>
      <c r="D146" s="288">
        <v>0.61400477095750305</v>
      </c>
      <c r="E146" s="289">
        <v>3</v>
      </c>
      <c r="F146" s="289">
        <v>165.4</v>
      </c>
      <c r="G146" s="290">
        <v>5.58</v>
      </c>
      <c r="H146" s="291">
        <f t="shared" si="2"/>
        <v>-6.484</v>
      </c>
      <c r="I146" s="774"/>
      <c r="J146" s="314"/>
      <c r="K146" s="314"/>
      <c r="L146" s="773"/>
      <c r="M146" s="294" t="s">
        <v>301</v>
      </c>
    </row>
    <row r="147" spans="1:28">
      <c r="A147" s="295" t="s">
        <v>302</v>
      </c>
      <c r="B147" s="241">
        <v>-5.1491370201110804</v>
      </c>
      <c r="C147" s="299"/>
      <c r="D147" s="288">
        <v>0.50406532001413296</v>
      </c>
      <c r="E147" s="289">
        <v>6</v>
      </c>
      <c r="F147" s="289">
        <v>161</v>
      </c>
      <c r="G147" s="290">
        <v>6.45</v>
      </c>
      <c r="H147" s="291">
        <f t="shared" si="2"/>
        <v>-7.3100000000000005</v>
      </c>
      <c r="I147" s="742"/>
      <c r="J147" s="776"/>
      <c r="K147" s="776"/>
      <c r="L147" s="777"/>
      <c r="M147" s="294" t="s">
        <v>303</v>
      </c>
    </row>
    <row r="148" spans="1:28">
      <c r="A148" s="295" t="s">
        <v>304</v>
      </c>
      <c r="B148" s="241">
        <v>-5.4316039085388201</v>
      </c>
      <c r="C148" s="299"/>
      <c r="D148" s="288">
        <v>0.75493366325441702</v>
      </c>
      <c r="E148" s="289">
        <v>4</v>
      </c>
      <c r="F148" s="289">
        <v>193.5</v>
      </c>
      <c r="G148" s="290">
        <v>5.41</v>
      </c>
      <c r="H148" s="291">
        <f t="shared" si="2"/>
        <v>-6.5950000000000006</v>
      </c>
      <c r="J148" s="291"/>
      <c r="K148" s="291"/>
      <c r="L148" s="291"/>
      <c r="M148" s="294" t="s">
        <v>305</v>
      </c>
    </row>
    <row r="149" spans="1:28">
      <c r="A149" s="295" t="s">
        <v>306</v>
      </c>
      <c r="B149" s="241">
        <v>-5.4135651588439897</v>
      </c>
      <c r="C149" s="299"/>
      <c r="D149" s="288">
        <v>0.500893580585972</v>
      </c>
      <c r="E149" s="289">
        <v>3</v>
      </c>
      <c r="F149" s="289">
        <v>156</v>
      </c>
      <c r="G149" s="290">
        <v>2.9</v>
      </c>
      <c r="H149" s="291">
        <f t="shared" si="2"/>
        <v>-3.71</v>
      </c>
      <c r="I149" s="778" t="s">
        <v>133</v>
      </c>
      <c r="J149" s="763"/>
      <c r="K149" s="765"/>
      <c r="L149" s="291"/>
      <c r="M149" s="294" t="s">
        <v>307</v>
      </c>
    </row>
    <row r="150" spans="1:28">
      <c r="A150" s="305" t="s">
        <v>308</v>
      </c>
      <c r="B150" s="241">
        <v>-5.03312015533447</v>
      </c>
      <c r="C150" s="299"/>
      <c r="D150" s="288">
        <v>0.65879843298663399</v>
      </c>
      <c r="E150" s="289">
        <v>4</v>
      </c>
      <c r="F150" s="289">
        <v>183.5</v>
      </c>
      <c r="G150" s="290">
        <v>3.16</v>
      </c>
      <c r="H150" s="291">
        <f t="shared" si="2"/>
        <v>-4.2450000000000001</v>
      </c>
      <c r="I150" s="778" t="s">
        <v>136</v>
      </c>
      <c r="J150" s="763"/>
      <c r="K150" s="765"/>
      <c r="L150" s="291"/>
      <c r="M150" s="294" t="s">
        <v>309</v>
      </c>
    </row>
    <row r="151" spans="1:28">
      <c r="A151" s="305" t="s">
        <v>310</v>
      </c>
      <c r="B151" s="241">
        <v>-1.83803451061249</v>
      </c>
      <c r="C151" s="299"/>
      <c r="D151" s="288">
        <v>0.59871706042825701</v>
      </c>
      <c r="E151" s="289">
        <v>3</v>
      </c>
      <c r="F151" s="289">
        <v>61</v>
      </c>
      <c r="G151" s="290">
        <v>1.77</v>
      </c>
      <c r="H151" s="291">
        <f t="shared" si="2"/>
        <v>-1.63</v>
      </c>
      <c r="I151" s="778" t="s">
        <v>139</v>
      </c>
      <c r="J151" s="779">
        <f>COUNTA(A129:A160)</f>
        <v>32</v>
      </c>
      <c r="K151" s="765"/>
      <c r="L151" s="291"/>
      <c r="M151" s="294" t="s">
        <v>311</v>
      </c>
    </row>
    <row r="152" spans="1:28">
      <c r="A152" s="295" t="s">
        <v>312</v>
      </c>
      <c r="B152" s="241">
        <v>-3.5100479125976598</v>
      </c>
      <c r="C152" s="299"/>
      <c r="D152" s="288">
        <v>0.57115657899345496</v>
      </c>
      <c r="E152" s="289">
        <v>7</v>
      </c>
      <c r="F152" s="289">
        <v>177</v>
      </c>
      <c r="G152" s="290">
        <v>3.17</v>
      </c>
      <c r="H152" s="291">
        <f t="shared" si="2"/>
        <v>-4.1899999999999995</v>
      </c>
      <c r="I152" s="291"/>
      <c r="J152" s="291"/>
      <c r="K152" s="291"/>
      <c r="L152" s="291"/>
      <c r="M152" s="294" t="s">
        <v>313</v>
      </c>
    </row>
    <row r="153" spans="1:28">
      <c r="A153" s="285" t="s">
        <v>314</v>
      </c>
      <c r="B153" s="241">
        <v>-6.1053218841552699</v>
      </c>
      <c r="C153" s="299"/>
      <c r="D153" s="288">
        <v>0.55807775121880299</v>
      </c>
      <c r="E153" s="289">
        <v>6</v>
      </c>
      <c r="F153" s="289">
        <v>145</v>
      </c>
      <c r="G153" s="290">
        <v>6.08</v>
      </c>
      <c r="H153" s="291">
        <f t="shared" si="2"/>
        <v>-6.78</v>
      </c>
      <c r="I153" s="780" t="s">
        <v>144</v>
      </c>
      <c r="J153" s="767"/>
      <c r="K153" s="767"/>
      <c r="L153" s="768"/>
      <c r="M153" s="294" t="s">
        <v>315</v>
      </c>
    </row>
    <row r="154" spans="1:28">
      <c r="A154" s="285" t="s">
        <v>316</v>
      </c>
      <c r="B154" s="241">
        <v>-3.33637523651123</v>
      </c>
      <c r="C154" s="299"/>
      <c r="D154" s="288">
        <v>0.66417698790166102</v>
      </c>
      <c r="E154" s="289">
        <v>3</v>
      </c>
      <c r="F154" s="309">
        <v>175.8</v>
      </c>
      <c r="G154" s="290">
        <v>4.62</v>
      </c>
      <c r="H154" s="291">
        <f t="shared" si="2"/>
        <v>-5.6280000000000001</v>
      </c>
      <c r="I154" s="769" t="s">
        <v>1059</v>
      </c>
      <c r="J154" s="770"/>
      <c r="K154" s="770"/>
      <c r="L154" s="771"/>
      <c r="M154" s="294" t="s">
        <v>317</v>
      </c>
    </row>
    <row r="155" spans="1:28">
      <c r="A155" s="295" t="s">
        <v>318</v>
      </c>
      <c r="B155" s="241">
        <v>-4.9047398567199698</v>
      </c>
      <c r="C155" s="299"/>
      <c r="D155" s="288">
        <v>0.57716593661781801</v>
      </c>
      <c r="E155" s="289">
        <v>3</v>
      </c>
      <c r="F155" s="289">
        <v>349.84</v>
      </c>
      <c r="G155" s="290">
        <v>3.09</v>
      </c>
      <c r="H155" s="291">
        <f t="shared" si="2"/>
        <v>-5.8384</v>
      </c>
      <c r="I155" s="772"/>
      <c r="J155" s="314"/>
      <c r="K155" s="314"/>
      <c r="L155" s="773"/>
      <c r="M155" s="294" t="s">
        <v>319</v>
      </c>
    </row>
    <row r="156" spans="1:28">
      <c r="A156" s="305" t="s">
        <v>320</v>
      </c>
      <c r="B156" s="241">
        <v>-2.7060692310333301</v>
      </c>
      <c r="C156" s="299"/>
      <c r="D156" s="288">
        <v>0.70324590282883903</v>
      </c>
      <c r="E156" s="289">
        <v>3</v>
      </c>
      <c r="F156" s="289">
        <v>204</v>
      </c>
      <c r="G156" s="290">
        <v>0.88</v>
      </c>
      <c r="H156" s="291">
        <f t="shared" si="2"/>
        <v>-2.17</v>
      </c>
      <c r="I156" s="772"/>
      <c r="J156" s="314"/>
      <c r="K156" s="314"/>
      <c r="L156" s="773"/>
      <c r="M156" s="294" t="s">
        <v>321</v>
      </c>
    </row>
    <row r="157" spans="1:28">
      <c r="A157" s="295" t="s">
        <v>322</v>
      </c>
      <c r="B157" s="241">
        <v>-6.2043623924255398</v>
      </c>
      <c r="C157" s="299"/>
      <c r="D157" s="288">
        <v>0.72379035887947596</v>
      </c>
      <c r="E157" s="289">
        <v>7</v>
      </c>
      <c r="F157" s="289">
        <v>97.8</v>
      </c>
      <c r="G157" s="290">
        <v>6</v>
      </c>
      <c r="H157" s="291">
        <f t="shared" si="2"/>
        <v>-6.2279999999999998</v>
      </c>
      <c r="I157" s="772"/>
      <c r="J157" s="314"/>
      <c r="K157" s="314"/>
      <c r="L157" s="773"/>
      <c r="M157" s="294" t="s">
        <v>323</v>
      </c>
    </row>
    <row r="158" spans="1:28">
      <c r="A158" s="295" t="s">
        <v>324</v>
      </c>
      <c r="B158" s="241">
        <v>-4.7454180717468297</v>
      </c>
      <c r="C158" s="299"/>
      <c r="D158" s="288">
        <v>0.84033450922624497</v>
      </c>
      <c r="E158" s="289">
        <v>5</v>
      </c>
      <c r="F158" s="289">
        <v>262</v>
      </c>
      <c r="G158" s="290">
        <v>7.26</v>
      </c>
      <c r="H158" s="291">
        <f t="shared" si="2"/>
        <v>-9.129999999999999</v>
      </c>
      <c r="I158" s="772"/>
      <c r="J158" s="314"/>
      <c r="K158" s="314"/>
      <c r="L158" s="773"/>
      <c r="M158" s="294" t="s">
        <v>325</v>
      </c>
    </row>
    <row r="159" spans="1:28">
      <c r="A159" s="295" t="s">
        <v>326</v>
      </c>
      <c r="B159" s="241">
        <v>-6.6310591697692898</v>
      </c>
      <c r="C159" s="299"/>
      <c r="D159" s="288">
        <v>0.70969645885144095</v>
      </c>
      <c r="E159" s="289">
        <v>11</v>
      </c>
      <c r="F159" s="289">
        <v>149.6</v>
      </c>
      <c r="G159" s="290">
        <v>6.45</v>
      </c>
      <c r="H159" s="291">
        <f t="shared" si="2"/>
        <v>-7.1959999999999997</v>
      </c>
      <c r="I159" s="772"/>
      <c r="J159" s="314"/>
      <c r="K159" s="314"/>
      <c r="L159" s="773"/>
      <c r="M159" s="294" t="s">
        <v>327</v>
      </c>
    </row>
    <row r="160" spans="1:28" s="334" customFormat="1">
      <c r="A160" s="285" t="s">
        <v>328</v>
      </c>
      <c r="B160" s="241">
        <v>-1.8232995271682699</v>
      </c>
      <c r="C160" s="299"/>
      <c r="D160" s="288">
        <v>0.49644864464459898</v>
      </c>
      <c r="E160" s="289">
        <v>4</v>
      </c>
      <c r="F160" s="289">
        <v>304.5</v>
      </c>
      <c r="G160" s="290">
        <v>2.69</v>
      </c>
      <c r="H160" s="291">
        <f t="shared" si="2"/>
        <v>-4.9849999999999994</v>
      </c>
      <c r="I160" s="781"/>
      <c r="J160" s="776"/>
      <c r="K160" s="776"/>
      <c r="L160" s="777"/>
      <c r="M160" s="294" t="s">
        <v>329</v>
      </c>
      <c r="N160" s="241"/>
      <c r="O160" s="241"/>
      <c r="P160" s="241"/>
      <c r="Q160" s="241"/>
      <c r="R160" s="241"/>
      <c r="S160" s="241"/>
      <c r="T160" s="241"/>
      <c r="U160" s="241"/>
      <c r="V160" s="241"/>
      <c r="W160" s="241"/>
      <c r="X160" s="241"/>
      <c r="Y160" s="241"/>
      <c r="Z160" s="241"/>
      <c r="AA160" s="241"/>
      <c r="AB160" s="241"/>
    </row>
    <row r="161" spans="1:28">
      <c r="A161" s="334"/>
      <c r="B161" s="334"/>
      <c r="C161" s="326" t="s">
        <v>261</v>
      </c>
      <c r="D161" s="327">
        <f>AVERAGE(D129:D160)</f>
        <v>0.61629001144944584</v>
      </c>
      <c r="E161" s="334"/>
      <c r="F161" s="334"/>
      <c r="G161" s="334"/>
      <c r="H161" s="330" t="s">
        <v>262</v>
      </c>
      <c r="I161" s="335"/>
      <c r="J161" s="335"/>
      <c r="K161" s="335"/>
      <c r="L161" s="335"/>
      <c r="M161" s="272"/>
      <c r="N161" s="334"/>
      <c r="O161" s="334"/>
      <c r="P161" s="334"/>
      <c r="Q161" s="334"/>
      <c r="R161" s="334"/>
      <c r="S161" s="334"/>
      <c r="T161" s="334"/>
      <c r="U161" s="334"/>
      <c r="V161" s="334"/>
      <c r="W161" s="334"/>
      <c r="X161" s="334"/>
      <c r="Y161" s="334"/>
      <c r="Z161" s="334"/>
      <c r="AA161" s="334"/>
      <c r="AB161" s="334"/>
    </row>
    <row r="162" spans="1:28">
      <c r="A162" s="294"/>
      <c r="C162" s="326" t="s">
        <v>263</v>
      </c>
      <c r="D162" s="327">
        <f>MIN(D129:D160)</f>
        <v>0.49644864464459898</v>
      </c>
      <c r="E162" s="328"/>
      <c r="F162" s="329"/>
      <c r="G162" s="329"/>
      <c r="H162" s="330" t="s">
        <v>330</v>
      </c>
      <c r="I162" s="329"/>
      <c r="J162" s="290"/>
      <c r="K162" s="290"/>
      <c r="L162" s="290"/>
      <c r="M162" s="294"/>
    </row>
    <row r="163" spans="1:28">
      <c r="A163" s="294"/>
      <c r="C163" s="326" t="s">
        <v>265</v>
      </c>
      <c r="D163" s="327">
        <f>MAX(D129:D160)</f>
        <v>0.92735432696895004</v>
      </c>
      <c r="E163" s="328"/>
      <c r="F163" s="329"/>
      <c r="G163" s="329"/>
      <c r="H163" s="330"/>
      <c r="I163" s="329"/>
      <c r="J163" s="290"/>
      <c r="K163" s="290"/>
      <c r="L163" s="290"/>
      <c r="M163" s="294"/>
    </row>
    <row r="165" spans="1:28">
      <c r="A165" s="241" t="s">
        <v>711</v>
      </c>
    </row>
    <row r="166" spans="1:28">
      <c r="A166" s="241" t="s">
        <v>332</v>
      </c>
    </row>
    <row r="168" spans="1:28">
      <c r="A168" s="241" t="s">
        <v>333</v>
      </c>
    </row>
    <row r="169" spans="1:28">
      <c r="A169" s="241" t="s">
        <v>712</v>
      </c>
    </row>
    <row r="170" spans="1:28" ht="15.75" customHeight="1"/>
    <row r="171" spans="1:28" s="244" customFormat="1" ht="19">
      <c r="A171" s="336" t="s">
        <v>335</v>
      </c>
    </row>
    <row r="172" spans="1:28" s="244" customFormat="1" ht="18">
      <c r="A172" s="337" t="s">
        <v>713</v>
      </c>
    </row>
    <row r="173" spans="1:28" s="244" customFormat="1" ht="16">
      <c r="A173" s="337" t="s">
        <v>714</v>
      </c>
    </row>
    <row r="174" spans="1:28" s="244" customFormat="1">
      <c r="A174" s="338" t="s">
        <v>715</v>
      </c>
    </row>
    <row r="175" spans="1:28" s="244" customFormat="1">
      <c r="A175" s="339" t="s">
        <v>716</v>
      </c>
    </row>
    <row r="176" spans="1:28" s="244" customFormat="1">
      <c r="A176" s="340" t="s">
        <v>717</v>
      </c>
    </row>
    <row r="177" spans="1:1" s="244" customFormat="1">
      <c r="A177" s="244" t="s">
        <v>718</v>
      </c>
    </row>
    <row r="178" spans="1:1" s="244" customFormat="1">
      <c r="A178" s="341" t="s">
        <v>719</v>
      </c>
    </row>
    <row r="179" spans="1:1" s="244" customFormat="1">
      <c r="A179" s="244" t="s">
        <v>720</v>
      </c>
    </row>
    <row r="180" spans="1:1" s="244" customFormat="1">
      <c r="A180" s="340" t="s">
        <v>721</v>
      </c>
    </row>
    <row r="181" spans="1:1" s="244" customFormat="1">
      <c r="A181" s="244" t="s">
        <v>722</v>
      </c>
    </row>
    <row r="182" spans="1:1" s="244" customFormat="1">
      <c r="A182" s="244" t="s">
        <v>723</v>
      </c>
    </row>
    <row r="183" spans="1:1" s="244" customFormat="1">
      <c r="A183" s="338" t="s">
        <v>724</v>
      </c>
    </row>
    <row r="184" spans="1:1" s="244" customFormat="1">
      <c r="A184" s="338" t="s">
        <v>725</v>
      </c>
    </row>
    <row r="185" spans="1:1" s="244" customFormat="1">
      <c r="A185" s="244" t="s">
        <v>726</v>
      </c>
    </row>
    <row r="186" spans="1:1" s="244" customFormat="1">
      <c r="A186" s="244" t="s">
        <v>727</v>
      </c>
    </row>
    <row r="187" spans="1:1" s="244" customFormat="1">
      <c r="A187" s="341" t="s">
        <v>728</v>
      </c>
    </row>
    <row r="188" spans="1:1" s="244" customFormat="1">
      <c r="A188" s="341" t="s">
        <v>729</v>
      </c>
    </row>
    <row r="189" spans="1:1" s="244" customFormat="1">
      <c r="A189" s="340" t="s">
        <v>730</v>
      </c>
    </row>
    <row r="190" spans="1:1" s="244" customFormat="1">
      <c r="A190" s="341" t="s">
        <v>750</v>
      </c>
    </row>
    <row r="191" spans="1:1" s="244" customFormat="1">
      <c r="A191" s="244" t="s">
        <v>751</v>
      </c>
    </row>
    <row r="192" spans="1:1" s="244" customFormat="1"/>
    <row r="193" spans="1:17">
      <c r="A193" s="342" t="s">
        <v>733</v>
      </c>
    </row>
    <row r="194" spans="1:17">
      <c r="A194" s="735"/>
      <c r="B194" s="736"/>
      <c r="C194" s="736"/>
      <c r="D194" s="736"/>
      <c r="E194" s="736"/>
      <c r="F194" s="736"/>
      <c r="G194" s="736"/>
      <c r="H194" s="736"/>
      <c r="I194" s="736"/>
      <c r="J194" s="736"/>
      <c r="K194" s="736"/>
      <c r="L194" s="736"/>
      <c r="M194" s="737"/>
      <c r="N194" s="736"/>
      <c r="O194" s="736"/>
      <c r="P194" s="736"/>
      <c r="Q194" s="738"/>
    </row>
  </sheetData>
  <pageMargins left="0" right="0" top="0" bottom="0" header="0.51180555555555496" footer="0.51180555555555496"/>
  <pageSetup scale="54" firstPageNumber="0"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38</vt:i4>
      </vt:variant>
      <vt:variant>
        <vt:lpstr>Named Ranges</vt:lpstr>
      </vt:variant>
      <vt:variant>
        <vt:i4>3</vt:i4>
      </vt:variant>
    </vt:vector>
  </HeadingPairs>
  <TitlesOfParts>
    <vt:vector size="41" baseType="lpstr">
      <vt:lpstr>SET1 and SET2</vt:lpstr>
      <vt:lpstr>ASTU</vt:lpstr>
      <vt:lpstr>RFSP_A</vt:lpstr>
      <vt:lpstr>RFSP_B</vt:lpstr>
      <vt:lpstr>JMSA_A</vt:lpstr>
      <vt:lpstr>JMSA_B</vt:lpstr>
      <vt:lpstr>JMSA_C</vt:lpstr>
      <vt:lpstr>YUMPU_A</vt:lpstr>
      <vt:lpstr>YUMPU_B</vt:lpstr>
      <vt:lpstr>HPSU_A</vt:lpstr>
      <vt:lpstr>HPSU_B</vt:lpstr>
      <vt:lpstr>YTACU</vt:lpstr>
      <vt:lpstr>FLWMU</vt:lpstr>
      <vt:lpstr>ASLL_A</vt:lpstr>
      <vt:lpstr>ASLL_B</vt:lpstr>
      <vt:lpstr>ASLL_C</vt:lpstr>
      <vt:lpstr>PMSA_A</vt:lpstr>
      <vt:lpstr>PMSA_B</vt:lpstr>
      <vt:lpstr>PMSA_C</vt:lpstr>
      <vt:lpstr>UMUT_A</vt:lpstr>
      <vt:lpstr>UMUT_B</vt:lpstr>
      <vt:lpstr>UMUT_C</vt:lpstr>
      <vt:lpstr>JCSU_A</vt:lpstr>
      <vt:lpstr>JCSU_B</vt:lpstr>
      <vt:lpstr>SGURV</vt:lpstr>
      <vt:lpstr>MLKC_A</vt:lpstr>
      <vt:lpstr>MLKC_B</vt:lpstr>
      <vt:lpstr>MLKC_C</vt:lpstr>
      <vt:lpstr>MCSMD</vt:lpstr>
      <vt:lpstr>XWUC_A</vt:lpstr>
      <vt:lpstr>XWUC_B</vt:lpstr>
      <vt:lpstr>TDIPG</vt:lpstr>
      <vt:lpstr>KSMIT</vt:lpstr>
      <vt:lpstr>NMUPI</vt:lpstr>
      <vt:lpstr>JHTNY</vt:lpstr>
      <vt:lpstr>JHUNC_A</vt:lpstr>
      <vt:lpstr>JHUNC_B</vt:lpstr>
      <vt:lpstr>JHUNC_C</vt:lpstr>
      <vt:lpstr>RFSP_A!Sol_challenge2_models</vt:lpstr>
      <vt:lpstr>RFSP_B!Sol_challenge2_models</vt:lpstr>
      <vt:lpstr>RFSP_B!Sol_challenge2_models_1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Solubility Challenge 2</dc:title>
  <dc:subject/>
  <dc:creator>Alex Avdeef;Antonio Llinas</dc:creator>
  <cp:keywords/>
  <dc:description/>
  <cp:lastModifiedBy>MUSHTAQ Ali</cp:lastModifiedBy>
  <cp:revision/>
  <dcterms:created xsi:type="dcterms:W3CDTF">2019-04-11T21:10:11Z</dcterms:created>
  <dcterms:modified xsi:type="dcterms:W3CDTF">2025-02-06T15:15:08Z</dcterms:modified>
  <cp:category/>
  <cp:contentStatus/>
</cp:coreProperties>
</file>